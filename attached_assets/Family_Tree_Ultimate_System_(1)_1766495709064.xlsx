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bdulrahman/Downloads/"/>
    </mc:Choice>
  </mc:AlternateContent>
  <xr:revisionPtr revIDLastSave="0" documentId="13_ncr:1_{16FAB60F-287A-DC4A-973D-432614CAF883}" xr6:coauthVersionLast="47" xr6:coauthVersionMax="47" xr10:uidLastSave="{00000000-0000-0000-0000-000000000000}"/>
  <bookViews>
    <workbookView xWindow="0" yWindow="780" windowWidth="34200" windowHeight="19560" activeTab="3" xr2:uid="{00000000-000D-0000-FFFF-FFFF00000000}"/>
  </bookViews>
  <sheets>
    <sheet name="ADMIN_CONTROL" sheetId="1" r:id="rId1"/>
    <sheet name="QUICK_ADD" sheetId="2" r:id="rId2"/>
    <sheet name="DASHBOARD" sheetId="3" r:id="rId3"/>
    <sheet name="REGISTRY" sheetId="4" r:id="rId4"/>
    <sheet name="TREE" sheetId="5" r:id="rId5"/>
    <sheet name="FATHER_LIST" sheetId="6" r:id="rId6"/>
  </sheets>
  <definedNames>
    <definedName name="_xlnm._FilterDatabase" localSheetId="3" hidden="1">REGISTRY!$A$1:$N$390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U8g0wrv5AH6fNfQOfHfuDR/wHL+ma5hx0LxvQAIX4w="/>
    </ext>
  </extLst>
</workbook>
</file>

<file path=xl/calcChain.xml><?xml version="1.0" encoding="utf-8"?>
<calcChain xmlns="http://schemas.openxmlformats.org/spreadsheetml/2006/main">
  <c r="E501" i="6" l="1"/>
  <c r="D501" i="6"/>
  <c r="C501" i="6"/>
  <c r="B501" i="6"/>
  <c r="A501" i="6"/>
  <c r="E500" i="6"/>
  <c r="D500" i="6"/>
  <c r="C500" i="6"/>
  <c r="B500" i="6"/>
  <c r="A500" i="6"/>
  <c r="E499" i="6"/>
  <c r="D499" i="6"/>
  <c r="C499" i="6"/>
  <c r="B499" i="6"/>
  <c r="A499" i="6"/>
  <c r="E498" i="6"/>
  <c r="D498" i="6"/>
  <c r="C498" i="6"/>
  <c r="B498" i="6"/>
  <c r="A498" i="6"/>
  <c r="E497" i="6"/>
  <c r="D497" i="6"/>
  <c r="C497" i="6"/>
  <c r="B497" i="6"/>
  <c r="A497" i="6"/>
  <c r="E496" i="6"/>
  <c r="D496" i="6"/>
  <c r="C496" i="6"/>
  <c r="B496" i="6"/>
  <c r="A496" i="6"/>
  <c r="E495" i="6"/>
  <c r="D495" i="6"/>
  <c r="C495" i="6"/>
  <c r="B495" i="6"/>
  <c r="A495" i="6"/>
  <c r="E494" i="6"/>
  <c r="D494" i="6"/>
  <c r="C494" i="6"/>
  <c r="B494" i="6"/>
  <c r="A494" i="6"/>
  <c r="E493" i="6"/>
  <c r="D493" i="6"/>
  <c r="C493" i="6"/>
  <c r="B493" i="6"/>
  <c r="A493" i="6"/>
  <c r="E492" i="6"/>
  <c r="D492" i="6"/>
  <c r="C492" i="6"/>
  <c r="B492" i="6"/>
  <c r="A492" i="6"/>
  <c r="E491" i="6"/>
  <c r="D491" i="6"/>
  <c r="C491" i="6"/>
  <c r="B491" i="6"/>
  <c r="A491" i="6"/>
  <c r="E490" i="6"/>
  <c r="D490" i="6"/>
  <c r="C490" i="6"/>
  <c r="B490" i="6"/>
  <c r="A490" i="6"/>
  <c r="E489" i="6"/>
  <c r="D489" i="6"/>
  <c r="C489" i="6"/>
  <c r="B489" i="6"/>
  <c r="A489" i="6"/>
  <c r="E488" i="6"/>
  <c r="D488" i="6"/>
  <c r="C488" i="6"/>
  <c r="B488" i="6"/>
  <c r="A488" i="6"/>
  <c r="E487" i="6"/>
  <c r="D487" i="6"/>
  <c r="C487" i="6"/>
  <c r="B487" i="6"/>
  <c r="A487" i="6"/>
  <c r="E486" i="6"/>
  <c r="D486" i="6"/>
  <c r="C486" i="6"/>
  <c r="B486" i="6"/>
  <c r="A486" i="6"/>
  <c r="E485" i="6"/>
  <c r="D485" i="6"/>
  <c r="C485" i="6"/>
  <c r="B485" i="6"/>
  <c r="A485" i="6"/>
  <c r="E484" i="6"/>
  <c r="D484" i="6"/>
  <c r="C484" i="6"/>
  <c r="B484" i="6"/>
  <c r="A484" i="6"/>
  <c r="E483" i="6"/>
  <c r="D483" i="6"/>
  <c r="C483" i="6"/>
  <c r="B483" i="6"/>
  <c r="A483" i="6"/>
  <c r="E482" i="6"/>
  <c r="D482" i="6"/>
  <c r="C482" i="6"/>
  <c r="B482" i="6"/>
  <c r="A482" i="6"/>
  <c r="E481" i="6"/>
  <c r="D481" i="6"/>
  <c r="C481" i="6"/>
  <c r="B481" i="6"/>
  <c r="A481" i="6"/>
  <c r="E480" i="6"/>
  <c r="D480" i="6"/>
  <c r="C480" i="6"/>
  <c r="B480" i="6"/>
  <c r="A480" i="6"/>
  <c r="E479" i="6"/>
  <c r="D479" i="6"/>
  <c r="C479" i="6"/>
  <c r="B479" i="6"/>
  <c r="A479" i="6"/>
  <c r="E478" i="6"/>
  <c r="D478" i="6"/>
  <c r="C478" i="6"/>
  <c r="B478" i="6"/>
  <c r="A478" i="6"/>
  <c r="E477" i="6"/>
  <c r="D477" i="6"/>
  <c r="C477" i="6"/>
  <c r="B477" i="6"/>
  <c r="A477" i="6"/>
  <c r="E476" i="6"/>
  <c r="D476" i="6"/>
  <c r="C476" i="6"/>
  <c r="B476" i="6"/>
  <c r="A476" i="6"/>
  <c r="E475" i="6"/>
  <c r="D475" i="6"/>
  <c r="C475" i="6"/>
  <c r="B475" i="6"/>
  <c r="A475" i="6"/>
  <c r="E474" i="6"/>
  <c r="D474" i="6"/>
  <c r="C474" i="6"/>
  <c r="B474" i="6"/>
  <c r="A474" i="6"/>
  <c r="E473" i="6"/>
  <c r="D473" i="6"/>
  <c r="C473" i="6"/>
  <c r="B473" i="6"/>
  <c r="A473" i="6"/>
  <c r="E472" i="6"/>
  <c r="D472" i="6"/>
  <c r="C472" i="6"/>
  <c r="B472" i="6"/>
  <c r="A472" i="6"/>
  <c r="E471" i="6"/>
  <c r="D471" i="6"/>
  <c r="C471" i="6"/>
  <c r="B471" i="6"/>
  <c r="A471" i="6"/>
  <c r="E470" i="6"/>
  <c r="D470" i="6"/>
  <c r="C470" i="6"/>
  <c r="B470" i="6"/>
  <c r="A470" i="6"/>
  <c r="E469" i="6"/>
  <c r="D469" i="6"/>
  <c r="C469" i="6"/>
  <c r="B469" i="6"/>
  <c r="A469" i="6"/>
  <c r="E468" i="6"/>
  <c r="D468" i="6"/>
  <c r="C468" i="6"/>
  <c r="B468" i="6"/>
  <c r="A468" i="6"/>
  <c r="E467" i="6"/>
  <c r="D467" i="6"/>
  <c r="C467" i="6"/>
  <c r="B467" i="6"/>
  <c r="A467" i="6"/>
  <c r="E466" i="6"/>
  <c r="D466" i="6"/>
  <c r="C466" i="6"/>
  <c r="B466" i="6"/>
  <c r="A466" i="6"/>
  <c r="E465" i="6"/>
  <c r="D465" i="6"/>
  <c r="C465" i="6"/>
  <c r="B465" i="6"/>
  <c r="A465" i="6"/>
  <c r="E464" i="6"/>
  <c r="D464" i="6"/>
  <c r="C464" i="6"/>
  <c r="B464" i="6"/>
  <c r="A464" i="6"/>
  <c r="E463" i="6"/>
  <c r="D463" i="6"/>
  <c r="C463" i="6"/>
  <c r="B463" i="6"/>
  <c r="A463" i="6"/>
  <c r="E462" i="6"/>
  <c r="D462" i="6"/>
  <c r="C462" i="6"/>
  <c r="B462" i="6"/>
  <c r="A462" i="6"/>
  <c r="E461" i="6"/>
  <c r="D461" i="6"/>
  <c r="C461" i="6"/>
  <c r="B461" i="6"/>
  <c r="A461" i="6"/>
  <c r="E460" i="6"/>
  <c r="D460" i="6"/>
  <c r="C460" i="6"/>
  <c r="B460" i="6"/>
  <c r="A460" i="6"/>
  <c r="E459" i="6"/>
  <c r="D459" i="6"/>
  <c r="C459" i="6"/>
  <c r="B459" i="6"/>
  <c r="A459" i="6"/>
  <c r="E458" i="6"/>
  <c r="D458" i="6"/>
  <c r="C458" i="6"/>
  <c r="B458" i="6"/>
  <c r="A458" i="6"/>
  <c r="E457" i="6"/>
  <c r="D457" i="6"/>
  <c r="C457" i="6"/>
  <c r="B457" i="6"/>
  <c r="A457" i="6"/>
  <c r="E456" i="6"/>
  <c r="D456" i="6"/>
  <c r="C456" i="6"/>
  <c r="B456" i="6"/>
  <c r="A456" i="6"/>
  <c r="E455" i="6"/>
  <c r="D455" i="6"/>
  <c r="C455" i="6"/>
  <c r="B455" i="6"/>
  <c r="A455" i="6"/>
  <c r="E454" i="6"/>
  <c r="D454" i="6"/>
  <c r="C454" i="6"/>
  <c r="B454" i="6"/>
  <c r="A454" i="6"/>
  <c r="E453" i="6"/>
  <c r="D453" i="6"/>
  <c r="C453" i="6"/>
  <c r="B453" i="6"/>
  <c r="A453" i="6"/>
  <c r="E452" i="6"/>
  <c r="D452" i="6"/>
  <c r="C452" i="6"/>
  <c r="B452" i="6"/>
  <c r="A452" i="6"/>
  <c r="E451" i="6"/>
  <c r="D451" i="6"/>
  <c r="C451" i="6"/>
  <c r="B451" i="6"/>
  <c r="A451" i="6"/>
  <c r="E450" i="6"/>
  <c r="D450" i="6"/>
  <c r="C450" i="6"/>
  <c r="B450" i="6"/>
  <c r="A450" i="6"/>
  <c r="E449" i="6"/>
  <c r="D449" i="6"/>
  <c r="C449" i="6"/>
  <c r="B449" i="6"/>
  <c r="A449" i="6"/>
  <c r="E448" i="6"/>
  <c r="D448" i="6"/>
  <c r="C448" i="6"/>
  <c r="B448" i="6"/>
  <c r="A448" i="6"/>
  <c r="E447" i="6"/>
  <c r="D447" i="6"/>
  <c r="C447" i="6"/>
  <c r="B447" i="6"/>
  <c r="A447" i="6"/>
  <c r="E446" i="6"/>
  <c r="D446" i="6"/>
  <c r="C446" i="6"/>
  <c r="B446" i="6"/>
  <c r="A446" i="6"/>
  <c r="E445" i="6"/>
  <c r="D445" i="6"/>
  <c r="C445" i="6"/>
  <c r="B445" i="6"/>
  <c r="A445" i="6"/>
  <c r="E444" i="6"/>
  <c r="D444" i="6"/>
  <c r="C444" i="6"/>
  <c r="B444" i="6"/>
  <c r="A444" i="6"/>
  <c r="E443" i="6"/>
  <c r="D443" i="6"/>
  <c r="C443" i="6"/>
  <c r="B443" i="6"/>
  <c r="A443" i="6"/>
  <c r="E442" i="6"/>
  <c r="D442" i="6"/>
  <c r="C442" i="6"/>
  <c r="B442" i="6"/>
  <c r="A442" i="6"/>
  <c r="E441" i="6"/>
  <c r="D441" i="6"/>
  <c r="C441" i="6"/>
  <c r="B441" i="6"/>
  <c r="A441" i="6"/>
  <c r="E440" i="6"/>
  <c r="D440" i="6"/>
  <c r="C440" i="6"/>
  <c r="B440" i="6"/>
  <c r="A440" i="6"/>
  <c r="E439" i="6"/>
  <c r="D439" i="6"/>
  <c r="C439" i="6"/>
  <c r="B439" i="6"/>
  <c r="A439" i="6"/>
  <c r="E438" i="6"/>
  <c r="D438" i="6"/>
  <c r="C438" i="6"/>
  <c r="B438" i="6"/>
  <c r="A438" i="6"/>
  <c r="E437" i="6"/>
  <c r="D437" i="6"/>
  <c r="C437" i="6"/>
  <c r="B437" i="6"/>
  <c r="A437" i="6"/>
  <c r="E436" i="6"/>
  <c r="D436" i="6"/>
  <c r="C436" i="6"/>
  <c r="B436" i="6"/>
  <c r="A436" i="6"/>
  <c r="E435" i="6"/>
  <c r="D435" i="6"/>
  <c r="C435" i="6"/>
  <c r="B435" i="6"/>
  <c r="A435" i="6"/>
  <c r="E434" i="6"/>
  <c r="D434" i="6"/>
  <c r="C434" i="6"/>
  <c r="B434" i="6"/>
  <c r="A434" i="6"/>
  <c r="E433" i="6"/>
  <c r="D433" i="6"/>
  <c r="C433" i="6"/>
  <c r="B433" i="6"/>
  <c r="A433" i="6"/>
  <c r="E432" i="6"/>
  <c r="D432" i="6"/>
  <c r="C432" i="6"/>
  <c r="B432" i="6"/>
  <c r="A432" i="6"/>
  <c r="E431" i="6"/>
  <c r="D431" i="6"/>
  <c r="C431" i="6"/>
  <c r="B431" i="6"/>
  <c r="A431" i="6"/>
  <c r="E430" i="6"/>
  <c r="D430" i="6"/>
  <c r="C430" i="6"/>
  <c r="B430" i="6"/>
  <c r="A430" i="6"/>
  <c r="E429" i="6"/>
  <c r="D429" i="6"/>
  <c r="C429" i="6"/>
  <c r="B429" i="6"/>
  <c r="A429" i="6"/>
  <c r="E428" i="6"/>
  <c r="D428" i="6"/>
  <c r="C428" i="6"/>
  <c r="B428" i="6"/>
  <c r="A428" i="6"/>
  <c r="E427" i="6"/>
  <c r="D427" i="6"/>
  <c r="C427" i="6"/>
  <c r="B427" i="6"/>
  <c r="A427" i="6"/>
  <c r="E426" i="6"/>
  <c r="D426" i="6"/>
  <c r="C426" i="6"/>
  <c r="B426" i="6"/>
  <c r="A426" i="6"/>
  <c r="E425" i="6"/>
  <c r="D425" i="6"/>
  <c r="C425" i="6"/>
  <c r="B425" i="6"/>
  <c r="A425" i="6"/>
  <c r="E424" i="6"/>
  <c r="D424" i="6"/>
  <c r="C424" i="6"/>
  <c r="B424" i="6"/>
  <c r="A424" i="6"/>
  <c r="E423" i="6"/>
  <c r="D423" i="6"/>
  <c r="C423" i="6"/>
  <c r="B423" i="6"/>
  <c r="A423" i="6"/>
  <c r="E422" i="6"/>
  <c r="D422" i="6"/>
  <c r="C422" i="6"/>
  <c r="B422" i="6"/>
  <c r="A422" i="6"/>
  <c r="E421" i="6"/>
  <c r="D421" i="6"/>
  <c r="C421" i="6"/>
  <c r="B421" i="6"/>
  <c r="A421" i="6"/>
  <c r="E420" i="6"/>
  <c r="D420" i="6"/>
  <c r="C420" i="6"/>
  <c r="B420" i="6"/>
  <c r="A420" i="6"/>
  <c r="E419" i="6"/>
  <c r="D419" i="6"/>
  <c r="C419" i="6"/>
  <c r="B419" i="6"/>
  <c r="A419" i="6"/>
  <c r="E418" i="6"/>
  <c r="D418" i="6"/>
  <c r="C418" i="6"/>
  <c r="B418" i="6"/>
  <c r="A418" i="6"/>
  <c r="E417" i="6"/>
  <c r="D417" i="6"/>
  <c r="C417" i="6"/>
  <c r="B417" i="6"/>
  <c r="A417" i="6"/>
  <c r="E416" i="6"/>
  <c r="D416" i="6"/>
  <c r="C416" i="6"/>
  <c r="B416" i="6"/>
  <c r="A416" i="6"/>
  <c r="E415" i="6"/>
  <c r="D415" i="6"/>
  <c r="C415" i="6"/>
  <c r="B415" i="6"/>
  <c r="A415" i="6"/>
  <c r="E414" i="6"/>
  <c r="D414" i="6"/>
  <c r="C414" i="6"/>
  <c r="B414" i="6"/>
  <c r="A414" i="6"/>
  <c r="E413" i="6"/>
  <c r="D413" i="6"/>
  <c r="C413" i="6"/>
  <c r="B413" i="6"/>
  <c r="A413" i="6"/>
  <c r="E412" i="6"/>
  <c r="D412" i="6"/>
  <c r="C412" i="6"/>
  <c r="B412" i="6"/>
  <c r="A412" i="6"/>
  <c r="E411" i="6"/>
  <c r="D411" i="6"/>
  <c r="C411" i="6"/>
  <c r="B411" i="6"/>
  <c r="A411" i="6"/>
  <c r="E410" i="6"/>
  <c r="D410" i="6"/>
  <c r="C410" i="6"/>
  <c r="B410" i="6"/>
  <c r="A410" i="6"/>
  <c r="E409" i="6"/>
  <c r="D409" i="6"/>
  <c r="C409" i="6"/>
  <c r="B409" i="6"/>
  <c r="A409" i="6"/>
  <c r="E407" i="6"/>
  <c r="D407" i="6"/>
  <c r="C407" i="6"/>
  <c r="B407" i="6"/>
  <c r="A407" i="6"/>
  <c r="E406" i="6"/>
  <c r="D406" i="6"/>
  <c r="C406" i="6"/>
  <c r="B406" i="6"/>
  <c r="A406" i="6"/>
  <c r="E287" i="6"/>
  <c r="D287" i="6"/>
  <c r="C287" i="6"/>
  <c r="B287" i="6"/>
  <c r="A287" i="6"/>
  <c r="E286" i="6"/>
  <c r="D286" i="6"/>
  <c r="C286" i="6"/>
  <c r="B286" i="6"/>
  <c r="A286" i="6"/>
  <c r="E285" i="6"/>
  <c r="D285" i="6"/>
  <c r="C285" i="6"/>
  <c r="B285" i="6"/>
  <c r="A285" i="6"/>
  <c r="E281" i="6"/>
  <c r="D281" i="6"/>
  <c r="C281" i="6"/>
  <c r="B281" i="6"/>
  <c r="A281" i="6"/>
  <c r="E280" i="6"/>
  <c r="D280" i="6"/>
  <c r="C280" i="6"/>
  <c r="B280" i="6"/>
  <c r="A280" i="6"/>
  <c r="E279" i="6"/>
  <c r="D279" i="6"/>
  <c r="C279" i="6"/>
  <c r="B279" i="6"/>
  <c r="A279" i="6"/>
  <c r="E278" i="6"/>
  <c r="D278" i="6"/>
  <c r="C278" i="6"/>
  <c r="B278" i="6"/>
  <c r="A278" i="6"/>
  <c r="E277" i="6"/>
  <c r="D277" i="6"/>
  <c r="C277" i="6"/>
  <c r="B277" i="6"/>
  <c r="A277" i="6"/>
  <c r="E276" i="6"/>
  <c r="D276" i="6"/>
  <c r="C276" i="6"/>
  <c r="B276" i="6"/>
  <c r="A276" i="6"/>
  <c r="E275" i="6"/>
  <c r="D275" i="6"/>
  <c r="C275" i="6"/>
  <c r="B275" i="6"/>
  <c r="A275" i="6"/>
  <c r="E272" i="6"/>
  <c r="D272" i="6"/>
  <c r="C272" i="6"/>
  <c r="B272" i="6"/>
  <c r="A272" i="6"/>
  <c r="E271" i="6"/>
  <c r="D271" i="6"/>
  <c r="C271" i="6"/>
  <c r="B271" i="6"/>
  <c r="A271" i="6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6" i="6"/>
  <c r="D266" i="6"/>
  <c r="C266" i="6"/>
  <c r="B266" i="6"/>
  <c r="A266" i="6"/>
  <c r="E265" i="6"/>
  <c r="D265" i="6"/>
  <c r="C265" i="6"/>
  <c r="B265" i="6"/>
  <c r="A265" i="6"/>
  <c r="E264" i="6"/>
  <c r="D264" i="6"/>
  <c r="C264" i="6"/>
  <c r="B264" i="6"/>
  <c r="A264" i="6"/>
  <c r="E171" i="6"/>
  <c r="D171" i="6"/>
  <c r="C171" i="6"/>
  <c r="B171" i="6"/>
  <c r="A171" i="6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B167" i="6"/>
  <c r="A167" i="6"/>
  <c r="E166" i="6"/>
  <c r="D166" i="6"/>
  <c r="C166" i="6"/>
  <c r="B166" i="6"/>
  <c r="A166" i="6"/>
  <c r="E165" i="6"/>
  <c r="D165" i="6"/>
  <c r="C165" i="6"/>
  <c r="B165" i="6"/>
  <c r="A165" i="6"/>
  <c r="E164" i="6"/>
  <c r="D164" i="6"/>
  <c r="C164" i="6"/>
  <c r="B164" i="6"/>
  <c r="A164" i="6"/>
  <c r="E162" i="6"/>
  <c r="D162" i="6"/>
  <c r="C162" i="6"/>
  <c r="B162" i="6"/>
  <c r="A162" i="6"/>
  <c r="E161" i="6"/>
  <c r="D161" i="6"/>
  <c r="C161" i="6"/>
  <c r="B161" i="6"/>
  <c r="A161" i="6"/>
  <c r="E160" i="6"/>
  <c r="D160" i="6"/>
  <c r="C160" i="6"/>
  <c r="B160" i="6"/>
  <c r="A160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7" i="6"/>
  <c r="D147" i="6"/>
  <c r="C147" i="6"/>
  <c r="B147" i="6"/>
  <c r="A147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0" i="6"/>
  <c r="D130" i="6"/>
  <c r="C130" i="6"/>
  <c r="B130" i="6"/>
  <c r="A130" i="6"/>
  <c r="E127" i="6"/>
  <c r="D127" i="6"/>
  <c r="C127" i="6"/>
  <c r="B127" i="6"/>
  <c r="A127" i="6"/>
  <c r="E125" i="6"/>
  <c r="D125" i="6"/>
  <c r="C125" i="6"/>
  <c r="B125" i="6"/>
  <c r="A125" i="6"/>
  <c r="E124" i="6"/>
  <c r="D124" i="6"/>
  <c r="C124" i="6"/>
  <c r="B124" i="6"/>
  <c r="A124" i="6"/>
  <c r="E122" i="6"/>
  <c r="D122" i="6"/>
  <c r="C122" i="6"/>
  <c r="B122" i="6"/>
  <c r="A122" i="6"/>
  <c r="E120" i="6"/>
  <c r="D120" i="6"/>
  <c r="C120" i="6"/>
  <c r="B120" i="6"/>
  <c r="A120" i="6"/>
  <c r="E118" i="6"/>
  <c r="D118" i="6"/>
  <c r="C118" i="6"/>
  <c r="B118" i="6"/>
  <c r="A118" i="6"/>
  <c r="E117" i="6"/>
  <c r="D117" i="6"/>
  <c r="C117" i="6"/>
  <c r="B117" i="6"/>
  <c r="A117" i="6"/>
  <c r="E116" i="6"/>
  <c r="D116" i="6"/>
  <c r="C116" i="6"/>
  <c r="B116" i="6"/>
  <c r="A116" i="6"/>
  <c r="E113" i="6"/>
  <c r="D113" i="6"/>
  <c r="C113" i="6"/>
  <c r="B113" i="6"/>
  <c r="A113" i="6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2" i="6"/>
  <c r="D52" i="6"/>
  <c r="C52" i="6"/>
  <c r="B52" i="6"/>
  <c r="A52" i="6"/>
  <c r="E51" i="6"/>
  <c r="D51" i="6"/>
  <c r="C51" i="6"/>
  <c r="B51" i="6"/>
  <c r="A51" i="6"/>
  <c r="E47" i="6"/>
  <c r="D47" i="6"/>
  <c r="C47" i="6"/>
  <c r="B47" i="6"/>
  <c r="A47" i="6"/>
  <c r="E46" i="6"/>
  <c r="D46" i="6"/>
  <c r="C46" i="6"/>
  <c r="B46" i="6"/>
  <c r="A46" i="6"/>
  <c r="E5" i="6"/>
  <c r="E4" i="6"/>
  <c r="E3" i="6"/>
  <c r="E2" i="6"/>
  <c r="D2" i="6"/>
  <c r="C2" i="6"/>
  <c r="B2" i="6"/>
  <c r="A2" i="6"/>
  <c r="S390" i="4"/>
  <c r="P390" i="4"/>
  <c r="D408" i="6" s="1"/>
  <c r="O390" i="4"/>
  <c r="N390" i="4"/>
  <c r="M390" i="4"/>
  <c r="B408" i="6" s="1"/>
  <c r="A390" i="4"/>
  <c r="A408" i="6" s="1"/>
  <c r="S389" i="4"/>
  <c r="P389" i="4"/>
  <c r="O389" i="4"/>
  <c r="N389" i="4"/>
  <c r="M389" i="4"/>
  <c r="A389" i="4"/>
  <c r="S388" i="4"/>
  <c r="P388" i="4"/>
  <c r="O388" i="4"/>
  <c r="N388" i="4"/>
  <c r="M388" i="4"/>
  <c r="A388" i="4"/>
  <c r="S387" i="4"/>
  <c r="P387" i="4"/>
  <c r="D405" i="6" s="1"/>
  <c r="O387" i="4"/>
  <c r="N387" i="4"/>
  <c r="M387" i="4"/>
  <c r="B405" i="6" s="1"/>
  <c r="A387" i="4"/>
  <c r="A405" i="6" s="1"/>
  <c r="S386" i="4"/>
  <c r="P386" i="4"/>
  <c r="D404" i="6" s="1"/>
  <c r="O386" i="4"/>
  <c r="N386" i="4"/>
  <c r="M386" i="4"/>
  <c r="B404" i="6" s="1"/>
  <c r="A386" i="4"/>
  <c r="A404" i="6" s="1"/>
  <c r="S385" i="4"/>
  <c r="P385" i="4"/>
  <c r="D403" i="6" s="1"/>
  <c r="O385" i="4"/>
  <c r="N385" i="4"/>
  <c r="M385" i="4"/>
  <c r="B403" i="6" s="1"/>
  <c r="A385" i="4"/>
  <c r="A403" i="6" s="1"/>
  <c r="S384" i="4"/>
  <c r="P384" i="4"/>
  <c r="D402" i="6" s="1"/>
  <c r="O384" i="4"/>
  <c r="N384" i="4"/>
  <c r="M384" i="4"/>
  <c r="B402" i="6" s="1"/>
  <c r="A384" i="4"/>
  <c r="A402" i="6" s="1"/>
  <c r="S383" i="4"/>
  <c r="P383" i="4"/>
  <c r="D401" i="6" s="1"/>
  <c r="O383" i="4"/>
  <c r="N383" i="4"/>
  <c r="M383" i="4"/>
  <c r="B401" i="6" s="1"/>
  <c r="A383" i="4"/>
  <c r="A401" i="6" s="1"/>
  <c r="S382" i="4"/>
  <c r="P382" i="4"/>
  <c r="D400" i="6" s="1"/>
  <c r="O382" i="4"/>
  <c r="N382" i="4"/>
  <c r="M382" i="4"/>
  <c r="B400" i="6" s="1"/>
  <c r="A382" i="4"/>
  <c r="A400" i="6" s="1"/>
  <c r="S381" i="4"/>
  <c r="P381" i="4"/>
  <c r="D399" i="6" s="1"/>
  <c r="O381" i="4"/>
  <c r="N381" i="4"/>
  <c r="M381" i="4"/>
  <c r="B399" i="6" s="1"/>
  <c r="A381" i="4"/>
  <c r="A399" i="6" s="1"/>
  <c r="S380" i="4"/>
  <c r="P380" i="4"/>
  <c r="D398" i="6" s="1"/>
  <c r="O380" i="4"/>
  <c r="N380" i="4"/>
  <c r="M380" i="4"/>
  <c r="B398" i="6" s="1"/>
  <c r="A380" i="4"/>
  <c r="A398" i="6" s="1"/>
  <c r="S379" i="4"/>
  <c r="P379" i="4"/>
  <c r="D397" i="6" s="1"/>
  <c r="O379" i="4"/>
  <c r="N379" i="4"/>
  <c r="M379" i="4"/>
  <c r="B397" i="6" s="1"/>
  <c r="A379" i="4"/>
  <c r="A397" i="6" s="1"/>
  <c r="S378" i="4"/>
  <c r="P378" i="4"/>
  <c r="D396" i="6" s="1"/>
  <c r="O378" i="4"/>
  <c r="N378" i="4"/>
  <c r="M378" i="4"/>
  <c r="B396" i="6" s="1"/>
  <c r="A378" i="4"/>
  <c r="A396" i="6" s="1"/>
  <c r="S377" i="4"/>
  <c r="P377" i="4"/>
  <c r="D395" i="6" s="1"/>
  <c r="O377" i="4"/>
  <c r="N377" i="4"/>
  <c r="M377" i="4"/>
  <c r="B395" i="6" s="1"/>
  <c r="A377" i="4"/>
  <c r="A395" i="6" s="1"/>
  <c r="S376" i="4"/>
  <c r="P376" i="4"/>
  <c r="D394" i="6" s="1"/>
  <c r="O376" i="4"/>
  <c r="N376" i="4"/>
  <c r="M376" i="4"/>
  <c r="B394" i="6" s="1"/>
  <c r="A376" i="4"/>
  <c r="A394" i="6" s="1"/>
  <c r="S375" i="4"/>
  <c r="P375" i="4"/>
  <c r="D393" i="6" s="1"/>
  <c r="O375" i="4"/>
  <c r="N375" i="4"/>
  <c r="M375" i="4"/>
  <c r="B393" i="6" s="1"/>
  <c r="A375" i="4"/>
  <c r="A393" i="6" s="1"/>
  <c r="S374" i="4"/>
  <c r="P374" i="4"/>
  <c r="D392" i="6" s="1"/>
  <c r="O374" i="4"/>
  <c r="N374" i="4"/>
  <c r="M374" i="4"/>
  <c r="B392" i="6" s="1"/>
  <c r="A374" i="4"/>
  <c r="A392" i="6" s="1"/>
  <c r="S373" i="4"/>
  <c r="P373" i="4"/>
  <c r="D391" i="6" s="1"/>
  <c r="O373" i="4"/>
  <c r="N373" i="4"/>
  <c r="M373" i="4"/>
  <c r="B391" i="6" s="1"/>
  <c r="A373" i="4"/>
  <c r="A391" i="6" s="1"/>
  <c r="S372" i="4"/>
  <c r="P372" i="4"/>
  <c r="D390" i="6" s="1"/>
  <c r="O372" i="4"/>
  <c r="N372" i="4"/>
  <c r="M372" i="4"/>
  <c r="B390" i="6" s="1"/>
  <c r="A372" i="4"/>
  <c r="A390" i="6" s="1"/>
  <c r="S371" i="4"/>
  <c r="P371" i="4"/>
  <c r="D389" i="6" s="1"/>
  <c r="O371" i="4"/>
  <c r="N371" i="4"/>
  <c r="M371" i="4"/>
  <c r="B389" i="6" s="1"/>
  <c r="A371" i="4"/>
  <c r="A389" i="6" s="1"/>
  <c r="S370" i="4"/>
  <c r="P370" i="4"/>
  <c r="D388" i="6" s="1"/>
  <c r="O370" i="4"/>
  <c r="N370" i="4"/>
  <c r="M370" i="4"/>
  <c r="B388" i="6" s="1"/>
  <c r="A370" i="4"/>
  <c r="A388" i="6" s="1"/>
  <c r="S369" i="4"/>
  <c r="P369" i="4"/>
  <c r="D387" i="6" s="1"/>
  <c r="O369" i="4"/>
  <c r="N369" i="4"/>
  <c r="M369" i="4"/>
  <c r="B387" i="6" s="1"/>
  <c r="A369" i="4"/>
  <c r="A387" i="6" s="1"/>
  <c r="S368" i="4"/>
  <c r="P368" i="4"/>
  <c r="D386" i="6" s="1"/>
  <c r="O368" i="4"/>
  <c r="N368" i="4"/>
  <c r="M368" i="4"/>
  <c r="B386" i="6" s="1"/>
  <c r="A368" i="4"/>
  <c r="A386" i="6" s="1"/>
  <c r="S367" i="4"/>
  <c r="P367" i="4"/>
  <c r="D385" i="6" s="1"/>
  <c r="O367" i="4"/>
  <c r="N367" i="4"/>
  <c r="M367" i="4"/>
  <c r="B385" i="6" s="1"/>
  <c r="A367" i="4"/>
  <c r="A385" i="6" s="1"/>
  <c r="S366" i="4"/>
  <c r="P366" i="4"/>
  <c r="D384" i="6" s="1"/>
  <c r="O366" i="4"/>
  <c r="N366" i="4"/>
  <c r="M366" i="4"/>
  <c r="B384" i="6" s="1"/>
  <c r="A366" i="4"/>
  <c r="A384" i="6" s="1"/>
  <c r="S365" i="4"/>
  <c r="P365" i="4"/>
  <c r="D383" i="6" s="1"/>
  <c r="O365" i="4"/>
  <c r="N365" i="4"/>
  <c r="M365" i="4"/>
  <c r="B383" i="6" s="1"/>
  <c r="A365" i="4"/>
  <c r="A383" i="6" s="1"/>
  <c r="S364" i="4"/>
  <c r="P364" i="4"/>
  <c r="D382" i="6" s="1"/>
  <c r="O364" i="4"/>
  <c r="N364" i="4"/>
  <c r="M364" i="4"/>
  <c r="B382" i="6" s="1"/>
  <c r="A364" i="4"/>
  <c r="A382" i="6" s="1"/>
  <c r="S363" i="4"/>
  <c r="P363" i="4"/>
  <c r="D381" i="6" s="1"/>
  <c r="O363" i="4"/>
  <c r="N363" i="4"/>
  <c r="M363" i="4"/>
  <c r="B381" i="6" s="1"/>
  <c r="A363" i="4"/>
  <c r="A381" i="6" s="1"/>
  <c r="S362" i="4"/>
  <c r="P362" i="4"/>
  <c r="D380" i="6" s="1"/>
  <c r="O362" i="4"/>
  <c r="N362" i="4"/>
  <c r="M362" i="4"/>
  <c r="B380" i="6" s="1"/>
  <c r="A362" i="4"/>
  <c r="A380" i="6" s="1"/>
  <c r="S361" i="4"/>
  <c r="P361" i="4"/>
  <c r="D379" i="6" s="1"/>
  <c r="O361" i="4"/>
  <c r="N361" i="4"/>
  <c r="M361" i="4"/>
  <c r="B379" i="6" s="1"/>
  <c r="A361" i="4"/>
  <c r="A379" i="6" s="1"/>
  <c r="S360" i="4"/>
  <c r="P360" i="4"/>
  <c r="D378" i="6" s="1"/>
  <c r="O360" i="4"/>
  <c r="N360" i="4"/>
  <c r="M360" i="4"/>
  <c r="B378" i="6" s="1"/>
  <c r="A360" i="4"/>
  <c r="A378" i="6" s="1"/>
  <c r="S359" i="4"/>
  <c r="P359" i="4"/>
  <c r="D377" i="6" s="1"/>
  <c r="O359" i="4"/>
  <c r="N359" i="4"/>
  <c r="M359" i="4"/>
  <c r="B377" i="6" s="1"/>
  <c r="A359" i="4"/>
  <c r="A377" i="6" s="1"/>
  <c r="S358" i="4"/>
  <c r="P358" i="4"/>
  <c r="D376" i="6" s="1"/>
  <c r="O358" i="4"/>
  <c r="N358" i="4"/>
  <c r="M358" i="4"/>
  <c r="B376" i="6" s="1"/>
  <c r="A358" i="4"/>
  <c r="A376" i="6" s="1"/>
  <c r="S357" i="4"/>
  <c r="P357" i="4"/>
  <c r="D375" i="6" s="1"/>
  <c r="O357" i="4"/>
  <c r="N357" i="4"/>
  <c r="M357" i="4"/>
  <c r="B375" i="6" s="1"/>
  <c r="A357" i="4"/>
  <c r="A375" i="6" s="1"/>
  <c r="S356" i="4"/>
  <c r="P356" i="4"/>
  <c r="D374" i="6" s="1"/>
  <c r="O356" i="4"/>
  <c r="N356" i="4"/>
  <c r="M356" i="4"/>
  <c r="B374" i="6" s="1"/>
  <c r="A356" i="4"/>
  <c r="A374" i="6" s="1"/>
  <c r="S355" i="4"/>
  <c r="P355" i="4"/>
  <c r="D373" i="6" s="1"/>
  <c r="O355" i="4"/>
  <c r="N355" i="4"/>
  <c r="M355" i="4"/>
  <c r="B373" i="6" s="1"/>
  <c r="A355" i="4"/>
  <c r="A373" i="6" s="1"/>
  <c r="S354" i="4"/>
  <c r="P354" i="4"/>
  <c r="D372" i="6" s="1"/>
  <c r="O354" i="4"/>
  <c r="N354" i="4"/>
  <c r="M354" i="4"/>
  <c r="B372" i="6" s="1"/>
  <c r="A354" i="4"/>
  <c r="A372" i="6" s="1"/>
  <c r="S353" i="4"/>
  <c r="P353" i="4"/>
  <c r="D371" i="6" s="1"/>
  <c r="O353" i="4"/>
  <c r="N353" i="4"/>
  <c r="M353" i="4"/>
  <c r="B371" i="6" s="1"/>
  <c r="A353" i="4"/>
  <c r="A371" i="6" s="1"/>
  <c r="S352" i="4"/>
  <c r="P352" i="4"/>
  <c r="D370" i="6" s="1"/>
  <c r="O352" i="4"/>
  <c r="N352" i="4"/>
  <c r="M352" i="4"/>
  <c r="B370" i="6" s="1"/>
  <c r="A352" i="4"/>
  <c r="A370" i="6" s="1"/>
  <c r="S351" i="4"/>
  <c r="P351" i="4"/>
  <c r="D369" i="6" s="1"/>
  <c r="O351" i="4"/>
  <c r="N351" i="4"/>
  <c r="M351" i="4"/>
  <c r="B369" i="6" s="1"/>
  <c r="A351" i="4"/>
  <c r="A369" i="6" s="1"/>
  <c r="S350" i="4"/>
  <c r="P350" i="4"/>
  <c r="D368" i="6" s="1"/>
  <c r="O350" i="4"/>
  <c r="N350" i="4"/>
  <c r="M350" i="4"/>
  <c r="B368" i="6" s="1"/>
  <c r="A350" i="4"/>
  <c r="A368" i="6" s="1"/>
  <c r="S349" i="4"/>
  <c r="P349" i="4"/>
  <c r="D367" i="6" s="1"/>
  <c r="O349" i="4"/>
  <c r="N349" i="4"/>
  <c r="M349" i="4"/>
  <c r="B367" i="6" s="1"/>
  <c r="A349" i="4"/>
  <c r="A367" i="6" s="1"/>
  <c r="S348" i="4"/>
  <c r="P348" i="4"/>
  <c r="D366" i="6" s="1"/>
  <c r="O348" i="4"/>
  <c r="N348" i="4"/>
  <c r="M348" i="4"/>
  <c r="B366" i="6" s="1"/>
  <c r="A348" i="4"/>
  <c r="A366" i="6" s="1"/>
  <c r="S347" i="4"/>
  <c r="P347" i="4"/>
  <c r="D365" i="6" s="1"/>
  <c r="O347" i="4"/>
  <c r="N347" i="4"/>
  <c r="M347" i="4"/>
  <c r="B365" i="6" s="1"/>
  <c r="A347" i="4"/>
  <c r="A365" i="6" s="1"/>
  <c r="S346" i="4"/>
  <c r="P346" i="4"/>
  <c r="D364" i="6" s="1"/>
  <c r="O346" i="4"/>
  <c r="N346" i="4"/>
  <c r="M346" i="4"/>
  <c r="B364" i="6" s="1"/>
  <c r="A346" i="4"/>
  <c r="A364" i="6" s="1"/>
  <c r="S345" i="4"/>
  <c r="P345" i="4"/>
  <c r="D363" i="6" s="1"/>
  <c r="O345" i="4"/>
  <c r="N345" i="4"/>
  <c r="M345" i="4"/>
  <c r="B363" i="6" s="1"/>
  <c r="A345" i="4"/>
  <c r="A363" i="6" s="1"/>
  <c r="S344" i="4"/>
  <c r="P344" i="4"/>
  <c r="D362" i="6" s="1"/>
  <c r="O344" i="4"/>
  <c r="N344" i="4"/>
  <c r="M344" i="4"/>
  <c r="B362" i="6" s="1"/>
  <c r="A344" i="4"/>
  <c r="A362" i="6" s="1"/>
  <c r="S343" i="4"/>
  <c r="P343" i="4"/>
  <c r="D361" i="6" s="1"/>
  <c r="O343" i="4"/>
  <c r="N343" i="4"/>
  <c r="M343" i="4"/>
  <c r="B361" i="6" s="1"/>
  <c r="A343" i="4"/>
  <c r="A361" i="6" s="1"/>
  <c r="S342" i="4"/>
  <c r="P342" i="4"/>
  <c r="D360" i="6" s="1"/>
  <c r="O342" i="4"/>
  <c r="N342" i="4"/>
  <c r="M342" i="4"/>
  <c r="B360" i="6" s="1"/>
  <c r="A342" i="4"/>
  <c r="A360" i="6" s="1"/>
  <c r="S341" i="4"/>
  <c r="P341" i="4"/>
  <c r="D359" i="6" s="1"/>
  <c r="O341" i="4"/>
  <c r="N341" i="4"/>
  <c r="M341" i="4"/>
  <c r="B359" i="6" s="1"/>
  <c r="A341" i="4"/>
  <c r="A359" i="6" s="1"/>
  <c r="S340" i="4"/>
  <c r="P340" i="4"/>
  <c r="D358" i="6" s="1"/>
  <c r="O340" i="4"/>
  <c r="N340" i="4"/>
  <c r="M340" i="4"/>
  <c r="B358" i="6" s="1"/>
  <c r="A340" i="4"/>
  <c r="A358" i="6" s="1"/>
  <c r="S339" i="4"/>
  <c r="P339" i="4"/>
  <c r="D357" i="6" s="1"/>
  <c r="O339" i="4"/>
  <c r="N339" i="4"/>
  <c r="M339" i="4"/>
  <c r="B357" i="6" s="1"/>
  <c r="A339" i="4"/>
  <c r="A357" i="6" s="1"/>
  <c r="S338" i="4"/>
  <c r="P338" i="4"/>
  <c r="D356" i="6" s="1"/>
  <c r="O338" i="4"/>
  <c r="N338" i="4"/>
  <c r="M338" i="4"/>
  <c r="B356" i="6" s="1"/>
  <c r="A338" i="4"/>
  <c r="A356" i="6" s="1"/>
  <c r="S337" i="4"/>
  <c r="P337" i="4"/>
  <c r="D355" i="6" s="1"/>
  <c r="O337" i="4"/>
  <c r="N337" i="4"/>
  <c r="M337" i="4"/>
  <c r="B355" i="6" s="1"/>
  <c r="A337" i="4"/>
  <c r="A355" i="6" s="1"/>
  <c r="S336" i="4"/>
  <c r="P336" i="4"/>
  <c r="D354" i="6" s="1"/>
  <c r="O336" i="4"/>
  <c r="N336" i="4"/>
  <c r="M336" i="4"/>
  <c r="B354" i="6" s="1"/>
  <c r="A336" i="4"/>
  <c r="A354" i="6" s="1"/>
  <c r="S335" i="4"/>
  <c r="P335" i="4"/>
  <c r="D353" i="6" s="1"/>
  <c r="O335" i="4"/>
  <c r="N335" i="4"/>
  <c r="M335" i="4"/>
  <c r="B353" i="6" s="1"/>
  <c r="A335" i="4"/>
  <c r="A353" i="6" s="1"/>
  <c r="S334" i="4"/>
  <c r="P334" i="4"/>
  <c r="D352" i="6" s="1"/>
  <c r="O334" i="4"/>
  <c r="N334" i="4"/>
  <c r="M334" i="4"/>
  <c r="B352" i="6" s="1"/>
  <c r="A334" i="4"/>
  <c r="A352" i="6" s="1"/>
  <c r="S333" i="4"/>
  <c r="P333" i="4"/>
  <c r="D351" i="6" s="1"/>
  <c r="O333" i="4"/>
  <c r="N333" i="4"/>
  <c r="M333" i="4"/>
  <c r="B351" i="6" s="1"/>
  <c r="A333" i="4"/>
  <c r="A351" i="6" s="1"/>
  <c r="S332" i="4"/>
  <c r="P332" i="4"/>
  <c r="D350" i="6" s="1"/>
  <c r="O332" i="4"/>
  <c r="N332" i="4"/>
  <c r="M332" i="4"/>
  <c r="B350" i="6" s="1"/>
  <c r="A332" i="4"/>
  <c r="A350" i="6" s="1"/>
  <c r="S331" i="4"/>
  <c r="P331" i="4"/>
  <c r="D349" i="6" s="1"/>
  <c r="O331" i="4"/>
  <c r="N331" i="4"/>
  <c r="M331" i="4"/>
  <c r="B349" i="6" s="1"/>
  <c r="A331" i="4"/>
  <c r="A349" i="6" s="1"/>
  <c r="S330" i="4"/>
  <c r="P330" i="4"/>
  <c r="D348" i="6" s="1"/>
  <c r="O330" i="4"/>
  <c r="N330" i="4"/>
  <c r="M330" i="4"/>
  <c r="B348" i="6" s="1"/>
  <c r="A330" i="4"/>
  <c r="A348" i="6" s="1"/>
  <c r="S329" i="4"/>
  <c r="P329" i="4"/>
  <c r="D347" i="6" s="1"/>
  <c r="O329" i="4"/>
  <c r="N329" i="4"/>
  <c r="M329" i="4"/>
  <c r="B347" i="6" s="1"/>
  <c r="A329" i="4"/>
  <c r="A347" i="6" s="1"/>
  <c r="S328" i="4"/>
  <c r="P328" i="4"/>
  <c r="D346" i="6" s="1"/>
  <c r="O328" i="4"/>
  <c r="N328" i="4"/>
  <c r="M328" i="4"/>
  <c r="B346" i="6" s="1"/>
  <c r="A328" i="4"/>
  <c r="A346" i="6" s="1"/>
  <c r="S327" i="4"/>
  <c r="P327" i="4"/>
  <c r="D345" i="6" s="1"/>
  <c r="O327" i="4"/>
  <c r="N327" i="4"/>
  <c r="M327" i="4"/>
  <c r="B345" i="6" s="1"/>
  <c r="A327" i="4"/>
  <c r="A345" i="6" s="1"/>
  <c r="S326" i="4"/>
  <c r="P326" i="4"/>
  <c r="D344" i="6" s="1"/>
  <c r="O326" i="4"/>
  <c r="N326" i="4"/>
  <c r="M326" i="4"/>
  <c r="B344" i="6" s="1"/>
  <c r="A326" i="4"/>
  <c r="A344" i="6" s="1"/>
  <c r="S325" i="4"/>
  <c r="P325" i="4"/>
  <c r="D343" i="6" s="1"/>
  <c r="O325" i="4"/>
  <c r="N325" i="4"/>
  <c r="M325" i="4"/>
  <c r="B343" i="6" s="1"/>
  <c r="A325" i="4"/>
  <c r="A343" i="6" s="1"/>
  <c r="S324" i="4"/>
  <c r="P324" i="4"/>
  <c r="D342" i="6" s="1"/>
  <c r="O324" i="4"/>
  <c r="N324" i="4"/>
  <c r="M324" i="4"/>
  <c r="B342" i="6" s="1"/>
  <c r="A324" i="4"/>
  <c r="A342" i="6" s="1"/>
  <c r="S323" i="4"/>
  <c r="P323" i="4"/>
  <c r="D341" i="6" s="1"/>
  <c r="O323" i="4"/>
  <c r="N323" i="4"/>
  <c r="M323" i="4"/>
  <c r="B341" i="6" s="1"/>
  <c r="A323" i="4"/>
  <c r="A341" i="6" s="1"/>
  <c r="S322" i="4"/>
  <c r="P322" i="4"/>
  <c r="D340" i="6" s="1"/>
  <c r="O322" i="4"/>
  <c r="N322" i="4"/>
  <c r="M322" i="4"/>
  <c r="B340" i="6" s="1"/>
  <c r="A322" i="4"/>
  <c r="A340" i="6" s="1"/>
  <c r="S321" i="4"/>
  <c r="P321" i="4"/>
  <c r="D339" i="6" s="1"/>
  <c r="O321" i="4"/>
  <c r="N321" i="4"/>
  <c r="M321" i="4"/>
  <c r="B339" i="6" s="1"/>
  <c r="A321" i="4"/>
  <c r="A339" i="6" s="1"/>
  <c r="S320" i="4"/>
  <c r="P320" i="4"/>
  <c r="D338" i="6" s="1"/>
  <c r="O320" i="4"/>
  <c r="N320" i="4"/>
  <c r="M320" i="4"/>
  <c r="B338" i="6" s="1"/>
  <c r="A320" i="4"/>
  <c r="A338" i="6" s="1"/>
  <c r="S319" i="4"/>
  <c r="P319" i="4"/>
  <c r="D337" i="6" s="1"/>
  <c r="O319" i="4"/>
  <c r="N319" i="4"/>
  <c r="M319" i="4"/>
  <c r="B337" i="6" s="1"/>
  <c r="A319" i="4"/>
  <c r="A337" i="6" s="1"/>
  <c r="S318" i="4"/>
  <c r="P318" i="4"/>
  <c r="D336" i="6" s="1"/>
  <c r="O318" i="4"/>
  <c r="N318" i="4"/>
  <c r="M318" i="4"/>
  <c r="B336" i="6" s="1"/>
  <c r="A318" i="4"/>
  <c r="A336" i="6" s="1"/>
  <c r="S317" i="4"/>
  <c r="P317" i="4"/>
  <c r="D335" i="6" s="1"/>
  <c r="O317" i="4"/>
  <c r="N317" i="4"/>
  <c r="M317" i="4"/>
  <c r="B335" i="6" s="1"/>
  <c r="A317" i="4"/>
  <c r="A335" i="6" s="1"/>
  <c r="S316" i="4"/>
  <c r="P316" i="4"/>
  <c r="D334" i="6" s="1"/>
  <c r="O316" i="4"/>
  <c r="N316" i="4"/>
  <c r="M316" i="4"/>
  <c r="B334" i="6" s="1"/>
  <c r="A316" i="4"/>
  <c r="A334" i="6" s="1"/>
  <c r="S315" i="4"/>
  <c r="P315" i="4"/>
  <c r="D333" i="6" s="1"/>
  <c r="O315" i="4"/>
  <c r="N315" i="4"/>
  <c r="M315" i="4"/>
  <c r="B333" i="6" s="1"/>
  <c r="A315" i="4"/>
  <c r="A333" i="6" s="1"/>
  <c r="S314" i="4"/>
  <c r="P314" i="4"/>
  <c r="D332" i="6" s="1"/>
  <c r="O314" i="4"/>
  <c r="N314" i="4"/>
  <c r="M314" i="4"/>
  <c r="B332" i="6" s="1"/>
  <c r="A314" i="4"/>
  <c r="A332" i="6" s="1"/>
  <c r="S313" i="4"/>
  <c r="P313" i="4"/>
  <c r="D331" i="6" s="1"/>
  <c r="O313" i="4"/>
  <c r="N313" i="4"/>
  <c r="M313" i="4"/>
  <c r="B331" i="6" s="1"/>
  <c r="A313" i="4"/>
  <c r="A331" i="6" s="1"/>
  <c r="S312" i="4"/>
  <c r="P312" i="4"/>
  <c r="D330" i="6" s="1"/>
  <c r="O312" i="4"/>
  <c r="N312" i="4"/>
  <c r="M312" i="4"/>
  <c r="B330" i="6" s="1"/>
  <c r="A312" i="4"/>
  <c r="A330" i="6" s="1"/>
  <c r="S311" i="4"/>
  <c r="P311" i="4"/>
  <c r="D329" i="6" s="1"/>
  <c r="O311" i="4"/>
  <c r="N311" i="4"/>
  <c r="M311" i="4"/>
  <c r="B329" i="6" s="1"/>
  <c r="A311" i="4"/>
  <c r="A329" i="6" s="1"/>
  <c r="S310" i="4"/>
  <c r="P310" i="4"/>
  <c r="D328" i="6" s="1"/>
  <c r="O310" i="4"/>
  <c r="N310" i="4"/>
  <c r="M310" i="4"/>
  <c r="B328" i="6" s="1"/>
  <c r="A310" i="4"/>
  <c r="A328" i="6" s="1"/>
  <c r="S309" i="4"/>
  <c r="P309" i="4"/>
  <c r="D327" i="6" s="1"/>
  <c r="O309" i="4"/>
  <c r="N309" i="4"/>
  <c r="M309" i="4"/>
  <c r="B327" i="6" s="1"/>
  <c r="A309" i="4"/>
  <c r="A327" i="6" s="1"/>
  <c r="S308" i="4"/>
  <c r="P308" i="4"/>
  <c r="D326" i="6" s="1"/>
  <c r="O308" i="4"/>
  <c r="N308" i="4"/>
  <c r="M308" i="4"/>
  <c r="B326" i="6" s="1"/>
  <c r="A308" i="4"/>
  <c r="A326" i="6" s="1"/>
  <c r="S307" i="4"/>
  <c r="P307" i="4"/>
  <c r="D325" i="6" s="1"/>
  <c r="O307" i="4"/>
  <c r="N307" i="4"/>
  <c r="M307" i="4"/>
  <c r="B325" i="6" s="1"/>
  <c r="A307" i="4"/>
  <c r="A325" i="6" s="1"/>
  <c r="S306" i="4"/>
  <c r="P306" i="4"/>
  <c r="D324" i="6" s="1"/>
  <c r="O306" i="4"/>
  <c r="N306" i="4"/>
  <c r="M306" i="4"/>
  <c r="B324" i="6" s="1"/>
  <c r="A306" i="4"/>
  <c r="A324" i="6" s="1"/>
  <c r="S305" i="4"/>
  <c r="P305" i="4"/>
  <c r="D323" i="6" s="1"/>
  <c r="O305" i="4"/>
  <c r="N305" i="4"/>
  <c r="M305" i="4"/>
  <c r="B323" i="6" s="1"/>
  <c r="A305" i="4"/>
  <c r="A323" i="6" s="1"/>
  <c r="S304" i="4"/>
  <c r="P304" i="4"/>
  <c r="D322" i="6" s="1"/>
  <c r="O304" i="4"/>
  <c r="N304" i="4"/>
  <c r="M304" i="4"/>
  <c r="B322" i="6" s="1"/>
  <c r="A304" i="4"/>
  <c r="A322" i="6" s="1"/>
  <c r="S303" i="4"/>
  <c r="P303" i="4"/>
  <c r="D321" i="6" s="1"/>
  <c r="O303" i="4"/>
  <c r="N303" i="4"/>
  <c r="M303" i="4"/>
  <c r="B321" i="6" s="1"/>
  <c r="A303" i="4"/>
  <c r="A321" i="6" s="1"/>
  <c r="S302" i="4"/>
  <c r="P302" i="4"/>
  <c r="D320" i="6" s="1"/>
  <c r="O302" i="4"/>
  <c r="N302" i="4"/>
  <c r="M302" i="4"/>
  <c r="B320" i="6" s="1"/>
  <c r="A302" i="4"/>
  <c r="A320" i="6" s="1"/>
  <c r="S301" i="4"/>
  <c r="P301" i="4"/>
  <c r="D319" i="6" s="1"/>
  <c r="O301" i="4"/>
  <c r="N301" i="4"/>
  <c r="M301" i="4"/>
  <c r="B319" i="6" s="1"/>
  <c r="A301" i="4"/>
  <c r="A319" i="6" s="1"/>
  <c r="S300" i="4"/>
  <c r="P300" i="4"/>
  <c r="D318" i="6" s="1"/>
  <c r="O300" i="4"/>
  <c r="N300" i="4"/>
  <c r="M300" i="4"/>
  <c r="B318" i="6" s="1"/>
  <c r="A300" i="4"/>
  <c r="A318" i="6" s="1"/>
  <c r="S299" i="4"/>
  <c r="P299" i="4"/>
  <c r="D317" i="6" s="1"/>
  <c r="O299" i="4"/>
  <c r="N299" i="4"/>
  <c r="M299" i="4"/>
  <c r="B317" i="6" s="1"/>
  <c r="A299" i="4"/>
  <c r="A317" i="6" s="1"/>
  <c r="S298" i="4"/>
  <c r="P298" i="4"/>
  <c r="D316" i="6" s="1"/>
  <c r="O298" i="4"/>
  <c r="N298" i="4"/>
  <c r="M298" i="4"/>
  <c r="B316" i="6" s="1"/>
  <c r="A298" i="4"/>
  <c r="A316" i="6" s="1"/>
  <c r="S297" i="4"/>
  <c r="P297" i="4"/>
  <c r="D315" i="6" s="1"/>
  <c r="O297" i="4"/>
  <c r="N297" i="4"/>
  <c r="M297" i="4"/>
  <c r="B315" i="6" s="1"/>
  <c r="A297" i="4"/>
  <c r="A315" i="6" s="1"/>
  <c r="S296" i="4"/>
  <c r="P296" i="4"/>
  <c r="D314" i="6" s="1"/>
  <c r="O296" i="4"/>
  <c r="N296" i="4"/>
  <c r="M296" i="4"/>
  <c r="B314" i="6" s="1"/>
  <c r="A296" i="4"/>
  <c r="A314" i="6" s="1"/>
  <c r="S295" i="4"/>
  <c r="P295" i="4"/>
  <c r="D313" i="6" s="1"/>
  <c r="O295" i="4"/>
  <c r="N295" i="4"/>
  <c r="M295" i="4"/>
  <c r="B313" i="6" s="1"/>
  <c r="A295" i="4"/>
  <c r="A313" i="6" s="1"/>
  <c r="S294" i="4"/>
  <c r="P294" i="4"/>
  <c r="D312" i="6" s="1"/>
  <c r="O294" i="4"/>
  <c r="N294" i="4"/>
  <c r="M294" i="4"/>
  <c r="B312" i="6" s="1"/>
  <c r="A294" i="4"/>
  <c r="A312" i="6" s="1"/>
  <c r="S293" i="4"/>
  <c r="P293" i="4"/>
  <c r="D311" i="6" s="1"/>
  <c r="O293" i="4"/>
  <c r="N293" i="4"/>
  <c r="M293" i="4"/>
  <c r="B311" i="6" s="1"/>
  <c r="A293" i="4"/>
  <c r="A311" i="6" s="1"/>
  <c r="S292" i="4"/>
  <c r="P292" i="4"/>
  <c r="D310" i="6" s="1"/>
  <c r="O292" i="4"/>
  <c r="N292" i="4"/>
  <c r="M292" i="4"/>
  <c r="B310" i="6" s="1"/>
  <c r="A292" i="4"/>
  <c r="A310" i="6" s="1"/>
  <c r="S291" i="4"/>
  <c r="P291" i="4"/>
  <c r="D309" i="6" s="1"/>
  <c r="O291" i="4"/>
  <c r="N291" i="4"/>
  <c r="M291" i="4"/>
  <c r="B309" i="6" s="1"/>
  <c r="A291" i="4"/>
  <c r="A309" i="6" s="1"/>
  <c r="S290" i="4"/>
  <c r="P290" i="4"/>
  <c r="D308" i="6" s="1"/>
  <c r="O290" i="4"/>
  <c r="N290" i="4"/>
  <c r="M290" i="4"/>
  <c r="B308" i="6" s="1"/>
  <c r="A290" i="4"/>
  <c r="A308" i="6" s="1"/>
  <c r="S289" i="4"/>
  <c r="P289" i="4"/>
  <c r="D307" i="6" s="1"/>
  <c r="O289" i="4"/>
  <c r="N289" i="4"/>
  <c r="M289" i="4"/>
  <c r="B307" i="6" s="1"/>
  <c r="A289" i="4"/>
  <c r="A307" i="6" s="1"/>
  <c r="S288" i="4"/>
  <c r="P288" i="4"/>
  <c r="D306" i="6" s="1"/>
  <c r="O288" i="4"/>
  <c r="N288" i="4"/>
  <c r="M288" i="4"/>
  <c r="B306" i="6" s="1"/>
  <c r="A288" i="4"/>
  <c r="A306" i="6" s="1"/>
  <c r="S287" i="4"/>
  <c r="P287" i="4"/>
  <c r="D305" i="6" s="1"/>
  <c r="O287" i="4"/>
  <c r="N287" i="4"/>
  <c r="M287" i="4"/>
  <c r="B305" i="6" s="1"/>
  <c r="A287" i="4"/>
  <c r="A305" i="6" s="1"/>
  <c r="S286" i="4"/>
  <c r="P286" i="4"/>
  <c r="D304" i="6" s="1"/>
  <c r="O286" i="4"/>
  <c r="N286" i="4"/>
  <c r="M286" i="4"/>
  <c r="B304" i="6" s="1"/>
  <c r="A286" i="4"/>
  <c r="A304" i="6" s="1"/>
  <c r="S285" i="4"/>
  <c r="P285" i="4"/>
  <c r="D303" i="6" s="1"/>
  <c r="O285" i="4"/>
  <c r="N285" i="4"/>
  <c r="M285" i="4"/>
  <c r="B303" i="6" s="1"/>
  <c r="A285" i="4"/>
  <c r="A303" i="6" s="1"/>
  <c r="S284" i="4"/>
  <c r="P284" i="4"/>
  <c r="D302" i="6" s="1"/>
  <c r="O284" i="4"/>
  <c r="N284" i="4"/>
  <c r="M284" i="4"/>
  <c r="B302" i="6" s="1"/>
  <c r="A284" i="4"/>
  <c r="A302" i="6" s="1"/>
  <c r="S283" i="4"/>
  <c r="P283" i="4"/>
  <c r="D301" i="6" s="1"/>
  <c r="O283" i="4"/>
  <c r="N283" i="4"/>
  <c r="M283" i="4"/>
  <c r="B301" i="6" s="1"/>
  <c r="A283" i="4"/>
  <c r="A301" i="6" s="1"/>
  <c r="S282" i="4"/>
  <c r="P282" i="4"/>
  <c r="D300" i="6" s="1"/>
  <c r="O282" i="4"/>
  <c r="N282" i="4"/>
  <c r="M282" i="4"/>
  <c r="B300" i="6" s="1"/>
  <c r="A282" i="4"/>
  <c r="A300" i="6" s="1"/>
  <c r="S281" i="4"/>
  <c r="P281" i="4"/>
  <c r="D299" i="6" s="1"/>
  <c r="O281" i="4"/>
  <c r="N281" i="4"/>
  <c r="M281" i="4"/>
  <c r="B299" i="6" s="1"/>
  <c r="A281" i="4"/>
  <c r="A299" i="6" s="1"/>
  <c r="S280" i="4"/>
  <c r="P280" i="4"/>
  <c r="D298" i="6" s="1"/>
  <c r="O280" i="4"/>
  <c r="N280" i="4"/>
  <c r="M280" i="4"/>
  <c r="B298" i="6" s="1"/>
  <c r="A280" i="4"/>
  <c r="A298" i="6" s="1"/>
  <c r="S279" i="4"/>
  <c r="P279" i="4"/>
  <c r="D297" i="6" s="1"/>
  <c r="O279" i="4"/>
  <c r="N279" i="4"/>
  <c r="M279" i="4"/>
  <c r="B297" i="6" s="1"/>
  <c r="A279" i="4"/>
  <c r="A297" i="6" s="1"/>
  <c r="S278" i="4"/>
  <c r="P278" i="4"/>
  <c r="D296" i="6" s="1"/>
  <c r="O278" i="4"/>
  <c r="N278" i="4"/>
  <c r="M278" i="4"/>
  <c r="B296" i="6" s="1"/>
  <c r="A278" i="4"/>
  <c r="A296" i="6" s="1"/>
  <c r="S277" i="4"/>
  <c r="P277" i="4"/>
  <c r="D295" i="6" s="1"/>
  <c r="O277" i="4"/>
  <c r="N277" i="4"/>
  <c r="M277" i="4"/>
  <c r="B295" i="6" s="1"/>
  <c r="A277" i="4"/>
  <c r="A295" i="6" s="1"/>
  <c r="S276" i="4"/>
  <c r="P276" i="4"/>
  <c r="D294" i="6" s="1"/>
  <c r="O276" i="4"/>
  <c r="N276" i="4"/>
  <c r="M276" i="4"/>
  <c r="B294" i="6" s="1"/>
  <c r="A276" i="4"/>
  <c r="A294" i="6" s="1"/>
  <c r="S275" i="4"/>
  <c r="P275" i="4"/>
  <c r="D293" i="6" s="1"/>
  <c r="O275" i="4"/>
  <c r="N275" i="4"/>
  <c r="M275" i="4"/>
  <c r="B293" i="6" s="1"/>
  <c r="A275" i="4"/>
  <c r="A293" i="6" s="1"/>
  <c r="S274" i="4"/>
  <c r="P274" i="4"/>
  <c r="D292" i="6" s="1"/>
  <c r="O274" i="4"/>
  <c r="N274" i="4"/>
  <c r="M274" i="4"/>
  <c r="B292" i="6" s="1"/>
  <c r="A274" i="4"/>
  <c r="A292" i="6" s="1"/>
  <c r="S273" i="4"/>
  <c r="P273" i="4"/>
  <c r="D291" i="6" s="1"/>
  <c r="O273" i="4"/>
  <c r="N273" i="4"/>
  <c r="M273" i="4"/>
  <c r="B291" i="6" s="1"/>
  <c r="A273" i="4"/>
  <c r="A291" i="6" s="1"/>
  <c r="S272" i="4"/>
  <c r="P272" i="4"/>
  <c r="D290" i="6" s="1"/>
  <c r="O272" i="4"/>
  <c r="N272" i="4"/>
  <c r="M272" i="4"/>
  <c r="B290" i="6" s="1"/>
  <c r="A272" i="4"/>
  <c r="A290" i="6" s="1"/>
  <c r="S271" i="4"/>
  <c r="P271" i="4"/>
  <c r="D289" i="6" s="1"/>
  <c r="O271" i="4"/>
  <c r="N271" i="4"/>
  <c r="M271" i="4"/>
  <c r="B289" i="6" s="1"/>
  <c r="A271" i="4"/>
  <c r="A289" i="6" s="1"/>
  <c r="S270" i="4"/>
  <c r="P270" i="4"/>
  <c r="D288" i="6" s="1"/>
  <c r="O270" i="4"/>
  <c r="N270" i="4"/>
  <c r="M270" i="4"/>
  <c r="B288" i="6" s="1"/>
  <c r="A270" i="4"/>
  <c r="A288" i="6" s="1"/>
  <c r="S269" i="4"/>
  <c r="P269" i="4"/>
  <c r="O269" i="4"/>
  <c r="N269" i="4"/>
  <c r="M269" i="4"/>
  <c r="A269" i="4"/>
  <c r="S268" i="4"/>
  <c r="P268" i="4"/>
  <c r="O268" i="4"/>
  <c r="N268" i="4"/>
  <c r="M268" i="4"/>
  <c r="A268" i="4"/>
  <c r="S267" i="4"/>
  <c r="P267" i="4"/>
  <c r="O267" i="4"/>
  <c r="N267" i="4"/>
  <c r="M267" i="4"/>
  <c r="A267" i="4"/>
  <c r="S266" i="4"/>
  <c r="P266" i="4"/>
  <c r="D284" i="6" s="1"/>
  <c r="O266" i="4"/>
  <c r="N266" i="4"/>
  <c r="M266" i="4"/>
  <c r="B284" i="6" s="1"/>
  <c r="A266" i="4"/>
  <c r="A284" i="6" s="1"/>
  <c r="S265" i="4"/>
  <c r="P265" i="4"/>
  <c r="D283" i="6" s="1"/>
  <c r="O265" i="4"/>
  <c r="N265" i="4"/>
  <c r="M265" i="4"/>
  <c r="B283" i="6" s="1"/>
  <c r="A265" i="4"/>
  <c r="A283" i="6" s="1"/>
  <c r="S264" i="4"/>
  <c r="P264" i="4"/>
  <c r="D282" i="6" s="1"/>
  <c r="O264" i="4"/>
  <c r="N264" i="4"/>
  <c r="M264" i="4"/>
  <c r="B282" i="6" s="1"/>
  <c r="A264" i="4"/>
  <c r="A282" i="6" s="1"/>
  <c r="S263" i="4"/>
  <c r="P263" i="4"/>
  <c r="O263" i="4"/>
  <c r="N263" i="4"/>
  <c r="M263" i="4"/>
  <c r="A263" i="4"/>
  <c r="S262" i="4"/>
  <c r="P262" i="4"/>
  <c r="O262" i="4"/>
  <c r="N262" i="4"/>
  <c r="M262" i="4"/>
  <c r="A262" i="4"/>
  <c r="S261" i="4"/>
  <c r="P261" i="4"/>
  <c r="O261" i="4"/>
  <c r="N261" i="4"/>
  <c r="M261" i="4"/>
  <c r="A261" i="4"/>
  <c r="S260" i="4"/>
  <c r="P260" i="4"/>
  <c r="O260" i="4"/>
  <c r="N260" i="4"/>
  <c r="M260" i="4"/>
  <c r="A260" i="4"/>
  <c r="S259" i="4"/>
  <c r="P259" i="4"/>
  <c r="O259" i="4"/>
  <c r="N259" i="4"/>
  <c r="M259" i="4"/>
  <c r="A259" i="4"/>
  <c r="S258" i="4"/>
  <c r="P258" i="4"/>
  <c r="O258" i="4"/>
  <c r="N258" i="4"/>
  <c r="M258" i="4"/>
  <c r="A258" i="4"/>
  <c r="S257" i="4"/>
  <c r="P257" i="4"/>
  <c r="O257" i="4"/>
  <c r="N257" i="4"/>
  <c r="M257" i="4"/>
  <c r="A257" i="4"/>
  <c r="S256" i="4"/>
  <c r="P256" i="4"/>
  <c r="D274" i="6" s="1"/>
  <c r="O256" i="4"/>
  <c r="N256" i="4"/>
  <c r="M256" i="4"/>
  <c r="B274" i="6" s="1"/>
  <c r="A256" i="4"/>
  <c r="A274" i="6" s="1"/>
  <c r="S255" i="4"/>
  <c r="P255" i="4"/>
  <c r="D273" i="6" s="1"/>
  <c r="O255" i="4"/>
  <c r="N255" i="4"/>
  <c r="M255" i="4"/>
  <c r="B273" i="6" s="1"/>
  <c r="A255" i="4"/>
  <c r="A273" i="6" s="1"/>
  <c r="S254" i="4"/>
  <c r="P254" i="4"/>
  <c r="O254" i="4"/>
  <c r="N254" i="4"/>
  <c r="M254" i="4"/>
  <c r="A254" i="4"/>
  <c r="S253" i="4"/>
  <c r="P253" i="4"/>
  <c r="O253" i="4"/>
  <c r="N253" i="4"/>
  <c r="M253" i="4"/>
  <c r="A253" i="4"/>
  <c r="S252" i="4"/>
  <c r="P252" i="4"/>
  <c r="O252" i="4"/>
  <c r="N252" i="4"/>
  <c r="M252" i="4"/>
  <c r="A252" i="4"/>
  <c r="S251" i="4"/>
  <c r="P251" i="4"/>
  <c r="O251" i="4"/>
  <c r="N251" i="4"/>
  <c r="M251" i="4"/>
  <c r="A251" i="4"/>
  <c r="S250" i="4"/>
  <c r="P250" i="4"/>
  <c r="O250" i="4"/>
  <c r="N250" i="4"/>
  <c r="M250" i="4"/>
  <c r="A250" i="4"/>
  <c r="S249" i="4"/>
  <c r="P249" i="4"/>
  <c r="D267" i="6" s="1"/>
  <c r="O249" i="4"/>
  <c r="N249" i="4"/>
  <c r="M249" i="4"/>
  <c r="B267" i="6" s="1"/>
  <c r="A249" i="4"/>
  <c r="A267" i="6" s="1"/>
  <c r="S248" i="4"/>
  <c r="P248" i="4"/>
  <c r="O248" i="4"/>
  <c r="N248" i="4"/>
  <c r="M248" i="4"/>
  <c r="A248" i="4"/>
  <c r="S247" i="4"/>
  <c r="P247" i="4"/>
  <c r="O247" i="4"/>
  <c r="N247" i="4"/>
  <c r="M247" i="4"/>
  <c r="A247" i="4"/>
  <c r="S246" i="4"/>
  <c r="P246" i="4"/>
  <c r="O246" i="4"/>
  <c r="N246" i="4"/>
  <c r="M246" i="4"/>
  <c r="A246" i="4"/>
  <c r="S245" i="4"/>
  <c r="P245" i="4"/>
  <c r="D263" i="6" s="1"/>
  <c r="O245" i="4"/>
  <c r="N245" i="4"/>
  <c r="M245" i="4"/>
  <c r="B263" i="6" s="1"/>
  <c r="A245" i="4"/>
  <c r="A263" i="6" s="1"/>
  <c r="S244" i="4"/>
  <c r="P244" i="4"/>
  <c r="D262" i="6" s="1"/>
  <c r="O244" i="4"/>
  <c r="N244" i="4"/>
  <c r="M244" i="4"/>
  <c r="B262" i="6" s="1"/>
  <c r="A244" i="4"/>
  <c r="A262" i="6" s="1"/>
  <c r="S243" i="4"/>
  <c r="P243" i="4"/>
  <c r="D261" i="6" s="1"/>
  <c r="O243" i="4"/>
  <c r="N243" i="4"/>
  <c r="M243" i="4"/>
  <c r="B261" i="6" s="1"/>
  <c r="A243" i="4"/>
  <c r="A261" i="6" s="1"/>
  <c r="S242" i="4"/>
  <c r="P242" i="4"/>
  <c r="D260" i="6" s="1"/>
  <c r="O242" i="4"/>
  <c r="N242" i="4"/>
  <c r="M242" i="4"/>
  <c r="B260" i="6" s="1"/>
  <c r="A242" i="4"/>
  <c r="A260" i="6" s="1"/>
  <c r="S241" i="4"/>
  <c r="P241" i="4"/>
  <c r="D259" i="6" s="1"/>
  <c r="O241" i="4"/>
  <c r="N241" i="4"/>
  <c r="M241" i="4"/>
  <c r="B259" i="6" s="1"/>
  <c r="A241" i="4"/>
  <c r="A259" i="6" s="1"/>
  <c r="S240" i="4"/>
  <c r="P240" i="4"/>
  <c r="D258" i="6" s="1"/>
  <c r="O240" i="4"/>
  <c r="N240" i="4"/>
  <c r="M240" i="4"/>
  <c r="B258" i="6" s="1"/>
  <c r="A240" i="4"/>
  <c r="A258" i="6" s="1"/>
  <c r="S239" i="4"/>
  <c r="P239" i="4"/>
  <c r="D257" i="6" s="1"/>
  <c r="O239" i="4"/>
  <c r="N239" i="4"/>
  <c r="M239" i="4"/>
  <c r="B257" i="6" s="1"/>
  <c r="A239" i="4"/>
  <c r="A257" i="6" s="1"/>
  <c r="S238" i="4"/>
  <c r="P238" i="4"/>
  <c r="D256" i="6" s="1"/>
  <c r="O238" i="4"/>
  <c r="N238" i="4"/>
  <c r="M238" i="4"/>
  <c r="B256" i="6" s="1"/>
  <c r="A238" i="4"/>
  <c r="A256" i="6" s="1"/>
  <c r="S237" i="4"/>
  <c r="P237" i="4"/>
  <c r="D255" i="6" s="1"/>
  <c r="O237" i="4"/>
  <c r="N237" i="4"/>
  <c r="M237" i="4"/>
  <c r="B255" i="6" s="1"/>
  <c r="A237" i="4"/>
  <c r="A255" i="6" s="1"/>
  <c r="S236" i="4"/>
  <c r="P236" i="4"/>
  <c r="D254" i="6" s="1"/>
  <c r="O236" i="4"/>
  <c r="N236" i="4"/>
  <c r="M236" i="4"/>
  <c r="B254" i="6" s="1"/>
  <c r="A236" i="4"/>
  <c r="A254" i="6" s="1"/>
  <c r="S235" i="4"/>
  <c r="P235" i="4"/>
  <c r="D253" i="6" s="1"/>
  <c r="O235" i="4"/>
  <c r="N235" i="4"/>
  <c r="M235" i="4"/>
  <c r="B253" i="6" s="1"/>
  <c r="A235" i="4"/>
  <c r="A253" i="6" s="1"/>
  <c r="S234" i="4"/>
  <c r="P234" i="4"/>
  <c r="D252" i="6" s="1"/>
  <c r="O234" i="4"/>
  <c r="N234" i="4"/>
  <c r="M234" i="4"/>
  <c r="B252" i="6" s="1"/>
  <c r="A234" i="4"/>
  <c r="A252" i="6" s="1"/>
  <c r="S233" i="4"/>
  <c r="P233" i="4"/>
  <c r="D251" i="6" s="1"/>
  <c r="O233" i="4"/>
  <c r="N233" i="4"/>
  <c r="M233" i="4"/>
  <c r="B251" i="6" s="1"/>
  <c r="A233" i="4"/>
  <c r="A251" i="6" s="1"/>
  <c r="S232" i="4"/>
  <c r="P232" i="4"/>
  <c r="D250" i="6" s="1"/>
  <c r="O232" i="4"/>
  <c r="N232" i="4"/>
  <c r="M232" i="4"/>
  <c r="B250" i="6" s="1"/>
  <c r="A232" i="4"/>
  <c r="A250" i="6" s="1"/>
  <c r="S231" i="4"/>
  <c r="P231" i="4"/>
  <c r="D249" i="6" s="1"/>
  <c r="O231" i="4"/>
  <c r="N231" i="4"/>
  <c r="M231" i="4"/>
  <c r="B249" i="6" s="1"/>
  <c r="A231" i="4"/>
  <c r="A249" i="6" s="1"/>
  <c r="S230" i="4"/>
  <c r="P230" i="4"/>
  <c r="D248" i="6" s="1"/>
  <c r="O230" i="4"/>
  <c r="N230" i="4"/>
  <c r="M230" i="4"/>
  <c r="B248" i="6" s="1"/>
  <c r="A230" i="4"/>
  <c r="A248" i="6" s="1"/>
  <c r="S229" i="4"/>
  <c r="P229" i="4"/>
  <c r="D247" i="6" s="1"/>
  <c r="O229" i="4"/>
  <c r="N229" i="4"/>
  <c r="M229" i="4"/>
  <c r="B247" i="6" s="1"/>
  <c r="A229" i="4"/>
  <c r="A247" i="6" s="1"/>
  <c r="S228" i="4"/>
  <c r="P228" i="4"/>
  <c r="D246" i="6" s="1"/>
  <c r="O228" i="4"/>
  <c r="N228" i="4"/>
  <c r="M228" i="4"/>
  <c r="B246" i="6" s="1"/>
  <c r="A228" i="4"/>
  <c r="A246" i="6" s="1"/>
  <c r="S227" i="4"/>
  <c r="P227" i="4"/>
  <c r="D245" i="6" s="1"/>
  <c r="O227" i="4"/>
  <c r="N227" i="4"/>
  <c r="M227" i="4"/>
  <c r="B245" i="6" s="1"/>
  <c r="A227" i="4"/>
  <c r="A245" i="6" s="1"/>
  <c r="S226" i="4"/>
  <c r="P226" i="4"/>
  <c r="D244" i="6" s="1"/>
  <c r="O226" i="4"/>
  <c r="N226" i="4"/>
  <c r="M226" i="4"/>
  <c r="B244" i="6" s="1"/>
  <c r="A226" i="4"/>
  <c r="A244" i="6" s="1"/>
  <c r="S225" i="4"/>
  <c r="P225" i="4"/>
  <c r="D243" i="6" s="1"/>
  <c r="O225" i="4"/>
  <c r="N225" i="4"/>
  <c r="M225" i="4"/>
  <c r="B243" i="6" s="1"/>
  <c r="A225" i="4"/>
  <c r="A243" i="6" s="1"/>
  <c r="S224" i="4"/>
  <c r="P224" i="4"/>
  <c r="D242" i="6" s="1"/>
  <c r="O224" i="4"/>
  <c r="N224" i="4"/>
  <c r="M224" i="4"/>
  <c r="B242" i="6" s="1"/>
  <c r="A224" i="4"/>
  <c r="A242" i="6" s="1"/>
  <c r="S223" i="4"/>
  <c r="P223" i="4"/>
  <c r="D241" i="6" s="1"/>
  <c r="O223" i="4"/>
  <c r="N223" i="4"/>
  <c r="M223" i="4"/>
  <c r="B241" i="6" s="1"/>
  <c r="A223" i="4"/>
  <c r="A241" i="6" s="1"/>
  <c r="S222" i="4"/>
  <c r="P222" i="4"/>
  <c r="D240" i="6" s="1"/>
  <c r="O222" i="4"/>
  <c r="N222" i="4"/>
  <c r="M222" i="4"/>
  <c r="B240" i="6" s="1"/>
  <c r="A222" i="4"/>
  <c r="A240" i="6" s="1"/>
  <c r="S221" i="4"/>
  <c r="P221" i="4"/>
  <c r="D239" i="6" s="1"/>
  <c r="O221" i="4"/>
  <c r="N221" i="4"/>
  <c r="M221" i="4"/>
  <c r="B239" i="6" s="1"/>
  <c r="A221" i="4"/>
  <c r="A239" i="6" s="1"/>
  <c r="S220" i="4"/>
  <c r="P220" i="4"/>
  <c r="D238" i="6" s="1"/>
  <c r="O220" i="4"/>
  <c r="N220" i="4"/>
  <c r="M220" i="4"/>
  <c r="B238" i="6" s="1"/>
  <c r="A220" i="4"/>
  <c r="A238" i="6" s="1"/>
  <c r="S219" i="4"/>
  <c r="P219" i="4"/>
  <c r="D237" i="6" s="1"/>
  <c r="O219" i="4"/>
  <c r="N219" i="4"/>
  <c r="M219" i="4"/>
  <c r="B237" i="6" s="1"/>
  <c r="A219" i="4"/>
  <c r="A237" i="6" s="1"/>
  <c r="S218" i="4"/>
  <c r="P218" i="4"/>
  <c r="D236" i="6" s="1"/>
  <c r="O218" i="4"/>
  <c r="N218" i="4"/>
  <c r="M218" i="4"/>
  <c r="B236" i="6" s="1"/>
  <c r="A218" i="4"/>
  <c r="A236" i="6" s="1"/>
  <c r="S217" i="4"/>
  <c r="P217" i="4"/>
  <c r="D235" i="6" s="1"/>
  <c r="O217" i="4"/>
  <c r="N217" i="4"/>
  <c r="M217" i="4"/>
  <c r="B235" i="6" s="1"/>
  <c r="A217" i="4"/>
  <c r="A235" i="6" s="1"/>
  <c r="S216" i="4"/>
  <c r="P216" i="4"/>
  <c r="D234" i="6" s="1"/>
  <c r="O216" i="4"/>
  <c r="N216" i="4"/>
  <c r="M216" i="4"/>
  <c r="B234" i="6" s="1"/>
  <c r="A216" i="4"/>
  <c r="A234" i="6" s="1"/>
  <c r="S215" i="4"/>
  <c r="P215" i="4"/>
  <c r="D233" i="6" s="1"/>
  <c r="O215" i="4"/>
  <c r="N215" i="4"/>
  <c r="M215" i="4"/>
  <c r="B233" i="6" s="1"/>
  <c r="A215" i="4"/>
  <c r="A233" i="6" s="1"/>
  <c r="S214" i="4"/>
  <c r="P214" i="4"/>
  <c r="D232" i="6" s="1"/>
  <c r="O214" i="4"/>
  <c r="N214" i="4"/>
  <c r="M214" i="4"/>
  <c r="B232" i="6" s="1"/>
  <c r="A214" i="4"/>
  <c r="A232" i="6" s="1"/>
  <c r="S213" i="4"/>
  <c r="P213" i="4"/>
  <c r="D231" i="6" s="1"/>
  <c r="O213" i="4"/>
  <c r="N213" i="4"/>
  <c r="M213" i="4"/>
  <c r="B231" i="6" s="1"/>
  <c r="A213" i="4"/>
  <c r="A231" i="6" s="1"/>
  <c r="S212" i="4"/>
  <c r="P212" i="4"/>
  <c r="D230" i="6" s="1"/>
  <c r="O212" i="4"/>
  <c r="N212" i="4"/>
  <c r="M212" i="4"/>
  <c r="B230" i="6" s="1"/>
  <c r="A212" i="4"/>
  <c r="A230" i="6" s="1"/>
  <c r="S211" i="4"/>
  <c r="P211" i="4"/>
  <c r="D229" i="6" s="1"/>
  <c r="O211" i="4"/>
  <c r="N211" i="4"/>
  <c r="M211" i="4"/>
  <c r="B229" i="6" s="1"/>
  <c r="A211" i="4"/>
  <c r="A229" i="6" s="1"/>
  <c r="S210" i="4"/>
  <c r="P210" i="4"/>
  <c r="D228" i="6" s="1"/>
  <c r="O210" i="4"/>
  <c r="N210" i="4"/>
  <c r="M210" i="4"/>
  <c r="B228" i="6" s="1"/>
  <c r="A210" i="4"/>
  <c r="A228" i="6" s="1"/>
  <c r="S209" i="4"/>
  <c r="P209" i="4"/>
  <c r="D227" i="6" s="1"/>
  <c r="O209" i="4"/>
  <c r="N209" i="4"/>
  <c r="M209" i="4"/>
  <c r="B227" i="6" s="1"/>
  <c r="A209" i="4"/>
  <c r="A227" i="6" s="1"/>
  <c r="S208" i="4"/>
  <c r="P208" i="4"/>
  <c r="D226" i="6" s="1"/>
  <c r="O208" i="4"/>
  <c r="N208" i="4"/>
  <c r="M208" i="4"/>
  <c r="B226" i="6" s="1"/>
  <c r="A208" i="4"/>
  <c r="A226" i="6" s="1"/>
  <c r="S207" i="4"/>
  <c r="P207" i="4"/>
  <c r="D225" i="6" s="1"/>
  <c r="O207" i="4"/>
  <c r="N207" i="4"/>
  <c r="M207" i="4"/>
  <c r="B225" i="6" s="1"/>
  <c r="A207" i="4"/>
  <c r="A225" i="6" s="1"/>
  <c r="S206" i="4"/>
  <c r="P206" i="4"/>
  <c r="D224" i="6" s="1"/>
  <c r="O206" i="4"/>
  <c r="N206" i="4"/>
  <c r="M206" i="4"/>
  <c r="B224" i="6" s="1"/>
  <c r="A206" i="4"/>
  <c r="A224" i="6" s="1"/>
  <c r="S205" i="4"/>
  <c r="P205" i="4"/>
  <c r="D223" i="6" s="1"/>
  <c r="O205" i="4"/>
  <c r="N205" i="4"/>
  <c r="M205" i="4"/>
  <c r="B223" i="6" s="1"/>
  <c r="A205" i="4"/>
  <c r="A223" i="6" s="1"/>
  <c r="S204" i="4"/>
  <c r="P204" i="4"/>
  <c r="D222" i="6" s="1"/>
  <c r="O204" i="4"/>
  <c r="N204" i="4"/>
  <c r="M204" i="4"/>
  <c r="B222" i="6" s="1"/>
  <c r="A204" i="4"/>
  <c r="A222" i="6" s="1"/>
  <c r="S203" i="4"/>
  <c r="P203" i="4"/>
  <c r="D221" i="6" s="1"/>
  <c r="O203" i="4"/>
  <c r="N203" i="4"/>
  <c r="M203" i="4"/>
  <c r="B221" i="6" s="1"/>
  <c r="A203" i="4"/>
  <c r="A221" i="6" s="1"/>
  <c r="S202" i="4"/>
  <c r="P202" i="4"/>
  <c r="D220" i="6" s="1"/>
  <c r="O202" i="4"/>
  <c r="N202" i="4"/>
  <c r="M202" i="4"/>
  <c r="B220" i="6" s="1"/>
  <c r="A202" i="4"/>
  <c r="A220" i="6" s="1"/>
  <c r="S201" i="4"/>
  <c r="P201" i="4"/>
  <c r="D219" i="6" s="1"/>
  <c r="O201" i="4"/>
  <c r="N201" i="4"/>
  <c r="M201" i="4"/>
  <c r="B219" i="6" s="1"/>
  <c r="A201" i="4"/>
  <c r="A219" i="6" s="1"/>
  <c r="S200" i="4"/>
  <c r="P200" i="4"/>
  <c r="D218" i="6" s="1"/>
  <c r="O200" i="4"/>
  <c r="N200" i="4"/>
  <c r="M200" i="4"/>
  <c r="B218" i="6" s="1"/>
  <c r="A200" i="4"/>
  <c r="A218" i="6" s="1"/>
  <c r="S199" i="4"/>
  <c r="P199" i="4"/>
  <c r="D217" i="6" s="1"/>
  <c r="O199" i="4"/>
  <c r="N199" i="4"/>
  <c r="M199" i="4"/>
  <c r="B217" i="6" s="1"/>
  <c r="A199" i="4"/>
  <c r="A217" i="6" s="1"/>
  <c r="S198" i="4"/>
  <c r="P198" i="4"/>
  <c r="D216" i="6" s="1"/>
  <c r="O198" i="4"/>
  <c r="N198" i="4"/>
  <c r="M198" i="4"/>
  <c r="B216" i="6" s="1"/>
  <c r="A198" i="4"/>
  <c r="A216" i="6" s="1"/>
  <c r="S197" i="4"/>
  <c r="P197" i="4"/>
  <c r="D215" i="6" s="1"/>
  <c r="O197" i="4"/>
  <c r="N197" i="4"/>
  <c r="M197" i="4"/>
  <c r="B215" i="6" s="1"/>
  <c r="A197" i="4"/>
  <c r="A215" i="6" s="1"/>
  <c r="S196" i="4"/>
  <c r="P196" i="4"/>
  <c r="D214" i="6" s="1"/>
  <c r="O196" i="4"/>
  <c r="N196" i="4"/>
  <c r="M196" i="4"/>
  <c r="B214" i="6" s="1"/>
  <c r="A196" i="4"/>
  <c r="A214" i="6" s="1"/>
  <c r="S195" i="4"/>
  <c r="P195" i="4"/>
  <c r="D213" i="6" s="1"/>
  <c r="O195" i="4"/>
  <c r="N195" i="4"/>
  <c r="M195" i="4"/>
  <c r="B213" i="6" s="1"/>
  <c r="A195" i="4"/>
  <c r="A213" i="6" s="1"/>
  <c r="S194" i="4"/>
  <c r="P194" i="4"/>
  <c r="D212" i="6" s="1"/>
  <c r="O194" i="4"/>
  <c r="N194" i="4"/>
  <c r="M194" i="4"/>
  <c r="B212" i="6" s="1"/>
  <c r="A194" i="4"/>
  <c r="A212" i="6" s="1"/>
  <c r="S193" i="4"/>
  <c r="P193" i="4"/>
  <c r="D211" i="6" s="1"/>
  <c r="O193" i="4"/>
  <c r="N193" i="4"/>
  <c r="M193" i="4"/>
  <c r="B211" i="6" s="1"/>
  <c r="A193" i="4"/>
  <c r="A211" i="6" s="1"/>
  <c r="S192" i="4"/>
  <c r="P192" i="4"/>
  <c r="D210" i="6" s="1"/>
  <c r="O192" i="4"/>
  <c r="N192" i="4"/>
  <c r="M192" i="4"/>
  <c r="B210" i="6" s="1"/>
  <c r="A192" i="4"/>
  <c r="A210" i="6" s="1"/>
  <c r="S191" i="4"/>
  <c r="P191" i="4"/>
  <c r="D209" i="6" s="1"/>
  <c r="O191" i="4"/>
  <c r="N191" i="4"/>
  <c r="M191" i="4"/>
  <c r="B209" i="6" s="1"/>
  <c r="A191" i="4"/>
  <c r="A209" i="6" s="1"/>
  <c r="S190" i="4"/>
  <c r="P190" i="4"/>
  <c r="D208" i="6" s="1"/>
  <c r="O190" i="4"/>
  <c r="N190" i="4"/>
  <c r="M190" i="4"/>
  <c r="B208" i="6" s="1"/>
  <c r="A190" i="4"/>
  <c r="A208" i="6" s="1"/>
  <c r="S189" i="4"/>
  <c r="P189" i="4"/>
  <c r="D207" i="6" s="1"/>
  <c r="O189" i="4"/>
  <c r="N189" i="4"/>
  <c r="M189" i="4"/>
  <c r="B207" i="6" s="1"/>
  <c r="A189" i="4"/>
  <c r="A207" i="6" s="1"/>
  <c r="S188" i="4"/>
  <c r="P188" i="4"/>
  <c r="D206" i="6" s="1"/>
  <c r="O188" i="4"/>
  <c r="N188" i="4"/>
  <c r="M188" i="4"/>
  <c r="B206" i="6" s="1"/>
  <c r="A188" i="4"/>
  <c r="A206" i="6" s="1"/>
  <c r="S187" i="4"/>
  <c r="P187" i="4"/>
  <c r="D205" i="6" s="1"/>
  <c r="O187" i="4"/>
  <c r="N187" i="4"/>
  <c r="M187" i="4"/>
  <c r="B205" i="6" s="1"/>
  <c r="A187" i="4"/>
  <c r="A205" i="6" s="1"/>
  <c r="S186" i="4"/>
  <c r="P186" i="4"/>
  <c r="D204" i="6" s="1"/>
  <c r="O186" i="4"/>
  <c r="N186" i="4"/>
  <c r="M186" i="4"/>
  <c r="B204" i="6" s="1"/>
  <c r="A186" i="4"/>
  <c r="A204" i="6" s="1"/>
  <c r="S185" i="4"/>
  <c r="P185" i="4"/>
  <c r="D203" i="6" s="1"/>
  <c r="O185" i="4"/>
  <c r="N185" i="4"/>
  <c r="M185" i="4"/>
  <c r="B203" i="6" s="1"/>
  <c r="A185" i="4"/>
  <c r="A203" i="6" s="1"/>
  <c r="S184" i="4"/>
  <c r="P184" i="4"/>
  <c r="D202" i="6" s="1"/>
  <c r="O184" i="4"/>
  <c r="N184" i="4"/>
  <c r="M184" i="4"/>
  <c r="B202" i="6" s="1"/>
  <c r="A184" i="4"/>
  <c r="A202" i="6" s="1"/>
  <c r="S183" i="4"/>
  <c r="P183" i="4"/>
  <c r="D201" i="6" s="1"/>
  <c r="O183" i="4"/>
  <c r="N183" i="4"/>
  <c r="M183" i="4"/>
  <c r="B201" i="6" s="1"/>
  <c r="A183" i="4"/>
  <c r="A201" i="6" s="1"/>
  <c r="S182" i="4"/>
  <c r="P182" i="4"/>
  <c r="D200" i="6" s="1"/>
  <c r="O182" i="4"/>
  <c r="N182" i="4"/>
  <c r="M182" i="4"/>
  <c r="B200" i="6" s="1"/>
  <c r="A182" i="4"/>
  <c r="A200" i="6" s="1"/>
  <c r="S181" i="4"/>
  <c r="P181" i="4"/>
  <c r="D199" i="6" s="1"/>
  <c r="O181" i="4"/>
  <c r="N181" i="4"/>
  <c r="M181" i="4"/>
  <c r="B199" i="6" s="1"/>
  <c r="A181" i="4"/>
  <c r="A199" i="6" s="1"/>
  <c r="S180" i="4"/>
  <c r="P180" i="4"/>
  <c r="D198" i="6" s="1"/>
  <c r="O180" i="4"/>
  <c r="N180" i="4"/>
  <c r="M180" i="4"/>
  <c r="B198" i="6" s="1"/>
  <c r="A180" i="4"/>
  <c r="A198" i="6" s="1"/>
  <c r="S179" i="4"/>
  <c r="P179" i="4"/>
  <c r="D197" i="6" s="1"/>
  <c r="O179" i="4"/>
  <c r="N179" i="4"/>
  <c r="M179" i="4"/>
  <c r="B197" i="6" s="1"/>
  <c r="A179" i="4"/>
  <c r="A197" i="6" s="1"/>
  <c r="S178" i="4"/>
  <c r="P178" i="4"/>
  <c r="D196" i="6" s="1"/>
  <c r="O178" i="4"/>
  <c r="N178" i="4"/>
  <c r="M178" i="4"/>
  <c r="B196" i="6" s="1"/>
  <c r="A178" i="4"/>
  <c r="A196" i="6" s="1"/>
  <c r="S177" i="4"/>
  <c r="P177" i="4"/>
  <c r="D195" i="6" s="1"/>
  <c r="O177" i="4"/>
  <c r="N177" i="4"/>
  <c r="M177" i="4"/>
  <c r="B195" i="6" s="1"/>
  <c r="A177" i="4"/>
  <c r="A195" i="6" s="1"/>
  <c r="S176" i="4"/>
  <c r="P176" i="4"/>
  <c r="D194" i="6" s="1"/>
  <c r="O176" i="4"/>
  <c r="N176" i="4"/>
  <c r="M176" i="4"/>
  <c r="B194" i="6" s="1"/>
  <c r="A176" i="4"/>
  <c r="A194" i="6" s="1"/>
  <c r="S175" i="4"/>
  <c r="P175" i="4"/>
  <c r="D193" i="6" s="1"/>
  <c r="O175" i="4"/>
  <c r="N175" i="4"/>
  <c r="M175" i="4"/>
  <c r="B193" i="6" s="1"/>
  <c r="A175" i="4"/>
  <c r="A193" i="6" s="1"/>
  <c r="S174" i="4"/>
  <c r="P174" i="4"/>
  <c r="D192" i="6" s="1"/>
  <c r="O174" i="4"/>
  <c r="N174" i="4"/>
  <c r="M174" i="4"/>
  <c r="B192" i="6" s="1"/>
  <c r="A174" i="4"/>
  <c r="A192" i="6" s="1"/>
  <c r="S173" i="4"/>
  <c r="P173" i="4"/>
  <c r="D191" i="6" s="1"/>
  <c r="O173" i="4"/>
  <c r="N173" i="4"/>
  <c r="M173" i="4"/>
  <c r="B191" i="6" s="1"/>
  <c r="A173" i="4"/>
  <c r="A191" i="6" s="1"/>
  <c r="S172" i="4"/>
  <c r="P172" i="4"/>
  <c r="D190" i="6" s="1"/>
  <c r="O172" i="4"/>
  <c r="N172" i="4"/>
  <c r="M172" i="4"/>
  <c r="B190" i="6" s="1"/>
  <c r="A172" i="4"/>
  <c r="A190" i="6" s="1"/>
  <c r="S171" i="4"/>
  <c r="P171" i="4"/>
  <c r="D189" i="6" s="1"/>
  <c r="O171" i="4"/>
  <c r="N171" i="4"/>
  <c r="M171" i="4"/>
  <c r="B189" i="6" s="1"/>
  <c r="A171" i="4"/>
  <c r="A189" i="6" s="1"/>
  <c r="S170" i="4"/>
  <c r="P170" i="4"/>
  <c r="D188" i="6" s="1"/>
  <c r="O170" i="4"/>
  <c r="N170" i="4"/>
  <c r="M170" i="4"/>
  <c r="B188" i="6" s="1"/>
  <c r="A170" i="4"/>
  <c r="A188" i="6" s="1"/>
  <c r="S169" i="4"/>
  <c r="P169" i="4"/>
  <c r="D187" i="6" s="1"/>
  <c r="O169" i="4"/>
  <c r="N169" i="4"/>
  <c r="M169" i="4"/>
  <c r="B187" i="6" s="1"/>
  <c r="A169" i="4"/>
  <c r="A187" i="6" s="1"/>
  <c r="S168" i="4"/>
  <c r="P168" i="4"/>
  <c r="D186" i="6" s="1"/>
  <c r="O168" i="4"/>
  <c r="N168" i="4"/>
  <c r="M168" i="4"/>
  <c r="B186" i="6" s="1"/>
  <c r="A168" i="4"/>
  <c r="A186" i="6" s="1"/>
  <c r="S167" i="4"/>
  <c r="P167" i="4"/>
  <c r="D185" i="6" s="1"/>
  <c r="O167" i="4"/>
  <c r="N167" i="4"/>
  <c r="M167" i="4"/>
  <c r="B185" i="6" s="1"/>
  <c r="A167" i="4"/>
  <c r="A185" i="6" s="1"/>
  <c r="S166" i="4"/>
  <c r="P166" i="4"/>
  <c r="D184" i="6" s="1"/>
  <c r="O166" i="4"/>
  <c r="N166" i="4"/>
  <c r="M166" i="4"/>
  <c r="B184" i="6" s="1"/>
  <c r="A166" i="4"/>
  <c r="A184" i="6" s="1"/>
  <c r="S165" i="4"/>
  <c r="P165" i="4"/>
  <c r="D183" i="6" s="1"/>
  <c r="O165" i="4"/>
  <c r="N165" i="4"/>
  <c r="M165" i="4"/>
  <c r="B183" i="6" s="1"/>
  <c r="A165" i="4"/>
  <c r="A183" i="6" s="1"/>
  <c r="S164" i="4"/>
  <c r="P164" i="4"/>
  <c r="D182" i="6" s="1"/>
  <c r="O164" i="4"/>
  <c r="N164" i="4"/>
  <c r="M164" i="4"/>
  <c r="B182" i="6" s="1"/>
  <c r="A164" i="4"/>
  <c r="A182" i="6" s="1"/>
  <c r="S163" i="4"/>
  <c r="P163" i="4"/>
  <c r="D181" i="6" s="1"/>
  <c r="O163" i="4"/>
  <c r="N163" i="4"/>
  <c r="M163" i="4"/>
  <c r="B181" i="6" s="1"/>
  <c r="A163" i="4"/>
  <c r="A181" i="6" s="1"/>
  <c r="S162" i="4"/>
  <c r="P162" i="4"/>
  <c r="D180" i="6" s="1"/>
  <c r="O162" i="4"/>
  <c r="N162" i="4"/>
  <c r="M162" i="4"/>
  <c r="B180" i="6" s="1"/>
  <c r="A162" i="4"/>
  <c r="A180" i="6" s="1"/>
  <c r="S161" i="4"/>
  <c r="P161" i="4"/>
  <c r="D179" i="6" s="1"/>
  <c r="O161" i="4"/>
  <c r="N161" i="4"/>
  <c r="M161" i="4"/>
  <c r="B179" i="6" s="1"/>
  <c r="A161" i="4"/>
  <c r="A179" i="6" s="1"/>
  <c r="S160" i="4"/>
  <c r="P160" i="4"/>
  <c r="D178" i="6" s="1"/>
  <c r="O160" i="4"/>
  <c r="N160" i="4"/>
  <c r="M160" i="4"/>
  <c r="B178" i="6" s="1"/>
  <c r="A160" i="4"/>
  <c r="A178" i="6" s="1"/>
  <c r="S159" i="4"/>
  <c r="P159" i="4"/>
  <c r="D177" i="6" s="1"/>
  <c r="O159" i="4"/>
  <c r="N159" i="4"/>
  <c r="M159" i="4"/>
  <c r="B177" i="6" s="1"/>
  <c r="A159" i="4"/>
  <c r="A177" i="6" s="1"/>
  <c r="S158" i="4"/>
  <c r="P158" i="4"/>
  <c r="D176" i="6" s="1"/>
  <c r="O158" i="4"/>
  <c r="N158" i="4"/>
  <c r="M158" i="4"/>
  <c r="B176" i="6" s="1"/>
  <c r="A158" i="4"/>
  <c r="A176" i="6" s="1"/>
  <c r="S157" i="4"/>
  <c r="P157" i="4"/>
  <c r="D175" i="6" s="1"/>
  <c r="O157" i="4"/>
  <c r="N157" i="4"/>
  <c r="M157" i="4"/>
  <c r="B175" i="6" s="1"/>
  <c r="A157" i="4"/>
  <c r="A175" i="6" s="1"/>
  <c r="S156" i="4"/>
  <c r="P156" i="4"/>
  <c r="D174" i="6" s="1"/>
  <c r="O156" i="4"/>
  <c r="N156" i="4"/>
  <c r="M156" i="4"/>
  <c r="B174" i="6" s="1"/>
  <c r="A156" i="4"/>
  <c r="A174" i="6" s="1"/>
  <c r="S155" i="4"/>
  <c r="P155" i="4"/>
  <c r="D173" i="6" s="1"/>
  <c r="O155" i="4"/>
  <c r="N155" i="4"/>
  <c r="M155" i="4"/>
  <c r="B173" i="6" s="1"/>
  <c r="A155" i="4"/>
  <c r="A173" i="6" s="1"/>
  <c r="S154" i="4"/>
  <c r="P154" i="4"/>
  <c r="D172" i="6" s="1"/>
  <c r="O154" i="4"/>
  <c r="N154" i="4"/>
  <c r="M154" i="4"/>
  <c r="B172" i="6" s="1"/>
  <c r="A154" i="4"/>
  <c r="A172" i="6" s="1"/>
  <c r="S153" i="4"/>
  <c r="P153" i="4"/>
  <c r="O153" i="4"/>
  <c r="N153" i="4"/>
  <c r="M153" i="4"/>
  <c r="A153" i="4"/>
  <c r="S152" i="4"/>
  <c r="P152" i="4"/>
  <c r="O152" i="4"/>
  <c r="N152" i="4"/>
  <c r="M152" i="4"/>
  <c r="A152" i="4"/>
  <c r="S151" i="4"/>
  <c r="P151" i="4"/>
  <c r="O151" i="4"/>
  <c r="N151" i="4"/>
  <c r="M151" i="4"/>
  <c r="A151" i="4"/>
  <c r="S150" i="4"/>
  <c r="P150" i="4"/>
  <c r="O150" i="4"/>
  <c r="N150" i="4"/>
  <c r="M150" i="4"/>
  <c r="A150" i="4"/>
  <c r="S149" i="4"/>
  <c r="P149" i="4"/>
  <c r="O149" i="4"/>
  <c r="N149" i="4"/>
  <c r="M149" i="4"/>
  <c r="A149" i="4"/>
  <c r="S148" i="4"/>
  <c r="P148" i="4"/>
  <c r="O148" i="4"/>
  <c r="N148" i="4"/>
  <c r="M148" i="4"/>
  <c r="A148" i="4"/>
  <c r="S147" i="4"/>
  <c r="P147" i="4"/>
  <c r="O147" i="4"/>
  <c r="N147" i="4"/>
  <c r="M147" i="4"/>
  <c r="A147" i="4"/>
  <c r="S146" i="4"/>
  <c r="P146" i="4"/>
  <c r="O146" i="4"/>
  <c r="N146" i="4"/>
  <c r="M146" i="4"/>
  <c r="A146" i="4"/>
  <c r="S145" i="4"/>
  <c r="P145" i="4"/>
  <c r="D163" i="6" s="1"/>
  <c r="O145" i="4"/>
  <c r="N145" i="4"/>
  <c r="M145" i="4"/>
  <c r="B163" i="6" s="1"/>
  <c r="A145" i="4"/>
  <c r="A163" i="6" s="1"/>
  <c r="S144" i="4"/>
  <c r="P144" i="4"/>
  <c r="O144" i="4"/>
  <c r="N144" i="4"/>
  <c r="M144" i="4"/>
  <c r="A144" i="4"/>
  <c r="S143" i="4"/>
  <c r="P143" i="4"/>
  <c r="O143" i="4"/>
  <c r="N143" i="4"/>
  <c r="M143" i="4"/>
  <c r="A143" i="4"/>
  <c r="S142" i="4"/>
  <c r="P142" i="4"/>
  <c r="O142" i="4"/>
  <c r="N142" i="4"/>
  <c r="M142" i="4"/>
  <c r="A142" i="4"/>
  <c r="S141" i="4"/>
  <c r="P141" i="4"/>
  <c r="D159" i="6" s="1"/>
  <c r="O141" i="4"/>
  <c r="N141" i="4"/>
  <c r="M141" i="4"/>
  <c r="B159" i="6" s="1"/>
  <c r="A141" i="4"/>
  <c r="A159" i="6" s="1"/>
  <c r="S140" i="4"/>
  <c r="P140" i="4"/>
  <c r="D158" i="6" s="1"/>
  <c r="O140" i="4"/>
  <c r="N140" i="4"/>
  <c r="M140" i="4"/>
  <c r="B158" i="6" s="1"/>
  <c r="A140" i="4"/>
  <c r="A158" i="6" s="1"/>
  <c r="S139" i="4"/>
  <c r="P139" i="4"/>
  <c r="O139" i="4"/>
  <c r="N139" i="4"/>
  <c r="M139" i="4"/>
  <c r="A139" i="4"/>
  <c r="S138" i="4"/>
  <c r="P138" i="4"/>
  <c r="O138" i="4"/>
  <c r="N138" i="4"/>
  <c r="M138" i="4"/>
  <c r="A138" i="4"/>
  <c r="S137" i="4"/>
  <c r="P137" i="4"/>
  <c r="O137" i="4"/>
  <c r="N137" i="4"/>
  <c r="M137" i="4"/>
  <c r="A137" i="4"/>
  <c r="S136" i="4"/>
  <c r="P136" i="4"/>
  <c r="D154" i="6" s="1"/>
  <c r="O136" i="4"/>
  <c r="N136" i="4"/>
  <c r="M136" i="4"/>
  <c r="B154" i="6" s="1"/>
  <c r="A136" i="4"/>
  <c r="A154" i="6" s="1"/>
  <c r="S135" i="4"/>
  <c r="P135" i="4"/>
  <c r="O135" i="4"/>
  <c r="N135" i="4"/>
  <c r="M135" i="4"/>
  <c r="A135" i="4"/>
  <c r="S134" i="4"/>
  <c r="P134" i="4"/>
  <c r="O134" i="4"/>
  <c r="N134" i="4"/>
  <c r="M134" i="4"/>
  <c r="A134" i="4"/>
  <c r="S133" i="4"/>
  <c r="P133" i="4"/>
  <c r="O133" i="4"/>
  <c r="N133" i="4"/>
  <c r="M133" i="4"/>
  <c r="A133" i="4"/>
  <c r="S132" i="4"/>
  <c r="P132" i="4"/>
  <c r="O132" i="4"/>
  <c r="N132" i="4"/>
  <c r="M132" i="4"/>
  <c r="A132" i="4"/>
  <c r="S131" i="4"/>
  <c r="P131" i="4"/>
  <c r="D149" i="6" s="1"/>
  <c r="O131" i="4"/>
  <c r="N131" i="4"/>
  <c r="M131" i="4"/>
  <c r="B149" i="6" s="1"/>
  <c r="A131" i="4"/>
  <c r="A149" i="6" s="1"/>
  <c r="S130" i="4"/>
  <c r="P130" i="4"/>
  <c r="D148" i="6" s="1"/>
  <c r="O130" i="4"/>
  <c r="N130" i="4"/>
  <c r="M130" i="4"/>
  <c r="B148" i="6" s="1"/>
  <c r="A130" i="4"/>
  <c r="A148" i="6" s="1"/>
  <c r="S129" i="4"/>
  <c r="P129" i="4"/>
  <c r="O129" i="4"/>
  <c r="N129" i="4"/>
  <c r="M129" i="4"/>
  <c r="A129" i="4"/>
  <c r="S128" i="4"/>
  <c r="P128" i="4"/>
  <c r="D146" i="6" s="1"/>
  <c r="O128" i="4"/>
  <c r="N128" i="4"/>
  <c r="M128" i="4"/>
  <c r="B146" i="6" s="1"/>
  <c r="A128" i="4"/>
  <c r="A146" i="6" s="1"/>
  <c r="S127" i="4"/>
  <c r="P127" i="4"/>
  <c r="D145" i="6" s="1"/>
  <c r="O127" i="4"/>
  <c r="N127" i="4"/>
  <c r="M127" i="4"/>
  <c r="B145" i="6" s="1"/>
  <c r="A127" i="4"/>
  <c r="A145" i="6" s="1"/>
  <c r="S126" i="4"/>
  <c r="P126" i="4"/>
  <c r="D144" i="6" s="1"/>
  <c r="O126" i="4"/>
  <c r="N126" i="4"/>
  <c r="M126" i="4"/>
  <c r="B144" i="6" s="1"/>
  <c r="A126" i="4"/>
  <c r="A144" i="6" s="1"/>
  <c r="S125" i="4"/>
  <c r="P125" i="4"/>
  <c r="O125" i="4"/>
  <c r="N125" i="4"/>
  <c r="M125" i="4"/>
  <c r="A125" i="4"/>
  <c r="S124" i="4"/>
  <c r="P124" i="4"/>
  <c r="O124" i="4"/>
  <c r="N124" i="4"/>
  <c r="M124" i="4"/>
  <c r="A124" i="4"/>
  <c r="S123" i="4"/>
  <c r="P123" i="4"/>
  <c r="O123" i="4"/>
  <c r="N123" i="4"/>
  <c r="M123" i="4"/>
  <c r="A123" i="4"/>
  <c r="S122" i="4"/>
  <c r="P122" i="4"/>
  <c r="O122" i="4"/>
  <c r="N122" i="4"/>
  <c r="M122" i="4"/>
  <c r="A122" i="4"/>
  <c r="S121" i="4"/>
  <c r="P121" i="4"/>
  <c r="D139" i="6" s="1"/>
  <c r="O121" i="4"/>
  <c r="N121" i="4"/>
  <c r="M121" i="4"/>
  <c r="B139" i="6" s="1"/>
  <c r="A121" i="4"/>
  <c r="A139" i="6" s="1"/>
  <c r="S120" i="4"/>
  <c r="P120" i="4"/>
  <c r="D138" i="6" s="1"/>
  <c r="O120" i="4"/>
  <c r="N120" i="4"/>
  <c r="M120" i="4"/>
  <c r="B138" i="6" s="1"/>
  <c r="A120" i="4"/>
  <c r="A138" i="6" s="1"/>
  <c r="S119" i="4"/>
  <c r="P119" i="4"/>
  <c r="D137" i="6" s="1"/>
  <c r="O119" i="4"/>
  <c r="N119" i="4"/>
  <c r="M119" i="4"/>
  <c r="B137" i="6" s="1"/>
  <c r="A119" i="4"/>
  <c r="A137" i="6" s="1"/>
  <c r="S118" i="4"/>
  <c r="P118" i="4"/>
  <c r="D136" i="6" s="1"/>
  <c r="O118" i="4"/>
  <c r="N118" i="4"/>
  <c r="M118" i="4"/>
  <c r="B136" i="6" s="1"/>
  <c r="A118" i="4"/>
  <c r="A136" i="6" s="1"/>
  <c r="S117" i="4"/>
  <c r="P117" i="4"/>
  <c r="D135" i="6" s="1"/>
  <c r="O117" i="4"/>
  <c r="N117" i="4"/>
  <c r="M117" i="4"/>
  <c r="B135" i="6" s="1"/>
  <c r="A117" i="4"/>
  <c r="A135" i="6" s="1"/>
  <c r="S116" i="4"/>
  <c r="P116" i="4"/>
  <c r="D134" i="6" s="1"/>
  <c r="O116" i="4"/>
  <c r="N116" i="4"/>
  <c r="M116" i="4"/>
  <c r="B134" i="6" s="1"/>
  <c r="A116" i="4"/>
  <c r="A134" i="6" s="1"/>
  <c r="S115" i="4"/>
  <c r="P115" i="4"/>
  <c r="D133" i="6" s="1"/>
  <c r="O115" i="4"/>
  <c r="N115" i="4"/>
  <c r="M115" i="4"/>
  <c r="B133" i="6" s="1"/>
  <c r="A115" i="4"/>
  <c r="A133" i="6" s="1"/>
  <c r="S114" i="4"/>
  <c r="P114" i="4"/>
  <c r="D132" i="6" s="1"/>
  <c r="O114" i="4"/>
  <c r="N114" i="4"/>
  <c r="M114" i="4"/>
  <c r="B132" i="6" s="1"/>
  <c r="A114" i="4"/>
  <c r="A132" i="6" s="1"/>
  <c r="S113" i="4"/>
  <c r="P113" i="4"/>
  <c r="D131" i="6" s="1"/>
  <c r="O113" i="4"/>
  <c r="N113" i="4"/>
  <c r="M113" i="4"/>
  <c r="B131" i="6" s="1"/>
  <c r="A113" i="4"/>
  <c r="A131" i="6" s="1"/>
  <c r="S112" i="4"/>
  <c r="P112" i="4"/>
  <c r="O112" i="4"/>
  <c r="N112" i="4"/>
  <c r="M112" i="4"/>
  <c r="A112" i="4"/>
  <c r="S111" i="4"/>
  <c r="P111" i="4"/>
  <c r="D129" i="6" s="1"/>
  <c r="O111" i="4"/>
  <c r="N111" i="4"/>
  <c r="M111" i="4"/>
  <c r="B129" i="6" s="1"/>
  <c r="A111" i="4"/>
  <c r="A129" i="6" s="1"/>
  <c r="S110" i="4"/>
  <c r="P110" i="4"/>
  <c r="D128" i="6" s="1"/>
  <c r="O110" i="4"/>
  <c r="N110" i="4"/>
  <c r="M110" i="4"/>
  <c r="B128" i="6" s="1"/>
  <c r="A110" i="4"/>
  <c r="A128" i="6" s="1"/>
  <c r="S109" i="4"/>
  <c r="P109" i="4"/>
  <c r="D126" i="6" s="1"/>
  <c r="O109" i="4"/>
  <c r="N109" i="4"/>
  <c r="M109" i="4"/>
  <c r="B126" i="6" s="1"/>
  <c r="A109" i="4"/>
  <c r="A126" i="6" s="1"/>
  <c r="S108" i="4"/>
  <c r="P108" i="4"/>
  <c r="O108" i="4"/>
  <c r="N108" i="4"/>
  <c r="M108" i="4"/>
  <c r="A108" i="4"/>
  <c r="S107" i="4"/>
  <c r="P107" i="4"/>
  <c r="D123" i="6" s="1"/>
  <c r="O107" i="4"/>
  <c r="N107" i="4"/>
  <c r="M107" i="4"/>
  <c r="B123" i="6" s="1"/>
  <c r="A107" i="4"/>
  <c r="A123" i="6" s="1"/>
  <c r="S106" i="4"/>
  <c r="P106" i="4"/>
  <c r="O106" i="4"/>
  <c r="N106" i="4"/>
  <c r="M106" i="4"/>
  <c r="A106" i="4"/>
  <c r="S105" i="4"/>
  <c r="P105" i="4"/>
  <c r="D121" i="6" s="1"/>
  <c r="O105" i="4"/>
  <c r="N105" i="4"/>
  <c r="M105" i="4"/>
  <c r="B121" i="6" s="1"/>
  <c r="A105" i="4"/>
  <c r="A121" i="6" s="1"/>
  <c r="S104" i="4"/>
  <c r="P104" i="4"/>
  <c r="O104" i="4"/>
  <c r="N104" i="4"/>
  <c r="M104" i="4"/>
  <c r="A104" i="4"/>
  <c r="S103" i="4"/>
  <c r="P103" i="4"/>
  <c r="D119" i="6" s="1"/>
  <c r="O103" i="4"/>
  <c r="N103" i="4"/>
  <c r="M103" i="4"/>
  <c r="B119" i="6" s="1"/>
  <c r="A103" i="4"/>
  <c r="A119" i="6" s="1"/>
  <c r="S102" i="4"/>
  <c r="P102" i="4"/>
  <c r="O102" i="4"/>
  <c r="N102" i="4"/>
  <c r="M102" i="4"/>
  <c r="A102" i="4"/>
  <c r="S101" i="4"/>
  <c r="P101" i="4"/>
  <c r="O101" i="4"/>
  <c r="N101" i="4"/>
  <c r="M101" i="4"/>
  <c r="A101" i="4"/>
  <c r="S100" i="4"/>
  <c r="P100" i="4"/>
  <c r="D115" i="6" s="1"/>
  <c r="O100" i="4"/>
  <c r="N100" i="4"/>
  <c r="M100" i="4"/>
  <c r="B115" i="6" s="1"/>
  <c r="A100" i="4"/>
  <c r="A115" i="6" s="1"/>
  <c r="S99" i="4"/>
  <c r="P99" i="4"/>
  <c r="D114" i="6" s="1"/>
  <c r="O99" i="4"/>
  <c r="N99" i="4"/>
  <c r="M99" i="4"/>
  <c r="B114" i="6" s="1"/>
  <c r="A99" i="4"/>
  <c r="A114" i="6" s="1"/>
  <c r="S98" i="4"/>
  <c r="P98" i="4"/>
  <c r="O98" i="4"/>
  <c r="N98" i="4"/>
  <c r="M98" i="4"/>
  <c r="A98" i="4"/>
  <c r="S97" i="4"/>
  <c r="P97" i="4"/>
  <c r="O97" i="4"/>
  <c r="N97" i="4"/>
  <c r="M97" i="4"/>
  <c r="A97" i="4"/>
  <c r="S96" i="4"/>
  <c r="P96" i="4"/>
  <c r="O96" i="4"/>
  <c r="N96" i="4"/>
  <c r="M96" i="4"/>
  <c r="A96" i="4"/>
  <c r="S95" i="4"/>
  <c r="P95" i="4"/>
  <c r="O95" i="4"/>
  <c r="N95" i="4"/>
  <c r="M95" i="4"/>
  <c r="A95" i="4"/>
  <c r="S94" i="4"/>
  <c r="P94" i="4"/>
  <c r="O94" i="4"/>
  <c r="N94" i="4"/>
  <c r="M94" i="4"/>
  <c r="A94" i="4"/>
  <c r="S93" i="4"/>
  <c r="P93" i="4"/>
  <c r="O93" i="4"/>
  <c r="N93" i="4"/>
  <c r="M93" i="4"/>
  <c r="A93" i="4"/>
  <c r="S92" i="4"/>
  <c r="P92" i="4"/>
  <c r="O92" i="4"/>
  <c r="N92" i="4"/>
  <c r="M92" i="4"/>
  <c r="A92" i="4"/>
  <c r="S91" i="4"/>
  <c r="P91" i="4"/>
  <c r="O91" i="4"/>
  <c r="N91" i="4"/>
  <c r="M91" i="4"/>
  <c r="A91" i="4"/>
  <c r="S90" i="4"/>
  <c r="P90" i="4"/>
  <c r="O90" i="4"/>
  <c r="N90" i="4"/>
  <c r="M90" i="4"/>
  <c r="A90" i="4"/>
  <c r="S89" i="4"/>
  <c r="P89" i="4"/>
  <c r="O89" i="4"/>
  <c r="N89" i="4"/>
  <c r="M89" i="4"/>
  <c r="A89" i="4"/>
  <c r="S88" i="4"/>
  <c r="P88" i="4"/>
  <c r="O88" i="4"/>
  <c r="N88" i="4"/>
  <c r="M88" i="4"/>
  <c r="A88" i="4"/>
  <c r="S87" i="4"/>
  <c r="P87" i="4"/>
  <c r="O87" i="4"/>
  <c r="N87" i="4"/>
  <c r="M87" i="4"/>
  <c r="A87" i="4"/>
  <c r="S86" i="4"/>
  <c r="P86" i="4"/>
  <c r="O86" i="4"/>
  <c r="N86" i="4"/>
  <c r="M86" i="4"/>
  <c r="A86" i="4"/>
  <c r="S85" i="4"/>
  <c r="P85" i="4"/>
  <c r="O85" i="4"/>
  <c r="N85" i="4"/>
  <c r="M85" i="4"/>
  <c r="A85" i="4"/>
  <c r="S84" i="4"/>
  <c r="P84" i="4"/>
  <c r="O84" i="4"/>
  <c r="N84" i="4"/>
  <c r="M84" i="4"/>
  <c r="A84" i="4"/>
  <c r="S83" i="4"/>
  <c r="P83" i="4"/>
  <c r="O83" i="4"/>
  <c r="N83" i="4"/>
  <c r="M83" i="4"/>
  <c r="A83" i="4"/>
  <c r="S82" i="4"/>
  <c r="P82" i="4"/>
  <c r="O82" i="4"/>
  <c r="N82" i="4"/>
  <c r="M82" i="4"/>
  <c r="A82" i="4"/>
  <c r="S81" i="4"/>
  <c r="P81" i="4"/>
  <c r="O81" i="4"/>
  <c r="N81" i="4"/>
  <c r="M81" i="4"/>
  <c r="A81" i="4"/>
  <c r="S80" i="4"/>
  <c r="P80" i="4"/>
  <c r="O80" i="4"/>
  <c r="N80" i="4"/>
  <c r="M80" i="4"/>
  <c r="A80" i="4"/>
  <c r="S79" i="4"/>
  <c r="P79" i="4"/>
  <c r="O79" i="4"/>
  <c r="N79" i="4"/>
  <c r="M79" i="4"/>
  <c r="A79" i="4"/>
  <c r="S78" i="4"/>
  <c r="P78" i="4"/>
  <c r="O78" i="4"/>
  <c r="N78" i="4"/>
  <c r="M78" i="4"/>
  <c r="A78" i="4"/>
  <c r="S77" i="4"/>
  <c r="P77" i="4"/>
  <c r="O77" i="4"/>
  <c r="N77" i="4"/>
  <c r="M77" i="4"/>
  <c r="A77" i="4"/>
  <c r="S76" i="4"/>
  <c r="P76" i="4"/>
  <c r="O76" i="4"/>
  <c r="N76" i="4"/>
  <c r="M76" i="4"/>
  <c r="A76" i="4"/>
  <c r="S75" i="4"/>
  <c r="P75" i="4"/>
  <c r="O75" i="4"/>
  <c r="N75" i="4"/>
  <c r="M75" i="4"/>
  <c r="A75" i="4"/>
  <c r="S74" i="4"/>
  <c r="P74" i="4"/>
  <c r="O74" i="4"/>
  <c r="N74" i="4"/>
  <c r="M74" i="4"/>
  <c r="A74" i="4"/>
  <c r="S73" i="4"/>
  <c r="P73" i="4"/>
  <c r="O73" i="4"/>
  <c r="N73" i="4"/>
  <c r="M73" i="4"/>
  <c r="A73" i="4"/>
  <c r="S72" i="4"/>
  <c r="P72" i="4"/>
  <c r="O72" i="4"/>
  <c r="N72" i="4"/>
  <c r="M72" i="4"/>
  <c r="A72" i="4"/>
  <c r="S71" i="4"/>
  <c r="P71" i="4"/>
  <c r="O71" i="4"/>
  <c r="N71" i="4"/>
  <c r="M71" i="4"/>
  <c r="A71" i="4"/>
  <c r="S70" i="4"/>
  <c r="P70" i="4"/>
  <c r="O70" i="4"/>
  <c r="N70" i="4"/>
  <c r="M70" i="4"/>
  <c r="A70" i="4"/>
  <c r="S69" i="4"/>
  <c r="P69" i="4"/>
  <c r="O69" i="4"/>
  <c r="N69" i="4"/>
  <c r="M69" i="4"/>
  <c r="A69" i="4"/>
  <c r="S68" i="4"/>
  <c r="P68" i="4"/>
  <c r="O68" i="4"/>
  <c r="N68" i="4"/>
  <c r="M68" i="4"/>
  <c r="A68" i="4"/>
  <c r="S67" i="4"/>
  <c r="P67" i="4"/>
  <c r="O67" i="4"/>
  <c r="N67" i="4"/>
  <c r="M67" i="4"/>
  <c r="A67" i="4"/>
  <c r="S66" i="4"/>
  <c r="P66" i="4"/>
  <c r="O66" i="4"/>
  <c r="N66" i="4"/>
  <c r="M66" i="4"/>
  <c r="A66" i="4"/>
  <c r="S65" i="4"/>
  <c r="P65" i="4"/>
  <c r="D65" i="6" s="1"/>
  <c r="O65" i="4"/>
  <c r="N65" i="4"/>
  <c r="M65" i="4"/>
  <c r="B65" i="6" s="1"/>
  <c r="A65" i="4"/>
  <c r="A65" i="6" s="1"/>
  <c r="S64" i="4"/>
  <c r="P64" i="4"/>
  <c r="D64" i="6" s="1"/>
  <c r="O64" i="4"/>
  <c r="N64" i="4"/>
  <c r="M64" i="4"/>
  <c r="B64" i="6" s="1"/>
  <c r="A64" i="4"/>
  <c r="A64" i="6" s="1"/>
  <c r="S63" i="4"/>
  <c r="P63" i="4"/>
  <c r="D63" i="6" s="1"/>
  <c r="O63" i="4"/>
  <c r="N63" i="4"/>
  <c r="M63" i="4"/>
  <c r="B63" i="6" s="1"/>
  <c r="A63" i="4"/>
  <c r="A63" i="6" s="1"/>
  <c r="S62" i="4"/>
  <c r="P62" i="4"/>
  <c r="D62" i="6" s="1"/>
  <c r="O62" i="4"/>
  <c r="N62" i="4"/>
  <c r="M62" i="4"/>
  <c r="B62" i="6" s="1"/>
  <c r="A62" i="4"/>
  <c r="A62" i="6" s="1"/>
  <c r="S61" i="4"/>
  <c r="P61" i="4"/>
  <c r="D61" i="6" s="1"/>
  <c r="O61" i="4"/>
  <c r="N61" i="4"/>
  <c r="M61" i="4"/>
  <c r="B61" i="6" s="1"/>
  <c r="A61" i="4"/>
  <c r="A61" i="6" s="1"/>
  <c r="S60" i="4"/>
  <c r="P60" i="4"/>
  <c r="D60" i="6" s="1"/>
  <c r="O60" i="4"/>
  <c r="N60" i="4"/>
  <c r="M60" i="4"/>
  <c r="B60" i="6" s="1"/>
  <c r="A60" i="4"/>
  <c r="A60" i="6" s="1"/>
  <c r="S59" i="4"/>
  <c r="P59" i="4"/>
  <c r="O59" i="4"/>
  <c r="N59" i="4"/>
  <c r="M59" i="4"/>
  <c r="A59" i="4"/>
  <c r="S58" i="4"/>
  <c r="P58" i="4"/>
  <c r="O58" i="4"/>
  <c r="N58" i="4"/>
  <c r="M58" i="4"/>
  <c r="A58" i="4"/>
  <c r="S57" i="4"/>
  <c r="P57" i="4"/>
  <c r="O57" i="4"/>
  <c r="N57" i="4"/>
  <c r="M57" i="4"/>
  <c r="A57" i="4"/>
  <c r="S56" i="4"/>
  <c r="P56" i="4"/>
  <c r="D56" i="6" s="1"/>
  <c r="O56" i="4"/>
  <c r="N56" i="4"/>
  <c r="M56" i="4"/>
  <c r="B56" i="6" s="1"/>
  <c r="A56" i="4"/>
  <c r="A56" i="6" s="1"/>
  <c r="S55" i="4"/>
  <c r="P55" i="4"/>
  <c r="D55" i="6" s="1"/>
  <c r="O55" i="4"/>
  <c r="N55" i="4"/>
  <c r="M55" i="4"/>
  <c r="B55" i="6" s="1"/>
  <c r="A55" i="4"/>
  <c r="A55" i="6" s="1"/>
  <c r="S54" i="4"/>
  <c r="P54" i="4"/>
  <c r="D54" i="6" s="1"/>
  <c r="O54" i="4"/>
  <c r="N54" i="4"/>
  <c r="M54" i="4"/>
  <c r="B54" i="6" s="1"/>
  <c r="A54" i="4"/>
  <c r="A54" i="6" s="1"/>
  <c r="S53" i="4"/>
  <c r="P53" i="4"/>
  <c r="D53" i="6" s="1"/>
  <c r="O53" i="4"/>
  <c r="N53" i="4"/>
  <c r="M53" i="4"/>
  <c r="B53" i="6" s="1"/>
  <c r="A53" i="4"/>
  <c r="A53" i="6" s="1"/>
  <c r="S52" i="4"/>
  <c r="P52" i="4"/>
  <c r="O52" i="4"/>
  <c r="N52" i="4"/>
  <c r="M52" i="4"/>
  <c r="A52" i="4"/>
  <c r="S51" i="4"/>
  <c r="P51" i="4"/>
  <c r="O51" i="4"/>
  <c r="N51" i="4"/>
  <c r="M51" i="4"/>
  <c r="A51" i="4"/>
  <c r="S50" i="4"/>
  <c r="P50" i="4"/>
  <c r="D50" i="6" s="1"/>
  <c r="O50" i="4"/>
  <c r="N50" i="4"/>
  <c r="M50" i="4"/>
  <c r="B50" i="6" s="1"/>
  <c r="A50" i="4"/>
  <c r="A50" i="6" s="1"/>
  <c r="S49" i="4"/>
  <c r="P49" i="4"/>
  <c r="D49" i="6" s="1"/>
  <c r="O49" i="4"/>
  <c r="N49" i="4"/>
  <c r="M49" i="4"/>
  <c r="B49" i="6" s="1"/>
  <c r="A49" i="4"/>
  <c r="A49" i="6" s="1"/>
  <c r="S48" i="4"/>
  <c r="P48" i="4"/>
  <c r="D48" i="6" s="1"/>
  <c r="O48" i="4"/>
  <c r="N48" i="4"/>
  <c r="M48" i="4"/>
  <c r="B48" i="6" s="1"/>
  <c r="A48" i="4"/>
  <c r="A48" i="6" s="1"/>
  <c r="S47" i="4"/>
  <c r="P47" i="4"/>
  <c r="O47" i="4"/>
  <c r="N47" i="4"/>
  <c r="M47" i="4"/>
  <c r="A47" i="4"/>
  <c r="S46" i="4"/>
  <c r="P46" i="4"/>
  <c r="O46" i="4"/>
  <c r="N46" i="4"/>
  <c r="M46" i="4"/>
  <c r="A46" i="4"/>
  <c r="S45" i="4"/>
  <c r="P45" i="4"/>
  <c r="D45" i="6" s="1"/>
  <c r="O45" i="4"/>
  <c r="N45" i="4"/>
  <c r="M45" i="4"/>
  <c r="B45" i="6" s="1"/>
  <c r="A45" i="4"/>
  <c r="A45" i="6" s="1"/>
  <c r="S44" i="4"/>
  <c r="P44" i="4"/>
  <c r="D44" i="6" s="1"/>
  <c r="O44" i="4"/>
  <c r="N44" i="4"/>
  <c r="M44" i="4"/>
  <c r="B44" i="6" s="1"/>
  <c r="A44" i="4"/>
  <c r="A44" i="6" s="1"/>
  <c r="S43" i="4"/>
  <c r="P43" i="4"/>
  <c r="D43" i="6" s="1"/>
  <c r="O43" i="4"/>
  <c r="N43" i="4"/>
  <c r="M43" i="4"/>
  <c r="B43" i="6" s="1"/>
  <c r="A43" i="4"/>
  <c r="A43" i="6" s="1"/>
  <c r="S42" i="4"/>
  <c r="P42" i="4"/>
  <c r="D42" i="6" s="1"/>
  <c r="O42" i="4"/>
  <c r="N42" i="4"/>
  <c r="M42" i="4"/>
  <c r="B42" i="6" s="1"/>
  <c r="A42" i="4"/>
  <c r="A42" i="6" s="1"/>
  <c r="S41" i="4"/>
  <c r="P41" i="4"/>
  <c r="D41" i="6" s="1"/>
  <c r="O41" i="4"/>
  <c r="N41" i="4"/>
  <c r="M41" i="4"/>
  <c r="B41" i="6" s="1"/>
  <c r="A41" i="4"/>
  <c r="A41" i="6" s="1"/>
  <c r="S40" i="4"/>
  <c r="P40" i="4"/>
  <c r="D40" i="6" s="1"/>
  <c r="O40" i="4"/>
  <c r="N40" i="4"/>
  <c r="M40" i="4"/>
  <c r="B40" i="6" s="1"/>
  <c r="A40" i="4"/>
  <c r="A40" i="6" s="1"/>
  <c r="S39" i="4"/>
  <c r="P39" i="4"/>
  <c r="D39" i="6" s="1"/>
  <c r="O39" i="4"/>
  <c r="N39" i="4"/>
  <c r="M39" i="4"/>
  <c r="B39" i="6" s="1"/>
  <c r="A39" i="4"/>
  <c r="A39" i="6" s="1"/>
  <c r="S38" i="4"/>
  <c r="P38" i="4"/>
  <c r="D38" i="6" s="1"/>
  <c r="O38" i="4"/>
  <c r="N38" i="4"/>
  <c r="M38" i="4"/>
  <c r="B38" i="6" s="1"/>
  <c r="A38" i="4"/>
  <c r="A38" i="6" s="1"/>
  <c r="S37" i="4"/>
  <c r="P37" i="4"/>
  <c r="D37" i="6" s="1"/>
  <c r="O37" i="4"/>
  <c r="N37" i="4"/>
  <c r="M37" i="4"/>
  <c r="B37" i="6" s="1"/>
  <c r="A37" i="4"/>
  <c r="A37" i="6" s="1"/>
  <c r="S36" i="4"/>
  <c r="P36" i="4"/>
  <c r="D36" i="6" s="1"/>
  <c r="O36" i="4"/>
  <c r="N36" i="4"/>
  <c r="M36" i="4"/>
  <c r="B36" i="6" s="1"/>
  <c r="A36" i="4"/>
  <c r="A36" i="6" s="1"/>
  <c r="S35" i="4"/>
  <c r="P35" i="4"/>
  <c r="D35" i="6" s="1"/>
  <c r="O35" i="4"/>
  <c r="N35" i="4"/>
  <c r="M35" i="4"/>
  <c r="B35" i="6" s="1"/>
  <c r="A35" i="4"/>
  <c r="A35" i="6" s="1"/>
  <c r="S34" i="4"/>
  <c r="P34" i="4"/>
  <c r="D34" i="6" s="1"/>
  <c r="O34" i="4"/>
  <c r="N34" i="4"/>
  <c r="M34" i="4"/>
  <c r="B34" i="6" s="1"/>
  <c r="A34" i="4"/>
  <c r="A34" i="6" s="1"/>
  <c r="S33" i="4"/>
  <c r="P33" i="4"/>
  <c r="D33" i="6" s="1"/>
  <c r="O33" i="4"/>
  <c r="N33" i="4"/>
  <c r="M33" i="4"/>
  <c r="B33" i="6" s="1"/>
  <c r="A33" i="4"/>
  <c r="A33" i="6" s="1"/>
  <c r="S32" i="4"/>
  <c r="P32" i="4"/>
  <c r="D32" i="6" s="1"/>
  <c r="O32" i="4"/>
  <c r="N32" i="4"/>
  <c r="M32" i="4"/>
  <c r="B32" i="6" s="1"/>
  <c r="A32" i="4"/>
  <c r="A32" i="6" s="1"/>
  <c r="S31" i="4"/>
  <c r="P31" i="4"/>
  <c r="D31" i="6" s="1"/>
  <c r="O31" i="4"/>
  <c r="N31" i="4"/>
  <c r="M31" i="4"/>
  <c r="B31" i="6" s="1"/>
  <c r="A31" i="4"/>
  <c r="A31" i="6" s="1"/>
  <c r="S30" i="4"/>
  <c r="P30" i="4"/>
  <c r="D30" i="6" s="1"/>
  <c r="O30" i="4"/>
  <c r="N30" i="4"/>
  <c r="M30" i="4"/>
  <c r="B30" i="6" s="1"/>
  <c r="A30" i="4"/>
  <c r="A30" i="6" s="1"/>
  <c r="S29" i="4"/>
  <c r="P29" i="4"/>
  <c r="D29" i="6" s="1"/>
  <c r="O29" i="4"/>
  <c r="N29" i="4"/>
  <c r="M29" i="4"/>
  <c r="B29" i="6" s="1"/>
  <c r="A29" i="4"/>
  <c r="A29" i="6" s="1"/>
  <c r="S28" i="4"/>
  <c r="P28" i="4"/>
  <c r="D28" i="6" s="1"/>
  <c r="O28" i="4"/>
  <c r="N28" i="4"/>
  <c r="M28" i="4"/>
  <c r="B28" i="6" s="1"/>
  <c r="A28" i="4"/>
  <c r="A28" i="6" s="1"/>
  <c r="S27" i="4"/>
  <c r="P27" i="4"/>
  <c r="D27" i="6" s="1"/>
  <c r="O27" i="4"/>
  <c r="N27" i="4"/>
  <c r="M27" i="4"/>
  <c r="B27" i="6" s="1"/>
  <c r="A27" i="4"/>
  <c r="A27" i="6" s="1"/>
  <c r="S26" i="4"/>
  <c r="P26" i="4"/>
  <c r="D26" i="6" s="1"/>
  <c r="O26" i="4"/>
  <c r="N26" i="4"/>
  <c r="M26" i="4"/>
  <c r="B26" i="6" s="1"/>
  <c r="A26" i="4"/>
  <c r="A26" i="6" s="1"/>
  <c r="S25" i="4"/>
  <c r="P25" i="4"/>
  <c r="D25" i="6" s="1"/>
  <c r="O25" i="4"/>
  <c r="N25" i="4"/>
  <c r="M25" i="4"/>
  <c r="B25" i="6" s="1"/>
  <c r="A25" i="4"/>
  <c r="A25" i="6" s="1"/>
  <c r="S24" i="4"/>
  <c r="P24" i="4"/>
  <c r="D24" i="6" s="1"/>
  <c r="O24" i="4"/>
  <c r="N24" i="4"/>
  <c r="M24" i="4"/>
  <c r="B24" i="6" s="1"/>
  <c r="A24" i="4"/>
  <c r="A24" i="6" s="1"/>
  <c r="S23" i="4"/>
  <c r="P23" i="4"/>
  <c r="D23" i="6" s="1"/>
  <c r="O23" i="4"/>
  <c r="N23" i="4"/>
  <c r="M23" i="4"/>
  <c r="B23" i="6" s="1"/>
  <c r="A23" i="4"/>
  <c r="A23" i="6" s="1"/>
  <c r="S22" i="4"/>
  <c r="P22" i="4"/>
  <c r="D22" i="6" s="1"/>
  <c r="O22" i="4"/>
  <c r="N22" i="4"/>
  <c r="M22" i="4"/>
  <c r="B22" i="6" s="1"/>
  <c r="A22" i="4"/>
  <c r="A22" i="6" s="1"/>
  <c r="S21" i="4"/>
  <c r="P21" i="4"/>
  <c r="D21" i="6" s="1"/>
  <c r="O21" i="4"/>
  <c r="N21" i="4"/>
  <c r="M21" i="4"/>
  <c r="B21" i="6" s="1"/>
  <c r="A21" i="4"/>
  <c r="A21" i="6" s="1"/>
  <c r="S20" i="4"/>
  <c r="P20" i="4"/>
  <c r="D20" i="6" s="1"/>
  <c r="O20" i="4"/>
  <c r="N20" i="4"/>
  <c r="M20" i="4"/>
  <c r="B20" i="6" s="1"/>
  <c r="A20" i="4"/>
  <c r="A20" i="6" s="1"/>
  <c r="S19" i="4"/>
  <c r="P19" i="4"/>
  <c r="D19" i="6" s="1"/>
  <c r="O19" i="4"/>
  <c r="N19" i="4"/>
  <c r="M19" i="4"/>
  <c r="B19" i="6" s="1"/>
  <c r="A19" i="4"/>
  <c r="A19" i="6" s="1"/>
  <c r="S18" i="4"/>
  <c r="P18" i="4"/>
  <c r="D18" i="6" s="1"/>
  <c r="O18" i="4"/>
  <c r="N18" i="4"/>
  <c r="M18" i="4"/>
  <c r="B18" i="6" s="1"/>
  <c r="A18" i="4"/>
  <c r="A18" i="6" s="1"/>
  <c r="S17" i="4"/>
  <c r="P17" i="4"/>
  <c r="D17" i="6" s="1"/>
  <c r="O17" i="4"/>
  <c r="N17" i="4"/>
  <c r="M17" i="4"/>
  <c r="B17" i="6" s="1"/>
  <c r="A17" i="4"/>
  <c r="A17" i="6" s="1"/>
  <c r="S16" i="4"/>
  <c r="P16" i="4"/>
  <c r="D16" i="6" s="1"/>
  <c r="O16" i="4"/>
  <c r="N16" i="4"/>
  <c r="M16" i="4"/>
  <c r="B16" i="6" s="1"/>
  <c r="A16" i="4"/>
  <c r="A16" i="6" s="1"/>
  <c r="S15" i="4"/>
  <c r="P15" i="4"/>
  <c r="D15" i="6" s="1"/>
  <c r="O15" i="4"/>
  <c r="N15" i="4"/>
  <c r="M15" i="4"/>
  <c r="B15" i="6" s="1"/>
  <c r="A15" i="4"/>
  <c r="A15" i="6" s="1"/>
  <c r="S14" i="4"/>
  <c r="P14" i="4"/>
  <c r="D14" i="6" s="1"/>
  <c r="O14" i="4"/>
  <c r="N14" i="4"/>
  <c r="M14" i="4"/>
  <c r="B14" i="6" s="1"/>
  <c r="A14" i="4"/>
  <c r="A14" i="6" s="1"/>
  <c r="S13" i="4"/>
  <c r="P13" i="4"/>
  <c r="D13" i="6" s="1"/>
  <c r="O13" i="4"/>
  <c r="N13" i="4"/>
  <c r="M13" i="4"/>
  <c r="B13" i="6" s="1"/>
  <c r="A13" i="4"/>
  <c r="A13" i="6" s="1"/>
  <c r="S12" i="4"/>
  <c r="P12" i="4"/>
  <c r="D12" i="6" s="1"/>
  <c r="O12" i="4"/>
  <c r="N12" i="4"/>
  <c r="M12" i="4"/>
  <c r="B12" i="6" s="1"/>
  <c r="A12" i="4"/>
  <c r="A12" i="6" s="1"/>
  <c r="S11" i="4"/>
  <c r="P11" i="4"/>
  <c r="D11" i="6" s="1"/>
  <c r="O11" i="4"/>
  <c r="N11" i="4"/>
  <c r="M11" i="4"/>
  <c r="B11" i="6" s="1"/>
  <c r="A11" i="4"/>
  <c r="A11" i="6" s="1"/>
  <c r="S10" i="4"/>
  <c r="P10" i="4"/>
  <c r="D10" i="6" s="1"/>
  <c r="O10" i="4"/>
  <c r="N10" i="4"/>
  <c r="M10" i="4"/>
  <c r="B10" i="6" s="1"/>
  <c r="A10" i="4"/>
  <c r="A10" i="6" s="1"/>
  <c r="S9" i="4"/>
  <c r="P9" i="4"/>
  <c r="D9" i="6" s="1"/>
  <c r="O9" i="4"/>
  <c r="N9" i="4"/>
  <c r="M9" i="4"/>
  <c r="B9" i="6" s="1"/>
  <c r="A9" i="4"/>
  <c r="A9" i="6" s="1"/>
  <c r="S8" i="4"/>
  <c r="P8" i="4"/>
  <c r="D8" i="6" s="1"/>
  <c r="O8" i="4"/>
  <c r="N8" i="4"/>
  <c r="M8" i="4"/>
  <c r="B8" i="6" s="1"/>
  <c r="A8" i="4"/>
  <c r="A8" i="6" s="1"/>
  <c r="S7" i="4"/>
  <c r="P7" i="4"/>
  <c r="D7" i="6" s="1"/>
  <c r="O7" i="4"/>
  <c r="N7" i="4"/>
  <c r="M7" i="4"/>
  <c r="B7" i="6" s="1"/>
  <c r="A7" i="4"/>
  <c r="A7" i="6" s="1"/>
  <c r="S6" i="4"/>
  <c r="P6" i="4"/>
  <c r="D6" i="6" s="1"/>
  <c r="O6" i="4"/>
  <c r="N6" i="4"/>
  <c r="M6" i="4"/>
  <c r="B6" i="6" s="1"/>
  <c r="A6" i="4"/>
  <c r="A6" i="6" s="1"/>
  <c r="S5" i="4"/>
  <c r="P5" i="4"/>
  <c r="D5" i="6" s="1"/>
  <c r="O5" i="4"/>
  <c r="N5" i="4"/>
  <c r="M5" i="4"/>
  <c r="B5" i="6" s="1"/>
  <c r="A5" i="4"/>
  <c r="A5" i="6" s="1"/>
  <c r="S4" i="4"/>
  <c r="P4" i="4"/>
  <c r="D4" i="6" s="1"/>
  <c r="O4" i="4"/>
  <c r="N4" i="4"/>
  <c r="M4" i="4"/>
  <c r="B4" i="6" s="1"/>
  <c r="A4" i="4"/>
  <c r="A4" i="6" s="1"/>
  <c r="S3" i="4"/>
  <c r="P3" i="4"/>
  <c r="D3" i="6" s="1"/>
  <c r="O3" i="4"/>
  <c r="N3" i="4"/>
  <c r="M3" i="4"/>
  <c r="B3" i="6" s="1"/>
  <c r="A3" i="4"/>
  <c r="A3" i="6" s="1"/>
  <c r="S2" i="4"/>
  <c r="P2" i="4"/>
  <c r="O2" i="4"/>
  <c r="N2" i="4"/>
  <c r="M2" i="4"/>
  <c r="L2" i="4"/>
  <c r="K2" i="4"/>
  <c r="K4" i="4" s="1"/>
  <c r="C4" i="6" s="1"/>
  <c r="A2" i="4"/>
  <c r="H21" i="3"/>
  <c r="H7" i="3"/>
  <c r="E7" i="3"/>
  <c r="B7" i="3"/>
  <c r="C19" i="2"/>
  <c r="C12" i="2"/>
  <c r="C19" i="1"/>
  <c r="C17" i="1"/>
  <c r="C16" i="1"/>
  <c r="C15" i="1"/>
  <c r="N10" i="1"/>
  <c r="N9" i="1"/>
  <c r="N8" i="1"/>
  <c r="N7" i="1"/>
  <c r="C16" i="2" l="1"/>
  <c r="L320" i="4"/>
  <c r="E338" i="6" s="1"/>
  <c r="L319" i="4"/>
  <c r="E337" i="6" s="1"/>
  <c r="K3" i="4"/>
  <c r="K320" i="4"/>
  <c r="K323" i="4" s="1"/>
  <c r="K272" i="4"/>
  <c r="C290" i="6" s="1"/>
  <c r="K271" i="4"/>
  <c r="C289" i="6" s="1"/>
  <c r="K270" i="4"/>
  <c r="C288" i="6" s="1"/>
  <c r="K237" i="4"/>
  <c r="K236" i="4"/>
  <c r="C254" i="6" s="1"/>
  <c r="K235" i="4"/>
  <c r="C253" i="6" s="1"/>
  <c r="K322" i="4"/>
  <c r="C340" i="6" s="1"/>
  <c r="K319" i="4"/>
  <c r="C337" i="6" s="1"/>
  <c r="L270" i="4"/>
  <c r="E288" i="6" s="1"/>
  <c r="L273" i="4"/>
  <c r="L302" i="4" s="1"/>
  <c r="C18" i="2"/>
  <c r="L154" i="4"/>
  <c r="E172" i="6" s="1"/>
  <c r="L235" i="4"/>
  <c r="E253" i="6" s="1"/>
  <c r="K324" i="4"/>
  <c r="K337" i="4" s="1"/>
  <c r="C355" i="6" s="1"/>
  <c r="L237" i="4"/>
  <c r="E255" i="6" s="1"/>
  <c r="L155" i="4"/>
  <c r="E173" i="6" s="1"/>
  <c r="C17" i="2"/>
  <c r="K6" i="4"/>
  <c r="K7" i="4"/>
  <c r="C7" i="6" s="1"/>
  <c r="K9" i="4"/>
  <c r="C9" i="6" s="1"/>
  <c r="K10" i="4"/>
  <c r="C10" i="6" s="1"/>
  <c r="K5" i="4"/>
  <c r="L6" i="4"/>
  <c r="L7" i="4"/>
  <c r="E7" i="6" s="1"/>
  <c r="L8" i="4"/>
  <c r="E8" i="6" s="1"/>
  <c r="L9" i="4"/>
  <c r="E9" i="6" s="1"/>
  <c r="L10" i="4"/>
  <c r="E10" i="6" s="1"/>
  <c r="L12" i="4" l="1"/>
  <c r="E12" i="6" s="1"/>
  <c r="K12" i="4"/>
  <c r="K13" i="4" s="1"/>
  <c r="L11" i="4"/>
  <c r="K11" i="4"/>
  <c r="C11" i="6" s="1"/>
  <c r="K274" i="4"/>
  <c r="L272" i="4"/>
  <c r="L321" i="4"/>
  <c r="E339" i="6" s="1"/>
  <c r="L156" i="4"/>
  <c r="L158" i="4"/>
  <c r="L160" i="4" s="1"/>
  <c r="L326" i="4"/>
  <c r="C13" i="6"/>
  <c r="K19" i="4"/>
  <c r="K20" i="4"/>
  <c r="K21" i="4"/>
  <c r="K91" i="4"/>
  <c r="K22" i="4"/>
  <c r="K17" i="4"/>
  <c r="K18" i="4"/>
  <c r="K92" i="4"/>
  <c r="E320" i="6"/>
  <c r="L308" i="4"/>
  <c r="E326" i="6" s="1"/>
  <c r="L307" i="4"/>
  <c r="L306" i="4"/>
  <c r="L305" i="4"/>
  <c r="E176" i="6"/>
  <c r="C292" i="6"/>
  <c r="K276" i="4"/>
  <c r="K279" i="4"/>
  <c r="C297" i="6" s="1"/>
  <c r="K278" i="4"/>
  <c r="C341" i="6"/>
  <c r="K328" i="4"/>
  <c r="L16" i="4"/>
  <c r="K329" i="4"/>
  <c r="C347" i="6" s="1"/>
  <c r="K331" i="4"/>
  <c r="C349" i="6" s="1"/>
  <c r="K330" i="4"/>
  <c r="C348" i="6" s="1"/>
  <c r="K277" i="4"/>
  <c r="C295" i="6" s="1"/>
  <c r="L14" i="4"/>
  <c r="E6" i="6"/>
  <c r="K14" i="4"/>
  <c r="L15" i="4"/>
  <c r="K15" i="4"/>
  <c r="C6" i="6"/>
  <c r="K8" i="4"/>
  <c r="L236" i="4"/>
  <c r="E254" i="6" s="1"/>
  <c r="C338" i="6"/>
  <c r="K327" i="4"/>
  <c r="K326" i="4"/>
  <c r="L13" i="4"/>
  <c r="C5" i="6"/>
  <c r="K155" i="4"/>
  <c r="C173" i="6" s="1"/>
  <c r="L161" i="4"/>
  <c r="L240" i="4"/>
  <c r="L239" i="4"/>
  <c r="E257" i="6" s="1"/>
  <c r="C255" i="6"/>
  <c r="K240" i="4"/>
  <c r="K239" i="4"/>
  <c r="C257" i="6" s="1"/>
  <c r="K238" i="4"/>
  <c r="C256" i="6" s="1"/>
  <c r="C12" i="6"/>
  <c r="K16" i="4"/>
  <c r="L159" i="4"/>
  <c r="E11" i="6"/>
  <c r="L383" i="4"/>
  <c r="K154" i="4"/>
  <c r="E344" i="6"/>
  <c r="L347" i="4"/>
  <c r="E365" i="6" s="1"/>
  <c r="L346" i="4"/>
  <c r="E364" i="6" s="1"/>
  <c r="L345" i="4"/>
  <c r="C342" i="6"/>
  <c r="K338" i="4"/>
  <c r="C356" i="6" s="1"/>
  <c r="K335" i="4"/>
  <c r="K336" i="4"/>
  <c r="C354" i="6" s="1"/>
  <c r="E291" i="6"/>
  <c r="L303" i="4"/>
  <c r="L238" i="4"/>
  <c r="E256" i="6" s="1"/>
  <c r="K325" i="4"/>
  <c r="C3" i="6"/>
  <c r="L327" i="4"/>
  <c r="K273" i="4"/>
  <c r="L322" i="4"/>
  <c r="E340" i="6" s="1"/>
  <c r="L354" i="4"/>
  <c r="L323" i="4"/>
  <c r="L355" i="4"/>
  <c r="E373" i="6" s="1"/>
  <c r="K321" i="4"/>
  <c r="L271" i="4"/>
  <c r="E289" i="6" s="1"/>
  <c r="K275" i="4"/>
  <c r="L324" i="4"/>
  <c r="L356" i="4"/>
  <c r="L325" i="4"/>
  <c r="E174" i="6" l="1"/>
  <c r="L157" i="4"/>
  <c r="E175" i="6" s="1"/>
  <c r="E290" i="6"/>
  <c r="L274" i="4"/>
  <c r="L275" i="4"/>
  <c r="K383" i="4"/>
  <c r="E372" i="6"/>
  <c r="L358" i="4"/>
  <c r="L357" i="4"/>
  <c r="E375" i="6" s="1"/>
  <c r="E13" i="6"/>
  <c r="L18" i="4"/>
  <c r="L19" i="4"/>
  <c r="L20" i="4"/>
  <c r="L21" i="4"/>
  <c r="L91" i="4"/>
  <c r="L22" i="4"/>
  <c r="L92" i="4"/>
  <c r="L17" i="4"/>
  <c r="E342" i="6"/>
  <c r="L338" i="4"/>
  <c r="E356" i="6" s="1"/>
  <c r="L337" i="4"/>
  <c r="E355" i="6" s="1"/>
  <c r="L336" i="4"/>
  <c r="E354" i="6" s="1"/>
  <c r="L335" i="4"/>
  <c r="C291" i="6"/>
  <c r="K302" i="4"/>
  <c r="K303" i="4"/>
  <c r="E401" i="6"/>
  <c r="L389" i="4"/>
  <c r="L388" i="4"/>
  <c r="L387" i="4"/>
  <c r="E405" i="6" s="1"/>
  <c r="L386" i="4"/>
  <c r="E404" i="6" s="1"/>
  <c r="L385" i="4"/>
  <c r="E403" i="6" s="1"/>
  <c r="L384" i="4"/>
  <c r="E402" i="6" s="1"/>
  <c r="C345" i="6"/>
  <c r="K351" i="4"/>
  <c r="C369" i="6" s="1"/>
  <c r="K352" i="4"/>
  <c r="C370" i="6" s="1"/>
  <c r="K350" i="4"/>
  <c r="C368" i="6" s="1"/>
  <c r="K353" i="4"/>
  <c r="C371" i="6" s="1"/>
  <c r="E15" i="6"/>
  <c r="L151" i="4"/>
  <c r="L117" i="4"/>
  <c r="L118" i="4"/>
  <c r="L116" i="4"/>
  <c r="E134" i="6" s="1"/>
  <c r="L147" i="4"/>
  <c r="L150" i="4"/>
  <c r="L146" i="4"/>
  <c r="L149" i="4"/>
  <c r="L148" i="4"/>
  <c r="L114" i="4"/>
  <c r="E132" i="6" s="1"/>
  <c r="L115" i="4"/>
  <c r="L113" i="4"/>
  <c r="E131" i="6" s="1"/>
  <c r="E14" i="6"/>
  <c r="L152" i="4"/>
  <c r="L153" i="4"/>
  <c r="L42" i="4"/>
  <c r="L39" i="4"/>
  <c r="L40" i="4"/>
  <c r="L41" i="4"/>
  <c r="C346" i="6"/>
  <c r="K334" i="4"/>
  <c r="C352" i="6" s="1"/>
  <c r="K332" i="4"/>
  <c r="C350" i="6" s="1"/>
  <c r="K333" i="4"/>
  <c r="C351" i="6" s="1"/>
  <c r="C18" i="6"/>
  <c r="K78" i="4"/>
  <c r="K76" i="4"/>
  <c r="K28" i="4"/>
  <c r="K75" i="4"/>
  <c r="K29" i="4"/>
  <c r="K74" i="4"/>
  <c r="K30" i="4"/>
  <c r="C30" i="6" s="1"/>
  <c r="K27" i="4"/>
  <c r="K77" i="4"/>
  <c r="E323" i="6"/>
  <c r="L309" i="4"/>
  <c r="E327" i="6" s="1"/>
  <c r="L314" i="4"/>
  <c r="E332" i="6" s="1"/>
  <c r="L313" i="4"/>
  <c r="E331" i="6" s="1"/>
  <c r="L312" i="4"/>
  <c r="E330" i="6" s="1"/>
  <c r="L311" i="4"/>
  <c r="E329" i="6" s="1"/>
  <c r="L310" i="4"/>
  <c r="E328" i="6" s="1"/>
  <c r="C17" i="6"/>
  <c r="K70" i="4"/>
  <c r="K24" i="4"/>
  <c r="C24" i="6" s="1"/>
  <c r="K73" i="4"/>
  <c r="K72" i="4"/>
  <c r="K23" i="4"/>
  <c r="K71" i="4"/>
  <c r="K25" i="4"/>
  <c r="C25" i="6" s="1"/>
  <c r="K69" i="4"/>
  <c r="K26" i="4"/>
  <c r="C26" i="6" s="1"/>
  <c r="K68" i="4"/>
  <c r="C296" i="6"/>
  <c r="K282" i="4"/>
  <c r="C300" i="6" s="1"/>
  <c r="E324" i="6"/>
  <c r="L316" i="4"/>
  <c r="E334" i="6" s="1"/>
  <c r="L315" i="4"/>
  <c r="E333" i="6" s="1"/>
  <c r="C22" i="6"/>
  <c r="K94" i="4"/>
  <c r="K95" i="4"/>
  <c r="K93" i="4"/>
  <c r="K38" i="4"/>
  <c r="C38" i="6" s="1"/>
  <c r="K97" i="4"/>
  <c r="K96" i="4"/>
  <c r="E325" i="6"/>
  <c r="L317" i="4"/>
  <c r="E335" i="6" s="1"/>
  <c r="L318" i="4"/>
  <c r="E336" i="6" s="1"/>
  <c r="C293" i="6"/>
  <c r="K285" i="4"/>
  <c r="K284" i="4"/>
  <c r="C302" i="6" s="1"/>
  <c r="K287" i="4"/>
  <c r="K283" i="4"/>
  <c r="K286" i="4"/>
  <c r="C14" i="6"/>
  <c r="K40" i="4"/>
  <c r="K153" i="4"/>
  <c r="K152" i="4"/>
  <c r="K39" i="4"/>
  <c r="K41" i="4"/>
  <c r="K42" i="4"/>
  <c r="C343" i="6"/>
  <c r="K343" i="4"/>
  <c r="C361" i="6" s="1"/>
  <c r="K344" i="4"/>
  <c r="C362" i="6" s="1"/>
  <c r="K342" i="4"/>
  <c r="C360" i="6" s="1"/>
  <c r="K341" i="4"/>
  <c r="C359" i="6" s="1"/>
  <c r="E363" i="6"/>
  <c r="L349" i="4"/>
  <c r="E367" i="6" s="1"/>
  <c r="L348" i="4"/>
  <c r="E366" i="6" s="1"/>
  <c r="E177" i="6"/>
  <c r="L215" i="4"/>
  <c r="L216" i="4"/>
  <c r="L214" i="4"/>
  <c r="E258" i="6"/>
  <c r="L262" i="4"/>
  <c r="L260" i="4"/>
  <c r="L261" i="4"/>
  <c r="L242" i="4"/>
  <c r="L263" i="4"/>
  <c r="L257" i="4"/>
  <c r="L259" i="4"/>
  <c r="L241" i="4"/>
  <c r="L258" i="4"/>
  <c r="C339" i="6"/>
  <c r="K354" i="4"/>
  <c r="K356" i="4"/>
  <c r="K355" i="4"/>
  <c r="C373" i="6" s="1"/>
  <c r="C16" i="6"/>
  <c r="K268" i="4"/>
  <c r="K267" i="4"/>
  <c r="K265" i="4"/>
  <c r="C283" i="6" s="1"/>
  <c r="K264" i="4"/>
  <c r="C282" i="6" s="1"/>
  <c r="K269" i="4"/>
  <c r="K266" i="4"/>
  <c r="C284" i="6" s="1"/>
  <c r="E179" i="6"/>
  <c r="L175" i="4"/>
  <c r="L176" i="4"/>
  <c r="L177" i="4"/>
  <c r="L179" i="4"/>
  <c r="L180" i="4"/>
  <c r="L182" i="4"/>
  <c r="E200" i="6" s="1"/>
  <c r="L184" i="4"/>
  <c r="E202" i="6" s="1"/>
  <c r="L178" i="4"/>
  <c r="L183" i="4"/>
  <c r="E201" i="6" s="1"/>
  <c r="L181" i="4"/>
  <c r="E199" i="6" s="1"/>
  <c r="E321" i="6"/>
  <c r="L304" i="4"/>
  <c r="E322" i="6" s="1"/>
  <c r="C294" i="6"/>
  <c r="K280" i="4"/>
  <c r="C298" i="6" s="1"/>
  <c r="K281" i="4"/>
  <c r="C299" i="6" s="1"/>
  <c r="C21" i="6"/>
  <c r="K86" i="4"/>
  <c r="K85" i="4"/>
  <c r="K37" i="4"/>
  <c r="K90" i="4"/>
  <c r="K89" i="4"/>
  <c r="K88" i="4"/>
  <c r="K87" i="4"/>
  <c r="E345" i="6"/>
  <c r="L350" i="4"/>
  <c r="E368" i="6" s="1"/>
  <c r="L353" i="4"/>
  <c r="E371" i="6" s="1"/>
  <c r="L352" i="4"/>
  <c r="E370" i="6" s="1"/>
  <c r="L351" i="4"/>
  <c r="E369" i="6" s="1"/>
  <c r="E341" i="6"/>
  <c r="L331" i="4"/>
  <c r="E349" i="6" s="1"/>
  <c r="L330" i="4"/>
  <c r="E348" i="6" s="1"/>
  <c r="L329" i="4"/>
  <c r="E347" i="6" s="1"/>
  <c r="L328" i="4"/>
  <c r="C8" i="6"/>
  <c r="C20" i="6"/>
  <c r="K84" i="4"/>
  <c r="K34" i="4"/>
  <c r="C34" i="6" s="1"/>
  <c r="K35" i="4"/>
  <c r="C35" i="6" s="1"/>
  <c r="K36" i="4"/>
  <c r="C36" i="6" s="1"/>
  <c r="K83" i="4"/>
  <c r="C19" i="6"/>
  <c r="K32" i="4"/>
  <c r="C32" i="6" s="1"/>
  <c r="K82" i="4"/>
  <c r="K31" i="4"/>
  <c r="K81" i="4"/>
  <c r="K80" i="4"/>
  <c r="K33" i="4"/>
  <c r="C33" i="6" s="1"/>
  <c r="K79" i="4"/>
  <c r="E343" i="6"/>
  <c r="L342" i="4"/>
  <c r="E360" i="6" s="1"/>
  <c r="L341" i="4"/>
  <c r="E359" i="6" s="1"/>
  <c r="L344" i="4"/>
  <c r="E362" i="6" s="1"/>
  <c r="L343" i="4"/>
  <c r="E361" i="6" s="1"/>
  <c r="C401" i="6"/>
  <c r="K385" i="4"/>
  <c r="C403" i="6" s="1"/>
  <c r="K389" i="4"/>
  <c r="K388" i="4"/>
  <c r="K387" i="4"/>
  <c r="C405" i="6" s="1"/>
  <c r="K384" i="4"/>
  <c r="C402" i="6" s="1"/>
  <c r="K386" i="4"/>
  <c r="C404" i="6" s="1"/>
  <c r="E374" i="6"/>
  <c r="L362" i="4"/>
  <c r="L361" i="4"/>
  <c r="C353" i="6"/>
  <c r="K390" i="4"/>
  <c r="C408" i="6" s="1"/>
  <c r="K339" i="4"/>
  <c r="C357" i="6" s="1"/>
  <c r="K340" i="4"/>
  <c r="C358" i="6" s="1"/>
  <c r="C172" i="6"/>
  <c r="K156" i="4"/>
  <c r="K158" i="4"/>
  <c r="C258" i="6"/>
  <c r="K260" i="4"/>
  <c r="K259" i="4"/>
  <c r="K257" i="4"/>
  <c r="K241" i="4"/>
  <c r="K263" i="4"/>
  <c r="K262" i="4"/>
  <c r="K242" i="4"/>
  <c r="K261" i="4"/>
  <c r="K258" i="4"/>
  <c r="C344" i="6"/>
  <c r="K347" i="4"/>
  <c r="C365" i="6" s="1"/>
  <c r="K345" i="4"/>
  <c r="K346" i="4"/>
  <c r="C364" i="6" s="1"/>
  <c r="C15" i="6"/>
  <c r="K148" i="4"/>
  <c r="K147" i="4"/>
  <c r="K118" i="4"/>
  <c r="K150" i="4"/>
  <c r="K113" i="4"/>
  <c r="C131" i="6" s="1"/>
  <c r="K151" i="4"/>
  <c r="K149" i="4"/>
  <c r="K117" i="4"/>
  <c r="K116" i="4"/>
  <c r="C134" i="6" s="1"/>
  <c r="K146" i="4"/>
  <c r="K115" i="4"/>
  <c r="K114" i="4"/>
  <c r="C132" i="6" s="1"/>
  <c r="E16" i="6"/>
  <c r="L266" i="4"/>
  <c r="E284" i="6" s="1"/>
  <c r="L264" i="4"/>
  <c r="E282" i="6" s="1"/>
  <c r="L267" i="4"/>
  <c r="L265" i="4"/>
  <c r="E283" i="6" s="1"/>
  <c r="L268" i="4"/>
  <c r="L269" i="4"/>
  <c r="E178" i="6"/>
  <c r="L163" i="4"/>
  <c r="L162" i="4"/>
  <c r="L165" i="4"/>
  <c r="L164" i="4"/>
  <c r="L284" i="4" l="1"/>
  <c r="E302" i="6" s="1"/>
  <c r="L283" i="4"/>
  <c r="L287" i="4"/>
  <c r="L286" i="4"/>
  <c r="L285" i="4"/>
  <c r="E293" i="6"/>
  <c r="L276" i="4"/>
  <c r="L277" i="4"/>
  <c r="E295" i="6" s="1"/>
  <c r="L278" i="4"/>
  <c r="L279" i="4"/>
  <c r="E297" i="6" s="1"/>
  <c r="E292" i="6"/>
  <c r="E193" i="6"/>
  <c r="L207" i="4"/>
  <c r="E225" i="6" s="1"/>
  <c r="L203" i="4"/>
  <c r="L204" i="4"/>
  <c r="E222" i="6" s="1"/>
  <c r="L206" i="4"/>
  <c r="E224" i="6" s="1"/>
  <c r="L208" i="4"/>
  <c r="E226" i="6" s="1"/>
  <c r="L205" i="4"/>
  <c r="E223" i="6" s="1"/>
  <c r="L209" i="4"/>
  <c r="E227" i="6" s="1"/>
  <c r="C304" i="6"/>
  <c r="K297" i="4"/>
  <c r="C315" i="6" s="1"/>
  <c r="K295" i="4"/>
  <c r="C313" i="6" s="1"/>
  <c r="K296" i="4"/>
  <c r="C314" i="6" s="1"/>
  <c r="C27" i="6"/>
  <c r="K100" i="4"/>
  <c r="C115" i="6" s="1"/>
  <c r="K99" i="4"/>
  <c r="C114" i="6" s="1"/>
  <c r="K98" i="4"/>
  <c r="K101" i="4"/>
  <c r="E42" i="6"/>
  <c r="L66" i="4"/>
  <c r="L60" i="4"/>
  <c r="E60" i="6" s="1"/>
  <c r="L61" i="4"/>
  <c r="E61" i="6" s="1"/>
  <c r="L62" i="4"/>
  <c r="E62" i="6" s="1"/>
  <c r="L63" i="4"/>
  <c r="E63" i="6" s="1"/>
  <c r="L64" i="4"/>
  <c r="E64" i="6" s="1"/>
  <c r="L65" i="4"/>
  <c r="E65" i="6" s="1"/>
  <c r="E20" i="6"/>
  <c r="L34" i="4"/>
  <c r="E34" i="6" s="1"/>
  <c r="L35" i="4"/>
  <c r="E35" i="6" s="1"/>
  <c r="L36" i="4"/>
  <c r="E36" i="6" s="1"/>
  <c r="L83" i="4"/>
  <c r="L84" i="4"/>
  <c r="E196" i="6"/>
  <c r="L191" i="4"/>
  <c r="E209" i="6" s="1"/>
  <c r="E259" i="6"/>
  <c r="L246" i="4"/>
  <c r="L250" i="4"/>
  <c r="L244" i="4"/>
  <c r="E262" i="6" s="1"/>
  <c r="L245" i="4"/>
  <c r="E263" i="6" s="1"/>
  <c r="L247" i="4"/>
  <c r="L248" i="4"/>
  <c r="L249" i="4"/>
  <c r="E267" i="6" s="1"/>
  <c r="L251" i="4"/>
  <c r="L243" i="4"/>
  <c r="E261" i="6" s="1"/>
  <c r="C301" i="6"/>
  <c r="K290" i="4"/>
  <c r="C308" i="6" s="1"/>
  <c r="K291" i="4"/>
  <c r="C309" i="6" s="1"/>
  <c r="K288" i="4"/>
  <c r="C306" i="6" s="1"/>
  <c r="K292" i="4"/>
  <c r="C310" i="6" s="1"/>
  <c r="K293" i="4"/>
  <c r="C311" i="6" s="1"/>
  <c r="K289" i="4"/>
  <c r="C307" i="6" s="1"/>
  <c r="E19" i="6"/>
  <c r="L82" i="4"/>
  <c r="L79" i="4"/>
  <c r="L81" i="4"/>
  <c r="L31" i="4"/>
  <c r="L32" i="4"/>
  <c r="E32" i="6" s="1"/>
  <c r="L33" i="4"/>
  <c r="E33" i="6" s="1"/>
  <c r="L80" i="4"/>
  <c r="E232" i="6"/>
  <c r="L226" i="4"/>
  <c r="C42" i="6"/>
  <c r="K64" i="4"/>
  <c r="C64" i="6" s="1"/>
  <c r="K65" i="4"/>
  <c r="C65" i="6" s="1"/>
  <c r="K66" i="4"/>
  <c r="K61" i="4"/>
  <c r="C61" i="6" s="1"/>
  <c r="K60" i="4"/>
  <c r="C60" i="6" s="1"/>
  <c r="K62" i="4"/>
  <c r="C62" i="6" s="1"/>
  <c r="K63" i="4"/>
  <c r="C63" i="6" s="1"/>
  <c r="C305" i="6"/>
  <c r="K298" i="4"/>
  <c r="C316" i="6" s="1"/>
  <c r="K299" i="4"/>
  <c r="C317" i="6" s="1"/>
  <c r="K300" i="4"/>
  <c r="C318" i="6" s="1"/>
  <c r="K301" i="4"/>
  <c r="C319" i="6" s="1"/>
  <c r="C23" i="6"/>
  <c r="K109" i="4"/>
  <c r="C126" i="6" s="1"/>
  <c r="K108" i="4"/>
  <c r="K107" i="4"/>
  <c r="C123" i="6" s="1"/>
  <c r="E18" i="6"/>
  <c r="L27" i="4"/>
  <c r="L74" i="4"/>
  <c r="L28" i="4"/>
  <c r="L78" i="4"/>
  <c r="L75" i="4"/>
  <c r="L29" i="4"/>
  <c r="L77" i="4"/>
  <c r="L76" i="4"/>
  <c r="L30" i="4"/>
  <c r="E30" i="6" s="1"/>
  <c r="C259" i="6"/>
  <c r="K244" i="4"/>
  <c r="C262" i="6" s="1"/>
  <c r="K251" i="4"/>
  <c r="K243" i="4"/>
  <c r="C261" i="6" s="1"/>
  <c r="K249" i="4"/>
  <c r="C267" i="6" s="1"/>
  <c r="K248" i="4"/>
  <c r="K247" i="4"/>
  <c r="K246" i="4"/>
  <c r="K250" i="4"/>
  <c r="K245" i="4"/>
  <c r="C263" i="6" s="1"/>
  <c r="E380" i="6"/>
  <c r="L366" i="4"/>
  <c r="E384" i="6" s="1"/>
  <c r="L365" i="4"/>
  <c r="E383" i="6" s="1"/>
  <c r="L364" i="4"/>
  <c r="E382" i="6" s="1"/>
  <c r="L363" i="4"/>
  <c r="E234" i="6"/>
  <c r="L217" i="4"/>
  <c r="L218" i="4"/>
  <c r="E236" i="6" s="1"/>
  <c r="C41" i="6"/>
  <c r="K56" i="4"/>
  <c r="C56" i="6" s="1"/>
  <c r="K55" i="4"/>
  <c r="C55" i="6" s="1"/>
  <c r="K57" i="4"/>
  <c r="K58" i="4"/>
  <c r="K59" i="4"/>
  <c r="K53" i="4"/>
  <c r="C53" i="6" s="1"/>
  <c r="K54" i="4"/>
  <c r="C54" i="6" s="1"/>
  <c r="C29" i="6"/>
  <c r="K104" i="4"/>
  <c r="K106" i="4"/>
  <c r="K105" i="4"/>
  <c r="C121" i="6" s="1"/>
  <c r="C321" i="6"/>
  <c r="K304" i="4"/>
  <c r="C322" i="6" s="1"/>
  <c r="E17" i="6"/>
  <c r="L70" i="4"/>
  <c r="L26" i="4"/>
  <c r="E26" i="6" s="1"/>
  <c r="L72" i="4"/>
  <c r="L71" i="4"/>
  <c r="L73" i="4"/>
  <c r="L69" i="4"/>
  <c r="L68" i="4"/>
  <c r="L23" i="4"/>
  <c r="L24" i="4"/>
  <c r="E24" i="6" s="1"/>
  <c r="L25" i="4"/>
  <c r="E25" i="6" s="1"/>
  <c r="E346" i="6"/>
  <c r="L333" i="4"/>
  <c r="E351" i="6" s="1"/>
  <c r="L332" i="4"/>
  <c r="E350" i="6" s="1"/>
  <c r="L334" i="4"/>
  <c r="E352" i="6" s="1"/>
  <c r="E198" i="6"/>
  <c r="L186" i="4"/>
  <c r="E204" i="6" s="1"/>
  <c r="L185" i="4"/>
  <c r="E203" i="6" s="1"/>
  <c r="L187" i="4"/>
  <c r="E205" i="6" s="1"/>
  <c r="E233" i="6"/>
  <c r="L219" i="4"/>
  <c r="E237" i="6" s="1"/>
  <c r="L222" i="4"/>
  <c r="E240" i="6" s="1"/>
  <c r="L221" i="4"/>
  <c r="E239" i="6" s="1"/>
  <c r="L223" i="4"/>
  <c r="E241" i="6" s="1"/>
  <c r="L220" i="4"/>
  <c r="E238" i="6" s="1"/>
  <c r="C39" i="6"/>
  <c r="K46" i="4"/>
  <c r="K47" i="4"/>
  <c r="K43" i="4"/>
  <c r="C43" i="6" s="1"/>
  <c r="K44" i="4"/>
  <c r="C44" i="6" s="1"/>
  <c r="K45" i="4"/>
  <c r="C45" i="6" s="1"/>
  <c r="C303" i="6"/>
  <c r="K294" i="4"/>
  <c r="C312" i="6" s="1"/>
  <c r="C320" i="6"/>
  <c r="K306" i="4"/>
  <c r="K305" i="4"/>
  <c r="K307" i="4"/>
  <c r="K308" i="4"/>
  <c r="C326" i="6" s="1"/>
  <c r="E180" i="6"/>
  <c r="L169" i="4"/>
  <c r="E187" i="6" s="1"/>
  <c r="L167" i="4"/>
  <c r="E185" i="6" s="1"/>
  <c r="L168" i="4"/>
  <c r="E186" i="6" s="1"/>
  <c r="L166" i="4"/>
  <c r="E184" i="6" s="1"/>
  <c r="C363" i="6"/>
  <c r="K348" i="4"/>
  <c r="C366" i="6" s="1"/>
  <c r="K349" i="4"/>
  <c r="C367" i="6" s="1"/>
  <c r="E379" i="6"/>
  <c r="L374" i="4"/>
  <c r="E392" i="6" s="1"/>
  <c r="L381" i="4"/>
  <c r="E399" i="6" s="1"/>
  <c r="L373" i="4"/>
  <c r="E391" i="6" s="1"/>
  <c r="L380" i="4"/>
  <c r="E398" i="6" s="1"/>
  <c r="L372" i="4"/>
  <c r="E390" i="6" s="1"/>
  <c r="L379" i="4"/>
  <c r="E397" i="6" s="1"/>
  <c r="L378" i="4"/>
  <c r="L377" i="4"/>
  <c r="E395" i="6" s="1"/>
  <c r="L376" i="4"/>
  <c r="E394" i="6" s="1"/>
  <c r="L368" i="4"/>
  <c r="L375" i="4"/>
  <c r="E393" i="6" s="1"/>
  <c r="E181" i="6"/>
  <c r="L171" i="4"/>
  <c r="E189" i="6" s="1"/>
  <c r="L172" i="4"/>
  <c r="E190" i="6" s="1"/>
  <c r="L170" i="4"/>
  <c r="E188" i="6" s="1"/>
  <c r="C133" i="6"/>
  <c r="K125" i="4"/>
  <c r="K122" i="4"/>
  <c r="K121" i="4"/>
  <c r="K119" i="4"/>
  <c r="K124" i="4"/>
  <c r="K123" i="4"/>
  <c r="K120" i="4"/>
  <c r="C136" i="6"/>
  <c r="K139" i="4"/>
  <c r="K137" i="4"/>
  <c r="K138" i="4"/>
  <c r="K136" i="4"/>
  <c r="C154" i="6" s="1"/>
  <c r="C260" i="6"/>
  <c r="K252" i="4"/>
  <c r="K256" i="4"/>
  <c r="C274" i="6" s="1"/>
  <c r="K255" i="4"/>
  <c r="C273" i="6" s="1"/>
  <c r="K254" i="4"/>
  <c r="K253" i="4"/>
  <c r="C176" i="6"/>
  <c r="K161" i="4"/>
  <c r="K160" i="4"/>
  <c r="K159" i="4"/>
  <c r="C37" i="6"/>
  <c r="K112" i="4"/>
  <c r="E182" i="6"/>
  <c r="L173" i="4"/>
  <c r="E191" i="6" s="1"/>
  <c r="C135" i="6"/>
  <c r="K132" i="4"/>
  <c r="K131" i="4"/>
  <c r="C149" i="6" s="1"/>
  <c r="K134" i="4"/>
  <c r="K135" i="4"/>
  <c r="K133" i="4"/>
  <c r="K130" i="4"/>
  <c r="C148" i="6" s="1"/>
  <c r="C174" i="6"/>
  <c r="K157" i="4"/>
  <c r="C175" i="6" s="1"/>
  <c r="E183" i="6"/>
  <c r="L174" i="4"/>
  <c r="E192" i="6" s="1"/>
  <c r="C31" i="6"/>
  <c r="K110" i="4"/>
  <c r="C128" i="6" s="1"/>
  <c r="K111" i="4"/>
  <c r="C129" i="6" s="1"/>
  <c r="E197" i="6"/>
  <c r="L188" i="4"/>
  <c r="E206" i="6" s="1"/>
  <c r="L190" i="4"/>
  <c r="E208" i="6" s="1"/>
  <c r="L189" i="4"/>
  <c r="E207" i="6" s="1"/>
  <c r="C374" i="6"/>
  <c r="K362" i="4"/>
  <c r="K361" i="4"/>
  <c r="E260" i="6"/>
  <c r="L255" i="4"/>
  <c r="E273" i="6" s="1"/>
  <c r="L256" i="4"/>
  <c r="E274" i="6" s="1"/>
  <c r="L252" i="4"/>
  <c r="L253" i="4"/>
  <c r="L254" i="4"/>
  <c r="C28" i="6"/>
  <c r="K102" i="4"/>
  <c r="K103" i="4"/>
  <c r="C119" i="6" s="1"/>
  <c r="E41" i="6"/>
  <c r="L58" i="4"/>
  <c r="L59" i="4"/>
  <c r="L53" i="4"/>
  <c r="E53" i="6" s="1"/>
  <c r="L54" i="4"/>
  <c r="E54" i="6" s="1"/>
  <c r="L55" i="4"/>
  <c r="E55" i="6" s="1"/>
  <c r="L56" i="4"/>
  <c r="E56" i="6" s="1"/>
  <c r="L57" i="4"/>
  <c r="E133" i="6"/>
  <c r="L123" i="4"/>
  <c r="L121" i="4"/>
  <c r="L124" i="4"/>
  <c r="L125" i="4"/>
  <c r="L120" i="4"/>
  <c r="L119" i="4"/>
  <c r="L122" i="4"/>
  <c r="E136" i="6"/>
  <c r="L138" i="4"/>
  <c r="L136" i="4"/>
  <c r="E154" i="6" s="1"/>
  <c r="L139" i="4"/>
  <c r="L137" i="4"/>
  <c r="E22" i="6"/>
  <c r="L96" i="4"/>
  <c r="L94" i="4"/>
  <c r="L95" i="4"/>
  <c r="L38" i="4"/>
  <c r="E38" i="6" s="1"/>
  <c r="L97" i="4"/>
  <c r="L93" i="4"/>
  <c r="E376" i="6"/>
  <c r="L360" i="4"/>
  <c r="E378" i="6" s="1"/>
  <c r="L359" i="4"/>
  <c r="E377" i="6" s="1"/>
  <c r="E195" i="6"/>
  <c r="L193" i="4"/>
  <c r="L194" i="4"/>
  <c r="E212" i="6" s="1"/>
  <c r="L192" i="4"/>
  <c r="E210" i="6" s="1"/>
  <c r="C372" i="6"/>
  <c r="K357" i="4"/>
  <c r="C375" i="6" s="1"/>
  <c r="K358" i="4"/>
  <c r="E40" i="6"/>
  <c r="L50" i="4"/>
  <c r="E50" i="6" s="1"/>
  <c r="L51" i="4"/>
  <c r="L52" i="4"/>
  <c r="L48" i="4"/>
  <c r="L49" i="4"/>
  <c r="E49" i="6" s="1"/>
  <c r="E135" i="6"/>
  <c r="L133" i="4"/>
  <c r="L132" i="4"/>
  <c r="L134" i="4"/>
  <c r="L135" i="4"/>
  <c r="L130" i="4"/>
  <c r="E148" i="6" s="1"/>
  <c r="L131" i="4"/>
  <c r="E149" i="6" s="1"/>
  <c r="E353" i="6"/>
  <c r="L390" i="4"/>
  <c r="E408" i="6" s="1"/>
  <c r="L340" i="4"/>
  <c r="E358" i="6" s="1"/>
  <c r="L339" i="4"/>
  <c r="E357" i="6" s="1"/>
  <c r="E194" i="6"/>
  <c r="L202" i="4"/>
  <c r="E220" i="6" s="1"/>
  <c r="L200" i="4"/>
  <c r="E218" i="6" s="1"/>
  <c r="L195" i="4"/>
  <c r="L201" i="4"/>
  <c r="E219" i="6" s="1"/>
  <c r="L198" i="4"/>
  <c r="C40" i="6"/>
  <c r="K48" i="4"/>
  <c r="K49" i="4"/>
  <c r="C49" i="6" s="1"/>
  <c r="K50" i="4"/>
  <c r="C50" i="6" s="1"/>
  <c r="K52" i="4"/>
  <c r="K51" i="4"/>
  <c r="E39" i="6"/>
  <c r="L43" i="4"/>
  <c r="E43" i="6" s="1"/>
  <c r="L44" i="4"/>
  <c r="E44" i="6" s="1"/>
  <c r="L45" i="4"/>
  <c r="E45" i="6" s="1"/>
  <c r="L47" i="4"/>
  <c r="L46" i="4"/>
  <c r="E21" i="6"/>
  <c r="L87" i="4"/>
  <c r="L88" i="4"/>
  <c r="L37" i="4"/>
  <c r="L90" i="4"/>
  <c r="L86" i="4"/>
  <c r="L89" i="4"/>
  <c r="L85" i="4"/>
  <c r="E294" i="6" l="1"/>
  <c r="L281" i="4"/>
  <c r="E299" i="6" s="1"/>
  <c r="L280" i="4"/>
  <c r="E298" i="6" s="1"/>
  <c r="E303" i="6"/>
  <c r="L294" i="4"/>
  <c r="E312" i="6" s="1"/>
  <c r="E304" i="6"/>
  <c r="L297" i="4"/>
  <c r="E315" i="6" s="1"/>
  <c r="L296" i="4"/>
  <c r="E314" i="6" s="1"/>
  <c r="L295" i="4"/>
  <c r="E313" i="6" s="1"/>
  <c r="L301" i="4"/>
  <c r="E319" i="6" s="1"/>
  <c r="E305" i="6"/>
  <c r="L300" i="4"/>
  <c r="E318" i="6" s="1"/>
  <c r="L299" i="4"/>
  <c r="E317" i="6" s="1"/>
  <c r="L298" i="4"/>
  <c r="E316" i="6" s="1"/>
  <c r="L290" i="4"/>
  <c r="E308" i="6" s="1"/>
  <c r="L289" i="4"/>
  <c r="E307" i="6" s="1"/>
  <c r="L288" i="4"/>
  <c r="E306" i="6" s="1"/>
  <c r="E301" i="6"/>
  <c r="L293" i="4"/>
  <c r="E311" i="6" s="1"/>
  <c r="L292" i="4"/>
  <c r="E310" i="6" s="1"/>
  <c r="L291" i="4"/>
  <c r="E309" i="6" s="1"/>
  <c r="L282" i="4"/>
  <c r="E300" i="6" s="1"/>
  <c r="E296" i="6"/>
  <c r="C376" i="6"/>
  <c r="K359" i="4"/>
  <c r="C377" i="6" s="1"/>
  <c r="K360" i="4"/>
  <c r="C378" i="6" s="1"/>
  <c r="C379" i="6"/>
  <c r="K376" i="4"/>
  <c r="C394" i="6" s="1"/>
  <c r="K373" i="4"/>
  <c r="C391" i="6" s="1"/>
  <c r="K368" i="4"/>
  <c r="K377" i="4"/>
  <c r="C395" i="6" s="1"/>
  <c r="K374" i="4"/>
  <c r="C392" i="6" s="1"/>
  <c r="K381" i="4"/>
  <c r="C399" i="6" s="1"/>
  <c r="K378" i="4"/>
  <c r="K380" i="4"/>
  <c r="C398" i="6" s="1"/>
  <c r="K379" i="4"/>
  <c r="C397" i="6" s="1"/>
  <c r="K375" i="4"/>
  <c r="C393" i="6" s="1"/>
  <c r="K372" i="4"/>
  <c r="C390" i="6" s="1"/>
  <c r="E138" i="6"/>
  <c r="L145" i="4"/>
  <c r="E163" i="6" s="1"/>
  <c r="C179" i="6"/>
  <c r="K180" i="4"/>
  <c r="K179" i="4"/>
  <c r="K177" i="4"/>
  <c r="K184" i="4"/>
  <c r="C202" i="6" s="1"/>
  <c r="K182" i="4"/>
  <c r="C200" i="6" s="1"/>
  <c r="K183" i="4"/>
  <c r="C201" i="6" s="1"/>
  <c r="K181" i="4"/>
  <c r="C199" i="6" s="1"/>
  <c r="K178" i="4"/>
  <c r="K176" i="4"/>
  <c r="K175" i="4"/>
  <c r="E23" i="6"/>
  <c r="L108" i="4"/>
  <c r="L109" i="4"/>
  <c r="E126" i="6" s="1"/>
  <c r="L107" i="4"/>
  <c r="E123" i="6" s="1"/>
  <c r="C323" i="6"/>
  <c r="K312" i="4"/>
  <c r="C330" i="6" s="1"/>
  <c r="K310" i="4"/>
  <c r="C328" i="6" s="1"/>
  <c r="K314" i="4"/>
  <c r="C332" i="6" s="1"/>
  <c r="K313" i="4"/>
  <c r="C331" i="6" s="1"/>
  <c r="K309" i="4"/>
  <c r="C327" i="6" s="1"/>
  <c r="K311" i="4"/>
  <c r="C329" i="6" s="1"/>
  <c r="E28" i="6"/>
  <c r="L103" i="4"/>
  <c r="E119" i="6" s="1"/>
  <c r="L102" i="4"/>
  <c r="C139" i="6"/>
  <c r="K129" i="4"/>
  <c r="K126" i="4"/>
  <c r="K128" i="4"/>
  <c r="C146" i="6" s="1"/>
  <c r="K127" i="4"/>
  <c r="C145" i="6" s="1"/>
  <c r="E27" i="6"/>
  <c r="L98" i="4"/>
  <c r="L99" i="4"/>
  <c r="E114" i="6" s="1"/>
  <c r="L101" i="4"/>
  <c r="L100" i="4"/>
  <c r="E115" i="6" s="1"/>
  <c r="C178" i="6"/>
  <c r="K164" i="4"/>
  <c r="K163" i="4"/>
  <c r="K165" i="4"/>
  <c r="K162" i="4"/>
  <c r="C138" i="6"/>
  <c r="K145" i="4"/>
  <c r="C163" i="6" s="1"/>
  <c r="E396" i="6"/>
  <c r="L382" i="4"/>
  <c r="E400" i="6" s="1"/>
  <c r="E48" i="6"/>
  <c r="L67" i="4"/>
  <c r="C380" i="6"/>
  <c r="K363" i="4"/>
  <c r="K364" i="4"/>
  <c r="C382" i="6" s="1"/>
  <c r="K365" i="4"/>
  <c r="C383" i="6" s="1"/>
  <c r="K366" i="4"/>
  <c r="C384" i="6" s="1"/>
  <c r="C325" i="6"/>
  <c r="K318" i="4"/>
  <c r="C336" i="6" s="1"/>
  <c r="K317" i="4"/>
  <c r="C335" i="6" s="1"/>
  <c r="E235" i="6"/>
  <c r="L224" i="4"/>
  <c r="E242" i="6" s="1"/>
  <c r="L225" i="4"/>
  <c r="E243" i="6" s="1"/>
  <c r="C48" i="6"/>
  <c r="K67" i="4"/>
  <c r="C137" i="6"/>
  <c r="K140" i="4"/>
  <c r="C158" i="6" s="1"/>
  <c r="K142" i="4"/>
  <c r="K141" i="4"/>
  <c r="C159" i="6" s="1"/>
  <c r="K144" i="4"/>
  <c r="K143" i="4"/>
  <c r="C324" i="6"/>
  <c r="K316" i="4"/>
  <c r="C334" i="6" s="1"/>
  <c r="K315" i="4"/>
  <c r="C333" i="6" s="1"/>
  <c r="E211" i="6"/>
  <c r="L228" i="4"/>
  <c r="E246" i="6" s="1"/>
  <c r="L229" i="4"/>
  <c r="E139" i="6"/>
  <c r="L127" i="4"/>
  <c r="E145" i="6" s="1"/>
  <c r="L126" i="4"/>
  <c r="E144" i="6" s="1"/>
  <c r="L128" i="4"/>
  <c r="E146" i="6" s="1"/>
  <c r="L129" i="4"/>
  <c r="E37" i="6"/>
  <c r="L112" i="4"/>
  <c r="E386" i="6"/>
  <c r="L371" i="4"/>
  <c r="E389" i="6" s="1"/>
  <c r="L370" i="4"/>
  <c r="E388" i="6" s="1"/>
  <c r="L369" i="4"/>
  <c r="E387" i="6" s="1"/>
  <c r="E381" i="6"/>
  <c r="L367" i="4"/>
  <c r="E385" i="6" s="1"/>
  <c r="E31" i="6"/>
  <c r="L111" i="4"/>
  <c r="E129" i="6" s="1"/>
  <c r="L110" i="4"/>
  <c r="E128" i="6" s="1"/>
  <c r="E213" i="6"/>
  <c r="L196" i="4"/>
  <c r="E214" i="6" s="1"/>
  <c r="L197" i="4"/>
  <c r="E215" i="6" s="1"/>
  <c r="E137" i="6"/>
  <c r="L143" i="4"/>
  <c r="L140" i="4"/>
  <c r="E158" i="6" s="1"/>
  <c r="L144" i="4"/>
  <c r="L142" i="4"/>
  <c r="L141" i="4"/>
  <c r="E159" i="6" s="1"/>
  <c r="E216" i="6"/>
  <c r="L199" i="4"/>
  <c r="E217" i="6" s="1"/>
  <c r="E244" i="6"/>
  <c r="L227" i="4"/>
  <c r="E221" i="6"/>
  <c r="L210" i="4"/>
  <c r="E228" i="6" s="1"/>
  <c r="L213" i="4"/>
  <c r="E231" i="6" s="1"/>
  <c r="L211" i="4"/>
  <c r="E229" i="6" s="1"/>
  <c r="L212" i="4"/>
  <c r="E230" i="6" s="1"/>
  <c r="C177" i="6"/>
  <c r="K216" i="4"/>
  <c r="K215" i="4"/>
  <c r="K214" i="4"/>
  <c r="E29" i="6"/>
  <c r="L104" i="4"/>
  <c r="L106" i="4"/>
  <c r="L105" i="4"/>
  <c r="E121" i="6" s="1"/>
  <c r="E12" i="3" l="1"/>
  <c r="C381" i="6"/>
  <c r="K367" i="4"/>
  <c r="C385" i="6" s="1"/>
  <c r="C144" i="6"/>
  <c r="C386" i="6"/>
  <c r="K369" i="4"/>
  <c r="C387" i="6" s="1"/>
  <c r="K371" i="4"/>
  <c r="C389" i="6" s="1"/>
  <c r="K370" i="4"/>
  <c r="C388" i="6" s="1"/>
  <c r="C180" i="6"/>
  <c r="K169" i="4"/>
  <c r="C187" i="6" s="1"/>
  <c r="K166" i="4"/>
  <c r="K168" i="4"/>
  <c r="C186" i="6" s="1"/>
  <c r="K167" i="4"/>
  <c r="C185" i="6" s="1"/>
  <c r="C195" i="6"/>
  <c r="K193" i="4"/>
  <c r="K192" i="4"/>
  <c r="C210" i="6" s="1"/>
  <c r="K194" i="4"/>
  <c r="C212" i="6" s="1"/>
  <c r="E245" i="6"/>
  <c r="L230" i="4"/>
  <c r="C183" i="6"/>
  <c r="K174" i="4"/>
  <c r="C192" i="6" s="1"/>
  <c r="C193" i="6"/>
  <c r="K204" i="4"/>
  <c r="C222" i="6" s="1"/>
  <c r="K203" i="4"/>
  <c r="K209" i="4"/>
  <c r="C227" i="6" s="1"/>
  <c r="K208" i="4"/>
  <c r="C226" i="6" s="1"/>
  <c r="K207" i="4"/>
  <c r="C225" i="6" s="1"/>
  <c r="K206" i="4"/>
  <c r="C224" i="6" s="1"/>
  <c r="K205" i="4"/>
  <c r="C223" i="6" s="1"/>
  <c r="C197" i="6"/>
  <c r="K188" i="4"/>
  <c r="C206" i="6" s="1"/>
  <c r="K190" i="4"/>
  <c r="C208" i="6" s="1"/>
  <c r="K189" i="4"/>
  <c r="C207" i="6" s="1"/>
  <c r="C181" i="6"/>
  <c r="K172" i="4"/>
  <c r="C190" i="6" s="1"/>
  <c r="K171" i="4"/>
  <c r="C189" i="6" s="1"/>
  <c r="K170" i="4"/>
  <c r="C188" i="6" s="1"/>
  <c r="C194" i="6"/>
  <c r="K195" i="4"/>
  <c r="K201" i="4"/>
  <c r="C219" i="6" s="1"/>
  <c r="K200" i="4"/>
  <c r="C218" i="6" s="1"/>
  <c r="K198" i="4"/>
  <c r="K202" i="4"/>
  <c r="C220" i="6" s="1"/>
  <c r="C198" i="6"/>
  <c r="K187" i="4"/>
  <c r="C205" i="6" s="1"/>
  <c r="K185" i="4"/>
  <c r="C203" i="6" s="1"/>
  <c r="K186" i="4"/>
  <c r="C204" i="6" s="1"/>
  <c r="C182" i="6"/>
  <c r="K173" i="4"/>
  <c r="C191" i="6" s="1"/>
  <c r="C196" i="6"/>
  <c r="K191" i="4"/>
  <c r="C209" i="6" s="1"/>
  <c r="C396" i="6"/>
  <c r="K382" i="4"/>
  <c r="C232" i="6"/>
  <c r="K226" i="4"/>
  <c r="C233" i="6"/>
  <c r="K220" i="4"/>
  <c r="C238" i="6" s="1"/>
  <c r="K219" i="4"/>
  <c r="C237" i="6" s="1"/>
  <c r="K223" i="4"/>
  <c r="C241" i="6" s="1"/>
  <c r="K222" i="4"/>
  <c r="C240" i="6" s="1"/>
  <c r="K221" i="4"/>
  <c r="C239" i="6" s="1"/>
  <c r="C234" i="6"/>
  <c r="K217" i="4"/>
  <c r="K218" i="4"/>
  <c r="C236" i="6" s="1"/>
  <c r="E247" i="6"/>
  <c r="L233" i="4"/>
  <c r="E251" i="6" s="1"/>
  <c r="L234" i="4"/>
  <c r="E252" i="6" s="1"/>
  <c r="E16" i="3" l="1"/>
  <c r="E11" i="3"/>
  <c r="E14" i="3"/>
  <c r="E17" i="3"/>
  <c r="E13" i="3"/>
  <c r="E15" i="3"/>
  <c r="C211" i="6"/>
  <c r="K228" i="4"/>
  <c r="C246" i="6" s="1"/>
  <c r="K229" i="4"/>
  <c r="C221" i="6"/>
  <c r="K212" i="4"/>
  <c r="C230" i="6" s="1"/>
  <c r="K211" i="4"/>
  <c r="C229" i="6" s="1"/>
  <c r="K213" i="4"/>
  <c r="C231" i="6" s="1"/>
  <c r="K210" i="4"/>
  <c r="C228" i="6" s="1"/>
  <c r="C244" i="6"/>
  <c r="K227" i="4"/>
  <c r="C235" i="6"/>
  <c r="K225" i="4"/>
  <c r="C243" i="6" s="1"/>
  <c r="K224" i="4"/>
  <c r="C242" i="6" s="1"/>
  <c r="C216" i="6"/>
  <c r="K199" i="4"/>
  <c r="C217" i="6" s="1"/>
  <c r="C400" i="6"/>
  <c r="E248" i="6"/>
  <c r="L231" i="4"/>
  <c r="L232" i="4"/>
  <c r="E250" i="6" s="1"/>
  <c r="C213" i="6"/>
  <c r="K196" i="4"/>
  <c r="E18" i="3" s="1"/>
  <c r="K197" i="4"/>
  <c r="C215" i="6" s="1"/>
  <c r="C184" i="6"/>
  <c r="C245" i="6" l="1"/>
  <c r="K230" i="4"/>
  <c r="C214" i="6"/>
  <c r="C247" i="6"/>
  <c r="K233" i="4"/>
  <c r="C251" i="6" s="1"/>
  <c r="K234" i="4"/>
  <c r="E249" i="6"/>
  <c r="I11" i="3"/>
  <c r="J11" i="3" s="1"/>
  <c r="I13" i="3"/>
  <c r="J13" i="3" s="1"/>
  <c r="I12" i="3"/>
  <c r="J12" i="3" s="1"/>
  <c r="I15" i="3"/>
  <c r="J15" i="3" s="1"/>
  <c r="I14" i="3"/>
  <c r="J14" i="3" s="1"/>
  <c r="C252" i="6" l="1"/>
  <c r="C17" i="3"/>
  <c r="F17" i="3"/>
  <c r="C13" i="3"/>
  <c r="D13" i="3"/>
  <c r="F12" i="3"/>
  <c r="C11" i="3"/>
  <c r="C248" i="6"/>
  <c r="K232" i="4"/>
  <c r="C250" i="6" s="1"/>
  <c r="K231" i="4"/>
  <c r="D17" i="3" s="1"/>
  <c r="F16" i="3"/>
  <c r="C18" i="3" l="1"/>
  <c r="D14" i="3"/>
  <c r="C16" i="3"/>
  <c r="F13" i="3"/>
  <c r="F15" i="3"/>
  <c r="F14" i="3"/>
  <c r="C249" i="6"/>
  <c r="D12" i="3"/>
  <c r="F20" i="5" a="1"/>
  <c r="F20" i="5" s="1"/>
  <c r="D15" i="3"/>
  <c r="C12" i="3"/>
  <c r="F24" i="5" a="1"/>
  <c r="F24" i="5" s="1"/>
  <c r="F8" i="5" a="1"/>
  <c r="F8" i="5" s="1"/>
  <c r="B5" i="5" a="1"/>
  <c r="B5" i="5" s="1"/>
  <c r="D16" i="3"/>
  <c r="C15" i="3"/>
  <c r="D11" i="3"/>
  <c r="C18" i="1"/>
  <c r="F11" i="3"/>
  <c r="F12" i="5" a="1"/>
  <c r="F12" i="5" s="1"/>
  <c r="C14" i="3"/>
  <c r="F16" i="5" a="1"/>
  <c r="F16" i="5" s="1"/>
  <c r="K7" i="3"/>
  <c r="D18" i="3"/>
</calcChain>
</file>

<file path=xl/sharedStrings.xml><?xml version="1.0" encoding="utf-8"?>
<sst xmlns="http://schemas.openxmlformats.org/spreadsheetml/2006/main" count="2434" uniqueCount="347">
  <si>
    <t>@dropdown</t>
  </si>
  <si>
    <t>🎛️ مركز التحكم الرئيسي - MASTER ADMIN CONTROL CENTER</t>
  </si>
  <si>
    <t>⚙️ SYSTEM SETTINGS</t>
  </si>
  <si>
    <t>📊 DATA MANAGEMENT</t>
  </si>
  <si>
    <t>🎨 DISPLAY OPTIONS</t>
  </si>
  <si>
    <t>🔧 QUICK ACTIONS</t>
  </si>
  <si>
    <t>Auto-Save:</t>
  </si>
  <si>
    <t>ON</t>
  </si>
  <si>
    <t>FAMILY NAMES LIST:</t>
  </si>
  <si>
    <t>Auto-Calculate:</t>
  </si>
  <si>
    <t>ال شايع</t>
  </si>
  <si>
    <t>Auto-Backup:</t>
  </si>
  <si>
    <t>DAILY</t>
  </si>
  <si>
    <t>Language:</t>
  </si>
  <si>
    <t>AR/EN</t>
  </si>
  <si>
    <t>Date Format:</t>
  </si>
  <si>
    <t>DD/MM/YYYY</t>
  </si>
  <si>
    <t>💾 SAVE ALL</t>
  </si>
  <si>
    <t>📈 LIVE STATISTICS</t>
  </si>
  <si>
    <t>Total Members:</t>
  </si>
  <si>
    <t>Males:</t>
  </si>
  <si>
    <t>Females:</t>
  </si>
  <si>
    <t>Generations:</t>
  </si>
  <si>
    <t>Completion:</t>
  </si>
  <si>
    <t>⚡ إدخال سريع - QUICK SMART ENTRY</t>
  </si>
  <si>
    <t>📝 Just enter the name and select father!</t>
  </si>
  <si>
    <t>الاسم فقط
Name Only:</t>
  </si>
  <si>
    <t>ابراهيم</t>
  </si>
  <si>
    <t>💡 How it works:</t>
  </si>
  <si>
    <t>1️⃣ Type ONLY the first name</t>
  </si>
  <si>
    <t>اختر الأب
Select Father:</t>
  </si>
  <si>
    <t>حمد</t>
  </si>
  <si>
    <t>2️⃣ Select father from dropdown</t>
  </si>
  <si>
    <t>3️⃣ Everything else fills automatically!</t>
  </si>
  <si>
    <t>الجنس
Gender:</t>
  </si>
  <si>
    <t>Male</t>
  </si>
  <si>
    <t>4️⃣ Click ADD button</t>
  </si>
  <si>
    <t>سنة الميلاد
Birth Year:</t>
  </si>
  <si>
    <t>✅ Person added with all relationships!</t>
  </si>
  <si>
    <t>🔄 AUTO-FILLED DATA</t>
  </si>
  <si>
    <t>Father's Name:</t>
  </si>
  <si>
    <t>Grandfather:</t>
  </si>
  <si>
    <t>Family Name:</t>
  </si>
  <si>
    <t>Generation:</t>
  </si>
  <si>
    <t>New ID:</t>
  </si>
  <si>
    <t>➕ ADD TO REGISTRY</t>
  </si>
  <si>
    <t>📊 لوحة المعلومات المتقدمة - ADVANCED ANALYTICS DASHBOARD</t>
  </si>
  <si>
    <t>👥 TOTAL
الإجمالي</t>
  </si>
  <si>
    <t>👨 MALES
الذكور</t>
  </si>
  <si>
    <t>👩 FEMALES
الإناث</t>
  </si>
  <si>
    <t>🌳 GENERATIONS
الأجيال</t>
  </si>
  <si>
    <t>📈 GENERATION ANALYSIS</t>
  </si>
  <si>
    <t>🌿 BRANCH ANALYSIS</t>
  </si>
  <si>
    <t>Generation</t>
  </si>
  <si>
    <t>Count</t>
  </si>
  <si>
    <t>Males</t>
  </si>
  <si>
    <t>Females</t>
  </si>
  <si>
    <t>Avg Children</t>
  </si>
  <si>
    <t>Branch</t>
  </si>
  <si>
    <t>Members</t>
  </si>
  <si>
    <t>Percentage</t>
  </si>
  <si>
    <t>Generation 1</t>
  </si>
  <si>
    <t>الأصل</t>
  </si>
  <si>
    <t>Generation 2</t>
  </si>
  <si>
    <t>الفرع 1</t>
  </si>
  <si>
    <t>Generation 3</t>
  </si>
  <si>
    <t>الفرع 2</t>
  </si>
  <si>
    <t>Generation 4</t>
  </si>
  <si>
    <t>الفرع 3</t>
  </si>
  <si>
    <t>Generation 5</t>
  </si>
  <si>
    <t>الفرع 4</t>
  </si>
  <si>
    <t>Generation 6</t>
  </si>
  <si>
    <t>Generation 7</t>
  </si>
  <si>
    <t>Generation 8</t>
  </si>
  <si>
    <t>📊 FAMILY GROWTH TREND</t>
  </si>
  <si>
    <t>✅ DATA COMPLETION</t>
  </si>
  <si>
    <t>ID</t>
  </si>
  <si>
    <t>Name الاسم</t>
  </si>
  <si>
    <t>Father الأب</t>
  </si>
  <si>
    <t>Grandfather الجد</t>
  </si>
  <si>
    <t>الجد الثاني</t>
  </si>
  <si>
    <t>Father_ID</t>
  </si>
  <si>
    <t>Gender</t>
  </si>
  <si>
    <t>Birth_Year</t>
  </si>
  <si>
    <t>Sons</t>
  </si>
  <si>
    <t>Daughters</t>
  </si>
  <si>
    <t>Full_Name_AR</t>
  </si>
  <si>
    <t>Full_Name_EN</t>
  </si>
  <si>
    <t>Age</t>
  </si>
  <si>
    <t>Children</t>
  </si>
  <si>
    <t>Phone</t>
  </si>
  <si>
    <t>City</t>
  </si>
  <si>
    <t>Status</t>
  </si>
  <si>
    <t>-</t>
  </si>
  <si>
    <t>P001</t>
  </si>
  <si>
    <t>الابراهيم</t>
  </si>
  <si>
    <t>عبدالكريم</t>
  </si>
  <si>
    <t>العبدالكريم</t>
  </si>
  <si>
    <t>فوزان</t>
  </si>
  <si>
    <t>الفوزان</t>
  </si>
  <si>
    <t>محمد</t>
  </si>
  <si>
    <t>P002</t>
  </si>
  <si>
    <t>ناصر</t>
  </si>
  <si>
    <t>P005</t>
  </si>
  <si>
    <t>عبدالمحسن</t>
  </si>
  <si>
    <t>عبدالرحمن</t>
  </si>
  <si>
    <t>P006</t>
  </si>
  <si>
    <t>P011</t>
  </si>
  <si>
    <t>عبدالعزيز</t>
  </si>
  <si>
    <t>P012</t>
  </si>
  <si>
    <t>سعد</t>
  </si>
  <si>
    <t>فهد</t>
  </si>
  <si>
    <t>خالد</t>
  </si>
  <si>
    <t>شايع</t>
  </si>
  <si>
    <t>P016</t>
  </si>
  <si>
    <t>وليد</t>
  </si>
  <si>
    <t>فيصل</t>
  </si>
  <si>
    <t>يزيد</t>
  </si>
  <si>
    <t>P017</t>
  </si>
  <si>
    <t>عبدالله</t>
  </si>
  <si>
    <t>P018</t>
  </si>
  <si>
    <t>عبدالاله</t>
  </si>
  <si>
    <t xml:space="preserve">ناصر </t>
  </si>
  <si>
    <t>P019</t>
  </si>
  <si>
    <t>البراء</t>
  </si>
  <si>
    <t>P020</t>
  </si>
  <si>
    <t>P021</t>
  </si>
  <si>
    <t>P013</t>
  </si>
  <si>
    <t>أحمد</t>
  </si>
  <si>
    <t>عادل</t>
  </si>
  <si>
    <t>P038</t>
  </si>
  <si>
    <t>حنان</t>
  </si>
  <si>
    <t>Female</t>
  </si>
  <si>
    <t>هنا</t>
  </si>
  <si>
    <t>P039</t>
  </si>
  <si>
    <t>مساعد</t>
  </si>
  <si>
    <t>نجد</t>
  </si>
  <si>
    <t>نوف</t>
  </si>
  <si>
    <t>أنس</t>
  </si>
  <si>
    <t>P040</t>
  </si>
  <si>
    <t>عبدالمجيد</t>
  </si>
  <si>
    <t>معاذ</t>
  </si>
  <si>
    <t>تميم</t>
  </si>
  <si>
    <t>بسمة</t>
  </si>
  <si>
    <t>ريم</t>
  </si>
  <si>
    <t>كندا</t>
  </si>
  <si>
    <t>بدر</t>
  </si>
  <si>
    <t>P041</t>
  </si>
  <si>
    <t>زياد</t>
  </si>
  <si>
    <t>ريان</t>
  </si>
  <si>
    <t>مؤيد</t>
  </si>
  <si>
    <t>عزام</t>
  </si>
  <si>
    <t>بتال</t>
  </si>
  <si>
    <t>شهد</t>
  </si>
  <si>
    <t>ريما</t>
  </si>
  <si>
    <t>P047</t>
  </si>
  <si>
    <t>خلود</t>
  </si>
  <si>
    <t>عبير</t>
  </si>
  <si>
    <t>أمل</t>
  </si>
  <si>
    <t>شروق</t>
  </si>
  <si>
    <t>فاتن</t>
  </si>
  <si>
    <t>لمياء</t>
  </si>
  <si>
    <t>تغريد</t>
  </si>
  <si>
    <t>العنود</t>
  </si>
  <si>
    <t>أسماء</t>
  </si>
  <si>
    <t>أروى</t>
  </si>
  <si>
    <t>موضي</t>
  </si>
  <si>
    <t>مدى</t>
  </si>
  <si>
    <t>مشاعل</t>
  </si>
  <si>
    <t>حصة</t>
  </si>
  <si>
    <t>نورة</t>
  </si>
  <si>
    <t>مها</t>
  </si>
  <si>
    <t>نجلاء</t>
  </si>
  <si>
    <t>دانة</t>
  </si>
  <si>
    <t>ديمة</t>
  </si>
  <si>
    <t>في</t>
  </si>
  <si>
    <t>هيا</t>
  </si>
  <si>
    <t>جواهر</t>
  </si>
  <si>
    <t>جمانه</t>
  </si>
  <si>
    <t>سفانة</t>
  </si>
  <si>
    <t>سلاف</t>
  </si>
  <si>
    <t>شموخ</t>
  </si>
  <si>
    <t>أضواء</t>
  </si>
  <si>
    <t>P026</t>
  </si>
  <si>
    <t>صبا</t>
  </si>
  <si>
    <t>فرح</t>
  </si>
  <si>
    <t>P027</t>
  </si>
  <si>
    <t>لمى</t>
  </si>
  <si>
    <t>P028</t>
  </si>
  <si>
    <t>P022</t>
  </si>
  <si>
    <t>الجوهرة</t>
  </si>
  <si>
    <t>P030</t>
  </si>
  <si>
    <t>سلطان</t>
  </si>
  <si>
    <t>ديم</t>
  </si>
  <si>
    <t>P036</t>
  </si>
  <si>
    <t>P014</t>
  </si>
  <si>
    <t>P114</t>
  </si>
  <si>
    <t>عبدالملك</t>
  </si>
  <si>
    <t>ليلى</t>
  </si>
  <si>
    <t>منار</t>
  </si>
  <si>
    <t>P120</t>
  </si>
  <si>
    <t>تالا</t>
  </si>
  <si>
    <t>P116</t>
  </si>
  <si>
    <t>رنا</t>
  </si>
  <si>
    <t>جدى</t>
  </si>
  <si>
    <t>حور</t>
  </si>
  <si>
    <t>جود</t>
  </si>
  <si>
    <t>P117</t>
  </si>
  <si>
    <t>ألين</t>
  </si>
  <si>
    <t>جنى</t>
  </si>
  <si>
    <t>لطيفة</t>
  </si>
  <si>
    <t>P118</t>
  </si>
  <si>
    <t>مهند</t>
  </si>
  <si>
    <t>رفيف</t>
  </si>
  <si>
    <t>لين</t>
  </si>
  <si>
    <t>P119</t>
  </si>
  <si>
    <t>قماشة</t>
  </si>
  <si>
    <t>منيرة</t>
  </si>
  <si>
    <t>فوزية</t>
  </si>
  <si>
    <t>جميلة</t>
  </si>
  <si>
    <t>وفاء</t>
  </si>
  <si>
    <t>منى</t>
  </si>
  <si>
    <t>P004</t>
  </si>
  <si>
    <t>P153</t>
  </si>
  <si>
    <t>P155</t>
  </si>
  <si>
    <t>P157</t>
  </si>
  <si>
    <t>P159</t>
  </si>
  <si>
    <t>P161</t>
  </si>
  <si>
    <t>مازن</t>
  </si>
  <si>
    <t>P162</t>
  </si>
  <si>
    <t>عامر</t>
  </si>
  <si>
    <t>قتيبة</t>
  </si>
  <si>
    <t>P163</t>
  </si>
  <si>
    <t>P164</t>
  </si>
  <si>
    <t>P160</t>
  </si>
  <si>
    <t>منصور</t>
  </si>
  <si>
    <t>فواز</t>
  </si>
  <si>
    <t>مشاري</t>
  </si>
  <si>
    <t>P179</t>
  </si>
  <si>
    <t>مصعب</t>
  </si>
  <si>
    <t>P178</t>
  </si>
  <si>
    <t>عمر</t>
  </si>
  <si>
    <t>عاصم</t>
  </si>
  <si>
    <t>P177</t>
  </si>
  <si>
    <t>P176</t>
  </si>
  <si>
    <t>مشعل</t>
  </si>
  <si>
    <t>سعود</t>
  </si>
  <si>
    <t>P175</t>
  </si>
  <si>
    <t>P194</t>
  </si>
  <si>
    <t>اسامه</t>
  </si>
  <si>
    <t>P197</t>
  </si>
  <si>
    <t>صالح</t>
  </si>
  <si>
    <t>P174</t>
  </si>
  <si>
    <t>احمد</t>
  </si>
  <si>
    <t>يوسف</t>
  </si>
  <si>
    <t>P202</t>
  </si>
  <si>
    <t>نايف</t>
  </si>
  <si>
    <t>P158</t>
  </si>
  <si>
    <t>P215</t>
  </si>
  <si>
    <t>P214</t>
  </si>
  <si>
    <t>باسل</t>
  </si>
  <si>
    <t>حسام</t>
  </si>
  <si>
    <t>انس</t>
  </si>
  <si>
    <t>P216</t>
  </si>
  <si>
    <t>P213</t>
  </si>
  <si>
    <t>P225</t>
  </si>
  <si>
    <t>P192</t>
  </si>
  <si>
    <t>P226</t>
  </si>
  <si>
    <t>P229</t>
  </si>
  <si>
    <t>P228</t>
  </si>
  <si>
    <t>P003</t>
  </si>
  <si>
    <t>P234</t>
  </si>
  <si>
    <t>عثمان</t>
  </si>
  <si>
    <t>P236</t>
  </si>
  <si>
    <t>P239</t>
  </si>
  <si>
    <t>P240</t>
  </si>
  <si>
    <t>ربى</t>
  </si>
  <si>
    <t>سارة</t>
  </si>
  <si>
    <t>ديما</t>
  </si>
  <si>
    <t>الين</t>
  </si>
  <si>
    <t>لبنى</t>
  </si>
  <si>
    <t>P241</t>
  </si>
  <si>
    <t>لينا</t>
  </si>
  <si>
    <t xml:space="preserve">عبدالله </t>
  </si>
  <si>
    <t>هند</t>
  </si>
  <si>
    <t>لولوة</t>
  </si>
  <si>
    <t>اسماء</t>
  </si>
  <si>
    <t>P015</t>
  </si>
  <si>
    <t>وسمية</t>
  </si>
  <si>
    <t>هالة</t>
  </si>
  <si>
    <t>P269</t>
  </si>
  <si>
    <t>دخيل</t>
  </si>
  <si>
    <t>P271</t>
  </si>
  <si>
    <t>P273</t>
  </si>
  <si>
    <t>تركي</t>
  </si>
  <si>
    <t>P275</t>
  </si>
  <si>
    <t>P277</t>
  </si>
  <si>
    <t>P274</t>
  </si>
  <si>
    <t>سامي</t>
  </si>
  <si>
    <t>P282</t>
  </si>
  <si>
    <t>رياض</t>
  </si>
  <si>
    <t>رائد</t>
  </si>
  <si>
    <t>P284</t>
  </si>
  <si>
    <t>P285</t>
  </si>
  <si>
    <t>P286</t>
  </si>
  <si>
    <t>P272</t>
  </si>
  <si>
    <t>بشار</t>
  </si>
  <si>
    <t>P302</t>
  </si>
  <si>
    <t>P301</t>
  </si>
  <si>
    <t>P304</t>
  </si>
  <si>
    <t>سليمان</t>
  </si>
  <si>
    <t>P305</t>
  </si>
  <si>
    <t>P306</t>
  </si>
  <si>
    <t>P318</t>
  </si>
  <si>
    <t>محمد (ابو حمد )</t>
  </si>
  <si>
    <t>P319</t>
  </si>
  <si>
    <t>P322</t>
  </si>
  <si>
    <t>P327</t>
  </si>
  <si>
    <t>P323</t>
  </si>
  <si>
    <t>P334</t>
  </si>
  <si>
    <t>P324</t>
  </si>
  <si>
    <t>P325</t>
  </si>
  <si>
    <t>P344</t>
  </si>
  <si>
    <t>P326</t>
  </si>
  <si>
    <t>P320</t>
  </si>
  <si>
    <t>P353</t>
  </si>
  <si>
    <t>ثامر</t>
  </si>
  <si>
    <t>P357</t>
  </si>
  <si>
    <t>P355</t>
  </si>
  <si>
    <t>P361</t>
  </si>
  <si>
    <t>P362</t>
  </si>
  <si>
    <t>P360</t>
  </si>
  <si>
    <t>P367</t>
  </si>
  <si>
    <t>جهاد</t>
  </si>
  <si>
    <t>P377</t>
  </si>
  <si>
    <t>P010</t>
  </si>
  <si>
    <t>P382</t>
  </si>
  <si>
    <t>صلاح</t>
  </si>
  <si>
    <t>تهاني</t>
  </si>
  <si>
    <t>🌳 شجرة العائلة التفاعلية - INTERACTIVE FAMILY TREE</t>
  </si>
  <si>
    <t>GEN 1</t>
  </si>
  <si>
    <t>GEN 2</t>
  </si>
  <si>
    <t>GEN 3</t>
  </si>
  <si>
    <t>GEN 4</t>
  </si>
  <si>
    <t>GEN 5</t>
  </si>
  <si>
    <t>GEN 6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</si>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</sst>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1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1F4788"/>
      <name val="Calibri"/>
      <family val="2"/>
      <scheme val="minor"/>
    </font>
    <font>
      <b/>
      <u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2"/>
      <color rgb="FF1F478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1F478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478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24"/>
      <color rgb="FF1F4788"/>
      <name val="Calibri"/>
      <family val="2"/>
      <scheme val="minor"/>
    </font>
    <font>
      <b/>
      <sz val="24"/>
      <color rgb="FF4472C4"/>
      <name val="Calibri"/>
      <family val="2"/>
      <scheme val="minor"/>
    </font>
    <font>
      <b/>
      <sz val="24"/>
      <color rgb="FFC55A11"/>
      <name val="Calibri"/>
      <family val="2"/>
      <scheme val="minor"/>
    </font>
    <font>
      <b/>
      <sz val="24"/>
      <color rgb="FF70AD47"/>
      <name val="Calibri"/>
      <family val="2"/>
      <scheme val="minor"/>
    </font>
    <font>
      <b/>
      <sz val="28"/>
      <color rgb="FF70AD47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64653"/>
        <bgColor rgb="FF264653"/>
      </patternFill>
    </fill>
    <fill>
      <patternFill patternType="solid">
        <fgColor rgb="FF1F4788"/>
        <bgColor rgb="FF1F4788"/>
      </patternFill>
    </fill>
    <fill>
      <patternFill patternType="solid">
        <fgColor rgb="FF2E75B6"/>
        <bgColor rgb="FF2E75B6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FACD"/>
        <bgColor rgb="FFFFFACD"/>
      </patternFill>
    </fill>
    <fill>
      <patternFill patternType="solid">
        <fgColor rgb="FFF0F8FF"/>
        <bgColor rgb="FFF0F8FF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E0E0E0"/>
        <bgColor rgb="FFE0E0E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6" borderId="10" xfId="0" applyFont="1" applyFill="1" applyBorder="1" applyAlignment="1">
      <alignment horizontal="center"/>
    </xf>
    <xf numFmtId="0" fontId="5" fillId="0" borderId="0" xfId="0" applyFont="1"/>
    <xf numFmtId="0" fontId="6" fillId="7" borderId="11" xfId="0" applyFont="1" applyFill="1" applyBorder="1"/>
    <xf numFmtId="0" fontId="7" fillId="0" borderId="0" xfId="0" applyFont="1"/>
    <xf numFmtId="0" fontId="8" fillId="6" borderId="12" xfId="0" applyFont="1" applyFill="1" applyBorder="1" applyAlignment="1">
      <alignment horizontal="center" vertical="center"/>
    </xf>
    <xf numFmtId="0" fontId="6" fillId="8" borderId="11" xfId="0" applyFont="1" applyFill="1" applyBorder="1"/>
    <xf numFmtId="0" fontId="9" fillId="9" borderId="1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1" fontId="12" fillId="0" borderId="0" xfId="0" applyNumberFormat="1" applyFont="1"/>
    <xf numFmtId="0" fontId="15" fillId="0" borderId="0" xfId="0" applyFont="1" applyAlignment="1">
      <alignment horizontal="right" vertical="center" wrapText="1"/>
    </xf>
    <xf numFmtId="0" fontId="16" fillId="0" borderId="0" xfId="0" applyFont="1"/>
    <xf numFmtId="0" fontId="6" fillId="12" borderId="12" xfId="0" applyFont="1" applyFill="1" applyBorder="1"/>
    <xf numFmtId="0" fontId="6" fillId="7" borderId="12" xfId="0" applyFont="1" applyFill="1" applyBorder="1"/>
    <xf numFmtId="0" fontId="5" fillId="14" borderId="10" xfId="0" applyFont="1" applyFill="1" applyBorder="1"/>
    <xf numFmtId="164" fontId="6" fillId="0" borderId="0" xfId="0" applyNumberFormat="1" applyFont="1"/>
    <xf numFmtId="0" fontId="11" fillId="3" borderId="31" xfId="0" applyFont="1" applyFill="1" applyBorder="1" applyAlignment="1">
      <alignment horizontal="center" vertical="center" wrapText="1"/>
    </xf>
    <xf numFmtId="0" fontId="1" fillId="15" borderId="0" xfId="0" applyFont="1" applyFill="1"/>
    <xf numFmtId="0" fontId="1" fillId="16" borderId="0" xfId="0" applyFont="1" applyFill="1"/>
    <xf numFmtId="0" fontId="1" fillId="0" borderId="0" xfId="0" applyFont="1" applyAlignment="1">
      <alignment horizontal="right"/>
    </xf>
    <xf numFmtId="0" fontId="1" fillId="17" borderId="0" xfId="0" applyFont="1" applyFill="1"/>
    <xf numFmtId="0" fontId="6" fillId="17" borderId="0" xfId="0" applyFont="1" applyFill="1" applyAlignment="1">
      <alignment horizontal="right"/>
    </xf>
    <xf numFmtId="0" fontId="4" fillId="9" borderId="10" xfId="0" applyFont="1" applyFill="1" applyBorder="1" applyAlignment="1">
      <alignment horizontal="center"/>
    </xf>
    <xf numFmtId="0" fontId="26" fillId="3" borderId="1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3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17" fillId="13" borderId="7" xfId="0" applyFont="1" applyFill="1" applyBorder="1"/>
    <xf numFmtId="0" fontId="18" fillId="6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3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/>
    <xf numFmtId="0" fontId="6" fillId="7" borderId="13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6" fillId="12" borderId="13" xfId="0" applyFont="1" applyFill="1" applyBorder="1"/>
    <xf numFmtId="0" fontId="11" fillId="9" borderId="7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6" borderId="7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top" wrapText="1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11" fillId="9" borderId="20" xfId="0" applyFont="1" applyFill="1" applyBorder="1" applyAlignment="1">
      <alignment horizontal="center" vertical="top" wrapText="1"/>
    </xf>
    <xf numFmtId="0" fontId="11" fillId="11" borderId="20" xfId="0" applyFont="1" applyFill="1" applyBorder="1" applyAlignment="1">
      <alignment horizontal="center" vertical="top" wrapText="1"/>
    </xf>
    <xf numFmtId="0" fontId="11" fillId="6" borderId="23" xfId="0" applyFont="1" applyFill="1" applyBorder="1" applyAlignment="1">
      <alignment horizontal="center" vertical="top" wrapText="1"/>
    </xf>
    <xf numFmtId="0" fontId="3" fillId="0" borderId="26" xfId="0" applyFont="1" applyBorder="1"/>
    <xf numFmtId="0" fontId="3" fillId="0" borderId="30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27" fillId="5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70AD47"/>
      </font>
      <fill>
        <patternFill patternType="none"/>
      </fill>
    </dxf>
    <dxf>
      <fill>
        <patternFill patternType="solid">
          <fgColor rgb="FFFCE4EC"/>
          <bgColor rgb="FFFCE4EC"/>
        </patternFill>
      </fill>
    </dxf>
    <dxf>
      <fill>
        <patternFill patternType="solid">
          <fgColor rgb="FFE3F2FD"/>
          <bgColor rgb="FFE3F2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5A11"/>
  </sheetPr>
  <dimension ref="A1:N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4" width="15" customWidth="1"/>
    <col min="5" max="5" width="8.6640625" customWidth="1"/>
    <col min="6" max="6" width="20" customWidth="1"/>
    <col min="7" max="13" width="8.6640625" customWidth="1"/>
    <col min="14" max="14" width="10" customWidth="1"/>
    <col min="15" max="26" width="8.6640625" customWidth="1"/>
  </cols>
  <sheetData>
    <row r="1" spans="1:14" x14ac:dyDescent="0.2">
      <c r="A1" s="1" t="s">
        <v>0</v>
      </c>
    </row>
    <row r="2" spans="1:14" x14ac:dyDescent="0.2">
      <c r="B2" s="26" t="s">
        <v>1</v>
      </c>
      <c r="C2" s="27"/>
      <c r="D2" s="27"/>
      <c r="E2" s="27"/>
      <c r="F2" s="27"/>
      <c r="G2" s="27"/>
      <c r="H2" s="27"/>
      <c r="I2" s="27"/>
      <c r="J2" s="28"/>
    </row>
    <row r="3" spans="1:14" x14ac:dyDescent="0.2">
      <c r="B3" s="29"/>
      <c r="C3" s="30"/>
      <c r="D3" s="30"/>
      <c r="E3" s="30"/>
      <c r="F3" s="30"/>
      <c r="G3" s="30"/>
      <c r="H3" s="30"/>
      <c r="I3" s="30"/>
      <c r="J3" s="31"/>
    </row>
    <row r="5" spans="1:14" ht="16" x14ac:dyDescent="0.2">
      <c r="B5" s="32" t="s">
        <v>2</v>
      </c>
      <c r="C5" s="33"/>
      <c r="D5" s="34"/>
      <c r="F5" s="35" t="s">
        <v>3</v>
      </c>
      <c r="G5" s="33"/>
      <c r="H5" s="34"/>
      <c r="J5" s="36" t="s">
        <v>4</v>
      </c>
      <c r="K5" s="33"/>
      <c r="L5" s="34"/>
      <c r="N5" s="2" t="s">
        <v>5</v>
      </c>
    </row>
    <row r="7" spans="1:14" x14ac:dyDescent="0.2">
      <c r="B7" s="3" t="s">
        <v>6</v>
      </c>
      <c r="C7" s="4" t="s">
        <v>7</v>
      </c>
      <c r="F7" s="5" t="s">
        <v>8</v>
      </c>
      <c r="N7" s="6" t="str">
        <f>HYPERLINK("#QUICK_ADD!A1","➕ ADD PERSON")</f>
        <v>➕ ADD PERSON</v>
      </c>
    </row>
    <row r="8" spans="1:14" x14ac:dyDescent="0.2">
      <c r="B8" s="3" t="s">
        <v>9</v>
      </c>
      <c r="C8" s="4" t="s">
        <v>7</v>
      </c>
      <c r="F8" s="7" t="s">
        <v>10</v>
      </c>
      <c r="N8" s="8" t="str">
        <f>HYPERLINK("#REGISTRY!A1","🔍 SEARCH")</f>
        <v>🔍 SEARCH</v>
      </c>
    </row>
    <row r="9" spans="1:14" x14ac:dyDescent="0.2">
      <c r="B9" s="3" t="s">
        <v>11</v>
      </c>
      <c r="C9" s="4" t="s">
        <v>12</v>
      </c>
      <c r="N9" s="9" t="str">
        <f>HYPERLINK("#DASHBOARD!A1","📊 DASHBOARD")</f>
        <v>📊 DASHBOARD</v>
      </c>
    </row>
    <row r="10" spans="1:14" x14ac:dyDescent="0.2">
      <c r="B10" s="3" t="s">
        <v>13</v>
      </c>
      <c r="C10" s="4" t="s">
        <v>14</v>
      </c>
      <c r="N10" s="6" t="str">
        <f>HYPERLINK("#TREE!A1","🌳 TREE VIEW")</f>
        <v>🌳 TREE VIEW</v>
      </c>
    </row>
    <row r="11" spans="1:14" x14ac:dyDescent="0.2">
      <c r="B11" s="3" t="s">
        <v>15</v>
      </c>
      <c r="C11" s="4" t="s">
        <v>16</v>
      </c>
      <c r="N11" s="10" t="s">
        <v>17</v>
      </c>
    </row>
    <row r="14" spans="1:14" ht="16" x14ac:dyDescent="0.2">
      <c r="B14" s="37" t="s">
        <v>18</v>
      </c>
      <c r="C14" s="33"/>
      <c r="D14" s="34"/>
    </row>
    <row r="15" spans="1:14" ht="16" x14ac:dyDescent="0.2">
      <c r="B15" s="3" t="s">
        <v>19</v>
      </c>
      <c r="C15" s="11">
        <f>COUNTA(REGISTRY!B:B)-1</f>
        <v>389</v>
      </c>
    </row>
    <row r="16" spans="1:14" ht="16" x14ac:dyDescent="0.2">
      <c r="B16" s="3" t="s">
        <v>20</v>
      </c>
      <c r="C16" s="11">
        <f>COUNTIF(REGISTRY!G:G,"Male")</f>
        <v>299</v>
      </c>
    </row>
    <row r="17" spans="2:3" ht="16" x14ac:dyDescent="0.2">
      <c r="B17" s="3" t="s">
        <v>21</v>
      </c>
      <c r="C17" s="11">
        <f>COUNTIF(REGISTRY!G:G,"Female")</f>
        <v>89</v>
      </c>
    </row>
    <row r="18" spans="2:3" ht="16" x14ac:dyDescent="0.2">
      <c r="B18" s="3" t="s">
        <v>22</v>
      </c>
      <c r="C18" s="11">
        <f>MAX(REGISTRY!K:K)</f>
        <v>10</v>
      </c>
    </row>
    <row r="19" spans="2:3" ht="16" x14ac:dyDescent="0.2">
      <c r="B19" s="3" t="s">
        <v>23</v>
      </c>
      <c r="C19" s="11" t="e">
        <f>AVERAGE(REGISTRY!AG:AG)</f>
        <v>#DIV/0!</v>
      </c>
    </row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2:J3"/>
    <mergeCell ref="B5:D5"/>
    <mergeCell ref="F5:H5"/>
    <mergeCell ref="J5:L5"/>
    <mergeCell ref="B14:D1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2:G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7.6640625" customWidth="1"/>
    <col min="3" max="26" width="8.6640625" customWidth="1"/>
  </cols>
  <sheetData>
    <row r="2" spans="2:7" x14ac:dyDescent="0.2">
      <c r="B2" s="43" t="s">
        <v>24</v>
      </c>
      <c r="C2" s="27"/>
      <c r="D2" s="27"/>
      <c r="E2" s="27"/>
      <c r="F2" s="27"/>
      <c r="G2" s="28"/>
    </row>
    <row r="3" spans="2:7" x14ac:dyDescent="0.2">
      <c r="B3" s="29"/>
      <c r="C3" s="30"/>
      <c r="D3" s="30"/>
      <c r="E3" s="30"/>
      <c r="F3" s="30"/>
      <c r="G3" s="31"/>
    </row>
    <row r="4" spans="2:7" x14ac:dyDescent="0.2">
      <c r="G4" s="1"/>
    </row>
    <row r="5" spans="2:7" x14ac:dyDescent="0.2">
      <c r="B5" s="44" t="s">
        <v>25</v>
      </c>
      <c r="C5" s="45"/>
      <c r="D5" s="45"/>
      <c r="E5" s="45"/>
      <c r="F5" s="45"/>
      <c r="G5" s="45"/>
    </row>
    <row r="6" spans="2:7" x14ac:dyDescent="0.2">
      <c r="G6" s="1"/>
    </row>
    <row r="7" spans="2:7" ht="32" x14ac:dyDescent="0.2">
      <c r="B7" s="12" t="s">
        <v>26</v>
      </c>
      <c r="C7" s="46" t="s">
        <v>27</v>
      </c>
      <c r="D7" s="47"/>
      <c r="E7" s="48"/>
      <c r="G7" s="5" t="s">
        <v>28</v>
      </c>
    </row>
    <row r="8" spans="2:7" x14ac:dyDescent="0.2">
      <c r="G8" s="13" t="s">
        <v>29</v>
      </c>
    </row>
    <row r="9" spans="2:7" ht="32" x14ac:dyDescent="0.2">
      <c r="B9" s="12" t="s">
        <v>30</v>
      </c>
      <c r="C9" s="49" t="s">
        <v>31</v>
      </c>
      <c r="D9" s="47"/>
      <c r="E9" s="48"/>
      <c r="G9" s="13" t="s">
        <v>32</v>
      </c>
    </row>
    <row r="10" spans="2:7" x14ac:dyDescent="0.2">
      <c r="G10" s="13" t="s">
        <v>33</v>
      </c>
    </row>
    <row r="11" spans="2:7" ht="32" x14ac:dyDescent="0.2">
      <c r="B11" s="12" t="s">
        <v>34</v>
      </c>
      <c r="C11" s="14" t="s">
        <v>35</v>
      </c>
      <c r="G11" s="13" t="s">
        <v>36</v>
      </c>
    </row>
    <row r="12" spans="2:7" ht="32" x14ac:dyDescent="0.2">
      <c r="B12" s="12" t="s">
        <v>37</v>
      </c>
      <c r="C12" s="15">
        <f>2025-25</f>
        <v>2000</v>
      </c>
      <c r="G12" s="13" t="s">
        <v>38</v>
      </c>
    </row>
    <row r="13" spans="2:7" x14ac:dyDescent="0.2">
      <c r="G13" s="1"/>
    </row>
    <row r="14" spans="2:7" x14ac:dyDescent="0.2">
      <c r="B14" s="50" t="s">
        <v>39</v>
      </c>
      <c r="C14" s="33"/>
      <c r="D14" s="33"/>
      <c r="E14" s="34"/>
      <c r="G14" s="1"/>
    </row>
    <row r="15" spans="2:7" x14ac:dyDescent="0.2">
      <c r="B15" s="3" t="s">
        <v>40</v>
      </c>
      <c r="C15" s="38" t="s">
        <v>31</v>
      </c>
      <c r="D15" s="33"/>
      <c r="E15" s="34"/>
      <c r="G15" s="1"/>
    </row>
    <row r="16" spans="2:7" x14ac:dyDescent="0.2">
      <c r="B16" s="3" t="s">
        <v>41</v>
      </c>
      <c r="C16" s="38" t="e">
        <f>IF(C9&lt;&gt;"",VLOOKUP(C9,REGISTRY!A:C,3,FALSE),"")</f>
        <v>#N/A</v>
      </c>
      <c r="D16" s="33"/>
      <c r="E16" s="34"/>
      <c r="G16" s="1"/>
    </row>
    <row r="17" spans="2:7" x14ac:dyDescent="0.2">
      <c r="B17" s="3" t="s">
        <v>42</v>
      </c>
      <c r="C17" s="38" t="e">
        <f>IF(C9&lt;&gt;"",VLOOKUP(C9,REGISTRY!A:E,5,FALSE),"")</f>
        <v>#N/A</v>
      </c>
      <c r="D17" s="33"/>
      <c r="E17" s="34"/>
      <c r="G17" s="1"/>
    </row>
    <row r="18" spans="2:7" x14ac:dyDescent="0.2">
      <c r="B18" s="3" t="s">
        <v>43</v>
      </c>
      <c r="C18" s="38" t="e">
        <f>IF(C9&lt;&gt;"",VLOOKUP(C9,REGISTRY!A:K,11,FALSE)+1,1)</f>
        <v>#N/A</v>
      </c>
      <c r="D18" s="33"/>
      <c r="E18" s="34"/>
      <c r="G18" s="1"/>
    </row>
    <row r="19" spans="2:7" x14ac:dyDescent="0.2">
      <c r="B19" s="3" t="s">
        <v>44</v>
      </c>
      <c r="C19" s="38" t="str">
        <f>"P"&amp;TEXT(COUNTA(REGISTRY!B:B),"000")</f>
        <v>P390</v>
      </c>
      <c r="D19" s="33"/>
      <c r="E19" s="34"/>
      <c r="G19" s="1"/>
    </row>
    <row r="20" spans="2:7" x14ac:dyDescent="0.2">
      <c r="G20" s="1"/>
    </row>
    <row r="21" spans="2:7" ht="15.75" customHeight="1" x14ac:dyDescent="0.2">
      <c r="C21" s="39" t="s">
        <v>45</v>
      </c>
      <c r="D21" s="40"/>
      <c r="G21" s="1"/>
    </row>
    <row r="22" spans="2:7" ht="15.75" customHeight="1" x14ac:dyDescent="0.2">
      <c r="C22" s="41"/>
      <c r="D22" s="42"/>
      <c r="G22" s="1"/>
    </row>
    <row r="23" spans="2:7" ht="15.75" customHeight="1" x14ac:dyDescent="0.2">
      <c r="G23" s="1"/>
    </row>
    <row r="24" spans="2:7" ht="15.75" customHeight="1" x14ac:dyDescent="0.2">
      <c r="G24" s="1"/>
    </row>
    <row r="25" spans="2:7" ht="15.75" customHeight="1" x14ac:dyDescent="0.2">
      <c r="G25" s="1"/>
    </row>
    <row r="26" spans="2:7" ht="15.75" customHeight="1" x14ac:dyDescent="0.2">
      <c r="G26" s="1"/>
    </row>
    <row r="27" spans="2:7" ht="15.75" customHeight="1" x14ac:dyDescent="0.2">
      <c r="G27" s="1"/>
    </row>
    <row r="28" spans="2:7" ht="15.75" customHeight="1" x14ac:dyDescent="0.2">
      <c r="G28" s="1"/>
    </row>
    <row r="29" spans="2:7" ht="15.75" customHeight="1" x14ac:dyDescent="0.2">
      <c r="G29" s="1"/>
    </row>
    <row r="30" spans="2:7" ht="15.75" customHeight="1" x14ac:dyDescent="0.2">
      <c r="G30" s="1"/>
    </row>
    <row r="31" spans="2:7" ht="15.75" customHeight="1" x14ac:dyDescent="0.2">
      <c r="G31" s="1"/>
    </row>
    <row r="32" spans="2:7" ht="15.75" customHeight="1" x14ac:dyDescent="0.2">
      <c r="G32" s="1"/>
    </row>
    <row r="33" spans="7:7" ht="15.75" customHeight="1" x14ac:dyDescent="0.2">
      <c r="G33" s="1"/>
    </row>
    <row r="34" spans="7:7" ht="15.75" customHeight="1" x14ac:dyDescent="0.2">
      <c r="G34" s="1"/>
    </row>
    <row r="35" spans="7:7" ht="15.75" customHeight="1" x14ac:dyDescent="0.2">
      <c r="G35" s="1"/>
    </row>
    <row r="36" spans="7:7" ht="15.75" customHeight="1" x14ac:dyDescent="0.2">
      <c r="G36" s="1"/>
    </row>
    <row r="37" spans="7:7" ht="15.75" customHeight="1" x14ac:dyDescent="0.2">
      <c r="G37" s="1"/>
    </row>
    <row r="38" spans="7:7" ht="15.75" customHeight="1" x14ac:dyDescent="0.2">
      <c r="G38" s="1"/>
    </row>
    <row r="39" spans="7:7" ht="15.75" customHeight="1" x14ac:dyDescent="0.2">
      <c r="G39" s="1"/>
    </row>
    <row r="40" spans="7:7" ht="15.75" customHeight="1" x14ac:dyDescent="0.2">
      <c r="G40" s="1"/>
    </row>
    <row r="41" spans="7:7" ht="15.75" customHeight="1" x14ac:dyDescent="0.2">
      <c r="G41" s="1"/>
    </row>
    <row r="42" spans="7:7" ht="15.75" customHeight="1" x14ac:dyDescent="0.2">
      <c r="G42" s="1"/>
    </row>
    <row r="43" spans="7:7" ht="15.75" customHeight="1" x14ac:dyDescent="0.2">
      <c r="G43" s="1"/>
    </row>
    <row r="44" spans="7:7" ht="15.75" customHeight="1" x14ac:dyDescent="0.2">
      <c r="G44" s="1"/>
    </row>
    <row r="45" spans="7:7" ht="15.75" customHeight="1" x14ac:dyDescent="0.2">
      <c r="G45" s="1"/>
    </row>
    <row r="46" spans="7:7" ht="15.75" customHeight="1" x14ac:dyDescent="0.2">
      <c r="G46" s="1"/>
    </row>
    <row r="47" spans="7:7" ht="15.75" customHeight="1" x14ac:dyDescent="0.2">
      <c r="G47" s="1"/>
    </row>
    <row r="48" spans="7:7" ht="15.75" customHeight="1" x14ac:dyDescent="0.2">
      <c r="G48" s="1"/>
    </row>
    <row r="49" spans="7:7" ht="15.75" customHeight="1" x14ac:dyDescent="0.2">
      <c r="G49" s="1"/>
    </row>
    <row r="50" spans="7:7" ht="15.75" customHeight="1" x14ac:dyDescent="0.2">
      <c r="G50" s="1"/>
    </row>
    <row r="51" spans="7:7" ht="15.75" customHeight="1" x14ac:dyDescent="0.2">
      <c r="G51" s="1"/>
    </row>
    <row r="52" spans="7:7" ht="15.75" customHeight="1" x14ac:dyDescent="0.2">
      <c r="G52" s="1"/>
    </row>
    <row r="53" spans="7:7" ht="15.75" customHeight="1" x14ac:dyDescent="0.2">
      <c r="G53" s="1"/>
    </row>
    <row r="54" spans="7:7" ht="15.75" customHeight="1" x14ac:dyDescent="0.2">
      <c r="G54" s="1"/>
    </row>
    <row r="55" spans="7:7" ht="15.75" customHeight="1" x14ac:dyDescent="0.2">
      <c r="G55" s="1"/>
    </row>
    <row r="56" spans="7:7" ht="15.75" customHeight="1" x14ac:dyDescent="0.2">
      <c r="G56" s="1"/>
    </row>
    <row r="57" spans="7:7" ht="15.75" customHeight="1" x14ac:dyDescent="0.2">
      <c r="G57" s="1"/>
    </row>
    <row r="58" spans="7:7" ht="15.75" customHeight="1" x14ac:dyDescent="0.2">
      <c r="G58" s="1"/>
    </row>
    <row r="59" spans="7:7" ht="15.75" customHeight="1" x14ac:dyDescent="0.2">
      <c r="G59" s="1"/>
    </row>
    <row r="60" spans="7:7" ht="15.75" customHeight="1" x14ac:dyDescent="0.2">
      <c r="G60" s="1"/>
    </row>
    <row r="61" spans="7:7" ht="15.75" customHeight="1" x14ac:dyDescent="0.2">
      <c r="G61" s="1"/>
    </row>
    <row r="62" spans="7:7" ht="15.75" customHeight="1" x14ac:dyDescent="0.2">
      <c r="G62" s="1"/>
    </row>
    <row r="63" spans="7:7" ht="15.75" customHeight="1" x14ac:dyDescent="0.2">
      <c r="G63" s="1"/>
    </row>
    <row r="64" spans="7:7" ht="15.75" customHeight="1" x14ac:dyDescent="0.2">
      <c r="G64" s="1"/>
    </row>
    <row r="65" spans="7:7" ht="15.75" customHeight="1" x14ac:dyDescent="0.2">
      <c r="G65" s="1"/>
    </row>
    <row r="66" spans="7:7" ht="15.75" customHeight="1" x14ac:dyDescent="0.2">
      <c r="G66" s="1"/>
    </row>
    <row r="67" spans="7:7" ht="15.75" customHeight="1" x14ac:dyDescent="0.2">
      <c r="G67" s="1"/>
    </row>
    <row r="68" spans="7:7" ht="15.75" customHeight="1" x14ac:dyDescent="0.2">
      <c r="G68" s="1"/>
    </row>
    <row r="69" spans="7:7" ht="15.75" customHeight="1" x14ac:dyDescent="0.2">
      <c r="G69" s="1"/>
    </row>
    <row r="70" spans="7:7" ht="15.75" customHeight="1" x14ac:dyDescent="0.2">
      <c r="G70" s="1"/>
    </row>
    <row r="71" spans="7:7" ht="15.75" customHeight="1" x14ac:dyDescent="0.2">
      <c r="G71" s="1"/>
    </row>
    <row r="72" spans="7:7" ht="15.75" customHeight="1" x14ac:dyDescent="0.2">
      <c r="G72" s="1"/>
    </row>
    <row r="73" spans="7:7" ht="15.75" customHeight="1" x14ac:dyDescent="0.2">
      <c r="G73" s="1"/>
    </row>
    <row r="74" spans="7:7" ht="15.75" customHeight="1" x14ac:dyDescent="0.2">
      <c r="G74" s="1"/>
    </row>
    <row r="75" spans="7:7" ht="15.75" customHeight="1" x14ac:dyDescent="0.2">
      <c r="G75" s="1"/>
    </row>
    <row r="76" spans="7:7" ht="15.75" customHeight="1" x14ac:dyDescent="0.2">
      <c r="G76" s="1"/>
    </row>
    <row r="77" spans="7:7" ht="15.75" customHeight="1" x14ac:dyDescent="0.2">
      <c r="G77" s="1"/>
    </row>
    <row r="78" spans="7:7" ht="15.75" customHeight="1" x14ac:dyDescent="0.2">
      <c r="G78" s="1"/>
    </row>
    <row r="79" spans="7:7" ht="15.75" customHeight="1" x14ac:dyDescent="0.2">
      <c r="G79" s="1"/>
    </row>
    <row r="80" spans="7:7" ht="15.75" customHeight="1" x14ac:dyDescent="0.2">
      <c r="G80" s="1"/>
    </row>
    <row r="81" spans="7:7" ht="15.75" customHeight="1" x14ac:dyDescent="0.2">
      <c r="G81" s="1"/>
    </row>
    <row r="82" spans="7:7" ht="15.75" customHeight="1" x14ac:dyDescent="0.2">
      <c r="G82" s="1"/>
    </row>
    <row r="83" spans="7:7" ht="15.75" customHeight="1" x14ac:dyDescent="0.2">
      <c r="G83" s="1"/>
    </row>
    <row r="84" spans="7:7" ht="15.75" customHeight="1" x14ac:dyDescent="0.2">
      <c r="G84" s="1"/>
    </row>
    <row r="85" spans="7:7" ht="15.75" customHeight="1" x14ac:dyDescent="0.2">
      <c r="G85" s="1"/>
    </row>
    <row r="86" spans="7:7" ht="15.75" customHeight="1" x14ac:dyDescent="0.2">
      <c r="G86" s="1"/>
    </row>
    <row r="87" spans="7:7" ht="15.75" customHeight="1" x14ac:dyDescent="0.2">
      <c r="G87" s="1"/>
    </row>
    <row r="88" spans="7:7" ht="15.75" customHeight="1" x14ac:dyDescent="0.2">
      <c r="G88" s="1"/>
    </row>
    <row r="89" spans="7:7" ht="15.75" customHeight="1" x14ac:dyDescent="0.2">
      <c r="G89" s="1"/>
    </row>
    <row r="90" spans="7:7" ht="15.75" customHeight="1" x14ac:dyDescent="0.2">
      <c r="G90" s="1"/>
    </row>
    <row r="91" spans="7:7" ht="15.75" customHeight="1" x14ac:dyDescent="0.2">
      <c r="G91" s="1"/>
    </row>
    <row r="92" spans="7:7" ht="15.75" customHeight="1" x14ac:dyDescent="0.2">
      <c r="G92" s="1"/>
    </row>
    <row r="93" spans="7:7" ht="15.75" customHeight="1" x14ac:dyDescent="0.2">
      <c r="G93" s="1"/>
    </row>
    <row r="94" spans="7:7" ht="15.75" customHeight="1" x14ac:dyDescent="0.2">
      <c r="G94" s="1"/>
    </row>
    <row r="95" spans="7:7" ht="15.75" customHeight="1" x14ac:dyDescent="0.2">
      <c r="G95" s="1"/>
    </row>
    <row r="96" spans="7:7" ht="15.75" customHeight="1" x14ac:dyDescent="0.2">
      <c r="G96" s="1"/>
    </row>
    <row r="97" spans="7:7" ht="15.75" customHeight="1" x14ac:dyDescent="0.2">
      <c r="G97" s="1"/>
    </row>
    <row r="98" spans="7:7" ht="15.75" customHeight="1" x14ac:dyDescent="0.2">
      <c r="G98" s="1"/>
    </row>
    <row r="99" spans="7:7" ht="15.75" customHeight="1" x14ac:dyDescent="0.2">
      <c r="G99" s="1"/>
    </row>
    <row r="100" spans="7:7" ht="15.75" customHeight="1" x14ac:dyDescent="0.2">
      <c r="G100" s="1"/>
    </row>
    <row r="101" spans="7:7" ht="15.75" customHeight="1" x14ac:dyDescent="0.2">
      <c r="G101" s="1"/>
    </row>
    <row r="102" spans="7:7" ht="15.75" customHeight="1" x14ac:dyDescent="0.2">
      <c r="G102" s="1"/>
    </row>
    <row r="103" spans="7:7" ht="15.75" customHeight="1" x14ac:dyDescent="0.2">
      <c r="G103" s="1"/>
    </row>
    <row r="104" spans="7:7" ht="15.75" customHeight="1" x14ac:dyDescent="0.2">
      <c r="G104" s="1"/>
    </row>
    <row r="105" spans="7:7" ht="15.75" customHeight="1" x14ac:dyDescent="0.2">
      <c r="G105" s="1"/>
    </row>
    <row r="106" spans="7:7" ht="15.75" customHeight="1" x14ac:dyDescent="0.2">
      <c r="G106" s="1"/>
    </row>
    <row r="107" spans="7:7" ht="15.75" customHeight="1" x14ac:dyDescent="0.2">
      <c r="G107" s="1"/>
    </row>
    <row r="108" spans="7:7" ht="15.75" customHeight="1" x14ac:dyDescent="0.2">
      <c r="G108" s="1"/>
    </row>
    <row r="109" spans="7:7" ht="15.75" customHeight="1" x14ac:dyDescent="0.2">
      <c r="G109" s="1"/>
    </row>
    <row r="110" spans="7:7" ht="15.75" customHeight="1" x14ac:dyDescent="0.2">
      <c r="G110" s="1"/>
    </row>
    <row r="111" spans="7:7" ht="15.75" customHeight="1" x14ac:dyDescent="0.2">
      <c r="G111" s="1"/>
    </row>
    <row r="112" spans="7:7" ht="15.75" customHeight="1" x14ac:dyDescent="0.2">
      <c r="G112" s="1"/>
    </row>
    <row r="113" spans="7:7" ht="15.75" customHeight="1" x14ac:dyDescent="0.2">
      <c r="G113" s="1"/>
    </row>
    <row r="114" spans="7:7" ht="15.75" customHeight="1" x14ac:dyDescent="0.2">
      <c r="G114" s="1"/>
    </row>
    <row r="115" spans="7:7" ht="15.75" customHeight="1" x14ac:dyDescent="0.2">
      <c r="G115" s="1"/>
    </row>
    <row r="116" spans="7:7" ht="15.75" customHeight="1" x14ac:dyDescent="0.2">
      <c r="G116" s="1"/>
    </row>
    <row r="117" spans="7:7" ht="15.75" customHeight="1" x14ac:dyDescent="0.2">
      <c r="G117" s="1"/>
    </row>
    <row r="118" spans="7:7" ht="15.75" customHeight="1" x14ac:dyDescent="0.2">
      <c r="G118" s="1"/>
    </row>
    <row r="119" spans="7:7" ht="15.75" customHeight="1" x14ac:dyDescent="0.2">
      <c r="G119" s="1"/>
    </row>
    <row r="120" spans="7:7" ht="15.75" customHeight="1" x14ac:dyDescent="0.2">
      <c r="G120" s="1"/>
    </row>
    <row r="121" spans="7:7" ht="15.75" customHeight="1" x14ac:dyDescent="0.2">
      <c r="G121" s="1"/>
    </row>
    <row r="122" spans="7:7" ht="15.75" customHeight="1" x14ac:dyDescent="0.2">
      <c r="G122" s="1"/>
    </row>
    <row r="123" spans="7:7" ht="15.75" customHeight="1" x14ac:dyDescent="0.2">
      <c r="G123" s="1"/>
    </row>
    <row r="124" spans="7:7" ht="15.75" customHeight="1" x14ac:dyDescent="0.2">
      <c r="G124" s="1"/>
    </row>
    <row r="125" spans="7:7" ht="15.75" customHeight="1" x14ac:dyDescent="0.2">
      <c r="G125" s="1"/>
    </row>
    <row r="126" spans="7:7" ht="15.75" customHeight="1" x14ac:dyDescent="0.2">
      <c r="G126" s="1"/>
    </row>
    <row r="127" spans="7:7" ht="15.75" customHeight="1" x14ac:dyDescent="0.2">
      <c r="G127" s="1"/>
    </row>
    <row r="128" spans="7:7" ht="15.75" customHeight="1" x14ac:dyDescent="0.2">
      <c r="G128" s="1"/>
    </row>
    <row r="129" spans="7:7" ht="15.75" customHeight="1" x14ac:dyDescent="0.2">
      <c r="G129" s="1"/>
    </row>
    <row r="130" spans="7:7" ht="15.75" customHeight="1" x14ac:dyDescent="0.2">
      <c r="G130" s="1"/>
    </row>
    <row r="131" spans="7:7" ht="15.75" customHeight="1" x14ac:dyDescent="0.2">
      <c r="G131" s="1"/>
    </row>
    <row r="132" spans="7:7" ht="15.75" customHeight="1" x14ac:dyDescent="0.2">
      <c r="G132" s="1"/>
    </row>
    <row r="133" spans="7:7" ht="15.75" customHeight="1" x14ac:dyDescent="0.2">
      <c r="G133" s="1"/>
    </row>
    <row r="134" spans="7:7" ht="15.75" customHeight="1" x14ac:dyDescent="0.2">
      <c r="G134" s="1"/>
    </row>
    <row r="135" spans="7:7" ht="15.75" customHeight="1" x14ac:dyDescent="0.2">
      <c r="G135" s="1"/>
    </row>
    <row r="136" spans="7:7" ht="15.75" customHeight="1" x14ac:dyDescent="0.2">
      <c r="G136" s="1"/>
    </row>
    <row r="137" spans="7:7" ht="15.75" customHeight="1" x14ac:dyDescent="0.2">
      <c r="G137" s="1"/>
    </row>
    <row r="138" spans="7:7" ht="15.75" customHeight="1" x14ac:dyDescent="0.2">
      <c r="G138" s="1"/>
    </row>
    <row r="139" spans="7:7" ht="15.75" customHeight="1" x14ac:dyDescent="0.2">
      <c r="G139" s="1"/>
    </row>
    <row r="140" spans="7:7" ht="15.75" customHeight="1" x14ac:dyDescent="0.2">
      <c r="G140" s="1"/>
    </row>
    <row r="141" spans="7:7" ht="15.75" customHeight="1" x14ac:dyDescent="0.2">
      <c r="G141" s="1"/>
    </row>
    <row r="142" spans="7:7" ht="15.75" customHeight="1" x14ac:dyDescent="0.2">
      <c r="G142" s="1"/>
    </row>
    <row r="143" spans="7:7" ht="15.75" customHeight="1" x14ac:dyDescent="0.2">
      <c r="G143" s="1"/>
    </row>
    <row r="144" spans="7:7" ht="15.75" customHeight="1" x14ac:dyDescent="0.2">
      <c r="G144" s="1"/>
    </row>
    <row r="145" spans="7:7" ht="15.75" customHeight="1" x14ac:dyDescent="0.2">
      <c r="G145" s="1"/>
    </row>
    <row r="146" spans="7:7" ht="15.75" customHeight="1" x14ac:dyDescent="0.2">
      <c r="G146" s="1"/>
    </row>
    <row r="147" spans="7:7" ht="15.75" customHeight="1" x14ac:dyDescent="0.2">
      <c r="G147" s="1"/>
    </row>
    <row r="148" spans="7:7" ht="15.75" customHeight="1" x14ac:dyDescent="0.2">
      <c r="G148" s="1"/>
    </row>
    <row r="149" spans="7:7" ht="15.75" customHeight="1" x14ac:dyDescent="0.2">
      <c r="G149" s="1"/>
    </row>
    <row r="150" spans="7:7" ht="15.75" customHeight="1" x14ac:dyDescent="0.2">
      <c r="G150" s="1"/>
    </row>
    <row r="151" spans="7:7" ht="15.75" customHeight="1" x14ac:dyDescent="0.2">
      <c r="G151" s="1"/>
    </row>
    <row r="152" spans="7:7" ht="15.75" customHeight="1" x14ac:dyDescent="0.2">
      <c r="G152" s="1"/>
    </row>
    <row r="153" spans="7:7" ht="15.75" customHeight="1" x14ac:dyDescent="0.2">
      <c r="G153" s="1"/>
    </row>
    <row r="154" spans="7:7" ht="15.75" customHeight="1" x14ac:dyDescent="0.2">
      <c r="G154" s="1"/>
    </row>
    <row r="155" spans="7:7" ht="15.75" customHeight="1" x14ac:dyDescent="0.2">
      <c r="G155" s="1"/>
    </row>
    <row r="156" spans="7:7" ht="15.75" customHeight="1" x14ac:dyDescent="0.2">
      <c r="G156" s="1"/>
    </row>
    <row r="157" spans="7:7" ht="15.75" customHeight="1" x14ac:dyDescent="0.2">
      <c r="G157" s="1"/>
    </row>
    <row r="158" spans="7:7" ht="15.75" customHeight="1" x14ac:dyDescent="0.2">
      <c r="G158" s="1"/>
    </row>
    <row r="159" spans="7:7" ht="15.75" customHeight="1" x14ac:dyDescent="0.2">
      <c r="G159" s="1"/>
    </row>
    <row r="160" spans="7:7" ht="15.75" customHeight="1" x14ac:dyDescent="0.2">
      <c r="G160" s="1"/>
    </row>
    <row r="161" spans="7:7" ht="15.75" customHeight="1" x14ac:dyDescent="0.2">
      <c r="G161" s="1"/>
    </row>
    <row r="162" spans="7:7" ht="15.75" customHeight="1" x14ac:dyDescent="0.2">
      <c r="G162" s="1"/>
    </row>
    <row r="163" spans="7:7" ht="15.75" customHeight="1" x14ac:dyDescent="0.2">
      <c r="G163" s="1"/>
    </row>
    <row r="164" spans="7:7" ht="15.75" customHeight="1" x14ac:dyDescent="0.2">
      <c r="G164" s="1"/>
    </row>
    <row r="165" spans="7:7" ht="15.75" customHeight="1" x14ac:dyDescent="0.2">
      <c r="G165" s="1"/>
    </row>
    <row r="166" spans="7:7" ht="15.75" customHeight="1" x14ac:dyDescent="0.2">
      <c r="G166" s="1"/>
    </row>
    <row r="167" spans="7:7" ht="15.75" customHeight="1" x14ac:dyDescent="0.2">
      <c r="G167" s="1"/>
    </row>
    <row r="168" spans="7:7" ht="15.75" customHeight="1" x14ac:dyDescent="0.2">
      <c r="G168" s="1"/>
    </row>
    <row r="169" spans="7:7" ht="15.75" customHeight="1" x14ac:dyDescent="0.2">
      <c r="G169" s="1"/>
    </row>
    <row r="170" spans="7:7" ht="15.75" customHeight="1" x14ac:dyDescent="0.2">
      <c r="G170" s="1"/>
    </row>
    <row r="171" spans="7:7" ht="15.75" customHeight="1" x14ac:dyDescent="0.2">
      <c r="G171" s="1"/>
    </row>
    <row r="172" spans="7:7" ht="15.75" customHeight="1" x14ac:dyDescent="0.2">
      <c r="G172" s="1"/>
    </row>
    <row r="173" spans="7:7" ht="15.75" customHeight="1" x14ac:dyDescent="0.2">
      <c r="G173" s="1"/>
    </row>
    <row r="174" spans="7:7" ht="15.75" customHeight="1" x14ac:dyDescent="0.2">
      <c r="G174" s="1"/>
    </row>
    <row r="175" spans="7:7" ht="15.75" customHeight="1" x14ac:dyDescent="0.2">
      <c r="G175" s="1"/>
    </row>
    <row r="176" spans="7:7" ht="15.75" customHeight="1" x14ac:dyDescent="0.2">
      <c r="G176" s="1"/>
    </row>
    <row r="177" spans="7:7" ht="15.75" customHeight="1" x14ac:dyDescent="0.2">
      <c r="G177" s="1"/>
    </row>
    <row r="178" spans="7:7" ht="15.75" customHeight="1" x14ac:dyDescent="0.2">
      <c r="G178" s="1"/>
    </row>
    <row r="179" spans="7:7" ht="15.75" customHeight="1" x14ac:dyDescent="0.2">
      <c r="G179" s="1"/>
    </row>
    <row r="180" spans="7:7" ht="15.75" customHeight="1" x14ac:dyDescent="0.2">
      <c r="G180" s="1"/>
    </row>
    <row r="181" spans="7:7" ht="15.75" customHeight="1" x14ac:dyDescent="0.2">
      <c r="G181" s="1"/>
    </row>
    <row r="182" spans="7:7" ht="15.75" customHeight="1" x14ac:dyDescent="0.2">
      <c r="G182" s="1"/>
    </row>
    <row r="183" spans="7:7" ht="15.75" customHeight="1" x14ac:dyDescent="0.2">
      <c r="G183" s="1"/>
    </row>
    <row r="184" spans="7:7" ht="15.75" customHeight="1" x14ac:dyDescent="0.2">
      <c r="G184" s="1"/>
    </row>
    <row r="185" spans="7:7" ht="15.75" customHeight="1" x14ac:dyDescent="0.2">
      <c r="G185" s="1"/>
    </row>
    <row r="186" spans="7:7" ht="15.75" customHeight="1" x14ac:dyDescent="0.2">
      <c r="G186" s="1"/>
    </row>
    <row r="187" spans="7:7" ht="15.75" customHeight="1" x14ac:dyDescent="0.2">
      <c r="G187" s="1"/>
    </row>
    <row r="188" spans="7:7" ht="15.75" customHeight="1" x14ac:dyDescent="0.2">
      <c r="G188" s="1"/>
    </row>
    <row r="189" spans="7:7" ht="15.75" customHeight="1" x14ac:dyDescent="0.2">
      <c r="G189" s="1"/>
    </row>
    <row r="190" spans="7:7" ht="15.75" customHeight="1" x14ac:dyDescent="0.2">
      <c r="G190" s="1"/>
    </row>
    <row r="191" spans="7:7" ht="15.75" customHeight="1" x14ac:dyDescent="0.2">
      <c r="G191" s="1"/>
    </row>
    <row r="192" spans="7:7" ht="15.75" customHeight="1" x14ac:dyDescent="0.2">
      <c r="G192" s="1"/>
    </row>
    <row r="193" spans="7:7" ht="15.75" customHeight="1" x14ac:dyDescent="0.2">
      <c r="G193" s="1"/>
    </row>
    <row r="194" spans="7:7" ht="15.75" customHeight="1" x14ac:dyDescent="0.2">
      <c r="G194" s="1"/>
    </row>
    <row r="195" spans="7:7" ht="15.75" customHeight="1" x14ac:dyDescent="0.2">
      <c r="G195" s="1"/>
    </row>
    <row r="196" spans="7:7" ht="15.75" customHeight="1" x14ac:dyDescent="0.2">
      <c r="G196" s="1"/>
    </row>
    <row r="197" spans="7:7" ht="15.75" customHeight="1" x14ac:dyDescent="0.2">
      <c r="G197" s="1"/>
    </row>
    <row r="198" spans="7:7" ht="15.75" customHeight="1" x14ac:dyDescent="0.2">
      <c r="G198" s="1"/>
    </row>
    <row r="199" spans="7:7" ht="15.75" customHeight="1" x14ac:dyDescent="0.2">
      <c r="G199" s="1"/>
    </row>
    <row r="200" spans="7:7" ht="15.75" customHeight="1" x14ac:dyDescent="0.2">
      <c r="G200" s="1"/>
    </row>
    <row r="201" spans="7:7" ht="15.75" customHeight="1" x14ac:dyDescent="0.2">
      <c r="G201" s="1"/>
    </row>
    <row r="202" spans="7:7" ht="15.75" customHeight="1" x14ac:dyDescent="0.2">
      <c r="G202" s="1"/>
    </row>
    <row r="203" spans="7:7" ht="15.75" customHeight="1" x14ac:dyDescent="0.2">
      <c r="G203" s="1"/>
    </row>
    <row r="204" spans="7:7" ht="15.75" customHeight="1" x14ac:dyDescent="0.2">
      <c r="G204" s="1"/>
    </row>
    <row r="205" spans="7:7" ht="15.75" customHeight="1" x14ac:dyDescent="0.2">
      <c r="G205" s="1"/>
    </row>
    <row r="206" spans="7:7" ht="15.75" customHeight="1" x14ac:dyDescent="0.2">
      <c r="G206" s="1"/>
    </row>
    <row r="207" spans="7:7" ht="15.75" customHeight="1" x14ac:dyDescent="0.2">
      <c r="G207" s="1"/>
    </row>
    <row r="208" spans="7:7" ht="15.75" customHeight="1" x14ac:dyDescent="0.2">
      <c r="G208" s="1"/>
    </row>
    <row r="209" spans="7:7" ht="15.75" customHeight="1" x14ac:dyDescent="0.2">
      <c r="G209" s="1"/>
    </row>
    <row r="210" spans="7:7" ht="15.75" customHeight="1" x14ac:dyDescent="0.2">
      <c r="G210" s="1"/>
    </row>
    <row r="211" spans="7:7" ht="15.75" customHeight="1" x14ac:dyDescent="0.2">
      <c r="G211" s="1"/>
    </row>
    <row r="212" spans="7:7" ht="15.75" customHeight="1" x14ac:dyDescent="0.2">
      <c r="G212" s="1"/>
    </row>
    <row r="213" spans="7:7" ht="15.75" customHeight="1" x14ac:dyDescent="0.2">
      <c r="G213" s="1"/>
    </row>
    <row r="214" spans="7:7" ht="15.75" customHeight="1" x14ac:dyDescent="0.2">
      <c r="G214" s="1"/>
    </row>
    <row r="215" spans="7:7" ht="15.75" customHeight="1" x14ac:dyDescent="0.2">
      <c r="G215" s="1"/>
    </row>
    <row r="216" spans="7:7" ht="15.75" customHeight="1" x14ac:dyDescent="0.2">
      <c r="G216" s="1"/>
    </row>
    <row r="217" spans="7:7" ht="15.75" customHeight="1" x14ac:dyDescent="0.2">
      <c r="G217" s="1"/>
    </row>
    <row r="218" spans="7:7" ht="15.75" customHeight="1" x14ac:dyDescent="0.2">
      <c r="G218" s="1"/>
    </row>
    <row r="219" spans="7:7" ht="15.75" customHeight="1" x14ac:dyDescent="0.2">
      <c r="G219" s="1"/>
    </row>
    <row r="220" spans="7:7" ht="15.75" customHeight="1" x14ac:dyDescent="0.2">
      <c r="G220" s="1"/>
    </row>
    <row r="221" spans="7:7" ht="15.75" customHeight="1" x14ac:dyDescent="0.2">
      <c r="G221" s="1"/>
    </row>
    <row r="222" spans="7:7" ht="15.75" customHeight="1" x14ac:dyDescent="0.2">
      <c r="G222" s="1"/>
    </row>
    <row r="223" spans="7:7" ht="15.75" customHeight="1" x14ac:dyDescent="0.2">
      <c r="G223" s="1"/>
    </row>
    <row r="224" spans="7:7" ht="15.75" customHeight="1" x14ac:dyDescent="0.2">
      <c r="G224" s="1"/>
    </row>
    <row r="225" spans="7:7" ht="15.75" customHeight="1" x14ac:dyDescent="0.2">
      <c r="G225" s="1"/>
    </row>
    <row r="226" spans="7:7" ht="15.75" customHeight="1" x14ac:dyDescent="0.2">
      <c r="G226" s="1"/>
    </row>
    <row r="227" spans="7:7" ht="15.75" customHeight="1" x14ac:dyDescent="0.2">
      <c r="G227" s="1"/>
    </row>
    <row r="228" spans="7:7" ht="15.75" customHeight="1" x14ac:dyDescent="0.2">
      <c r="G228" s="1"/>
    </row>
    <row r="229" spans="7:7" ht="15.75" customHeight="1" x14ac:dyDescent="0.2">
      <c r="G229" s="1"/>
    </row>
    <row r="230" spans="7:7" ht="15.75" customHeight="1" x14ac:dyDescent="0.2">
      <c r="G230" s="1"/>
    </row>
    <row r="231" spans="7:7" ht="15.75" customHeight="1" x14ac:dyDescent="0.2">
      <c r="G231" s="1"/>
    </row>
    <row r="232" spans="7:7" ht="15.75" customHeight="1" x14ac:dyDescent="0.2">
      <c r="G232" s="1"/>
    </row>
    <row r="233" spans="7:7" ht="15.75" customHeight="1" x14ac:dyDescent="0.2">
      <c r="G233" s="1"/>
    </row>
    <row r="234" spans="7:7" ht="15.75" customHeight="1" x14ac:dyDescent="0.2">
      <c r="G234" s="1"/>
    </row>
    <row r="235" spans="7:7" ht="15.75" customHeight="1" x14ac:dyDescent="0.2">
      <c r="G235" s="1"/>
    </row>
    <row r="236" spans="7:7" ht="15.75" customHeight="1" x14ac:dyDescent="0.2">
      <c r="G236" s="1"/>
    </row>
    <row r="237" spans="7:7" ht="15.75" customHeight="1" x14ac:dyDescent="0.2">
      <c r="G237" s="1"/>
    </row>
    <row r="238" spans="7:7" ht="15.75" customHeight="1" x14ac:dyDescent="0.2">
      <c r="G238" s="1"/>
    </row>
    <row r="239" spans="7:7" ht="15.75" customHeight="1" x14ac:dyDescent="0.2">
      <c r="G239" s="1"/>
    </row>
    <row r="240" spans="7:7" ht="15.75" customHeight="1" x14ac:dyDescent="0.2">
      <c r="G240" s="1"/>
    </row>
    <row r="241" spans="7:7" ht="15.75" customHeight="1" x14ac:dyDescent="0.2">
      <c r="G241" s="1"/>
    </row>
    <row r="242" spans="7:7" ht="15.75" customHeight="1" x14ac:dyDescent="0.2">
      <c r="G242" s="1"/>
    </row>
    <row r="243" spans="7:7" ht="15.75" customHeight="1" x14ac:dyDescent="0.2">
      <c r="G243" s="1"/>
    </row>
    <row r="244" spans="7:7" ht="15.75" customHeight="1" x14ac:dyDescent="0.2">
      <c r="G244" s="1"/>
    </row>
    <row r="245" spans="7:7" ht="15.75" customHeight="1" x14ac:dyDescent="0.2">
      <c r="G245" s="1"/>
    </row>
    <row r="246" spans="7:7" ht="15.75" customHeight="1" x14ac:dyDescent="0.2">
      <c r="G246" s="1"/>
    </row>
    <row r="247" spans="7:7" ht="15.75" customHeight="1" x14ac:dyDescent="0.2">
      <c r="G247" s="1"/>
    </row>
    <row r="248" spans="7:7" ht="15.75" customHeight="1" x14ac:dyDescent="0.2">
      <c r="G248" s="1"/>
    </row>
    <row r="249" spans="7:7" ht="15.75" customHeight="1" x14ac:dyDescent="0.2">
      <c r="G249" s="1"/>
    </row>
    <row r="250" spans="7:7" ht="15.75" customHeight="1" x14ac:dyDescent="0.2">
      <c r="G250" s="1"/>
    </row>
    <row r="251" spans="7:7" ht="15.75" customHeight="1" x14ac:dyDescent="0.2">
      <c r="G251" s="1"/>
    </row>
    <row r="252" spans="7:7" ht="15.75" customHeight="1" x14ac:dyDescent="0.2">
      <c r="G252" s="1"/>
    </row>
    <row r="253" spans="7:7" ht="15.75" customHeight="1" x14ac:dyDescent="0.2">
      <c r="G253" s="1"/>
    </row>
    <row r="254" spans="7:7" ht="15.75" customHeight="1" x14ac:dyDescent="0.2">
      <c r="G254" s="1"/>
    </row>
    <row r="255" spans="7:7" ht="15.75" customHeight="1" x14ac:dyDescent="0.2">
      <c r="G255" s="1"/>
    </row>
    <row r="256" spans="7:7" ht="15.75" customHeight="1" x14ac:dyDescent="0.2">
      <c r="G256" s="1"/>
    </row>
    <row r="257" spans="7:7" ht="15.75" customHeight="1" x14ac:dyDescent="0.2">
      <c r="G257" s="1"/>
    </row>
    <row r="258" spans="7:7" ht="15.75" customHeight="1" x14ac:dyDescent="0.2">
      <c r="G258" s="1"/>
    </row>
    <row r="259" spans="7:7" ht="15.75" customHeight="1" x14ac:dyDescent="0.2">
      <c r="G259" s="1"/>
    </row>
    <row r="260" spans="7:7" ht="15.75" customHeight="1" x14ac:dyDescent="0.2">
      <c r="G260" s="1"/>
    </row>
    <row r="261" spans="7:7" ht="15.75" customHeight="1" x14ac:dyDescent="0.2">
      <c r="G261" s="1"/>
    </row>
    <row r="262" spans="7:7" ht="15.75" customHeight="1" x14ac:dyDescent="0.2">
      <c r="G262" s="1"/>
    </row>
    <row r="263" spans="7:7" ht="15.75" customHeight="1" x14ac:dyDescent="0.2">
      <c r="G263" s="1"/>
    </row>
    <row r="264" spans="7:7" ht="15.75" customHeight="1" x14ac:dyDescent="0.2">
      <c r="G264" s="1"/>
    </row>
    <row r="265" spans="7:7" ht="15.75" customHeight="1" x14ac:dyDescent="0.2">
      <c r="G265" s="1"/>
    </row>
    <row r="266" spans="7:7" ht="15.75" customHeight="1" x14ac:dyDescent="0.2">
      <c r="G266" s="1"/>
    </row>
    <row r="267" spans="7:7" ht="15.75" customHeight="1" x14ac:dyDescent="0.2">
      <c r="G267" s="1"/>
    </row>
    <row r="268" spans="7:7" ht="15.75" customHeight="1" x14ac:dyDescent="0.2">
      <c r="G268" s="1"/>
    </row>
    <row r="269" spans="7:7" ht="15.75" customHeight="1" x14ac:dyDescent="0.2">
      <c r="G269" s="1"/>
    </row>
    <row r="270" spans="7:7" ht="15.75" customHeight="1" x14ac:dyDescent="0.2">
      <c r="G270" s="1"/>
    </row>
    <row r="271" spans="7:7" ht="15.75" customHeight="1" x14ac:dyDescent="0.2">
      <c r="G271" s="1"/>
    </row>
    <row r="272" spans="7:7" ht="15.75" customHeight="1" x14ac:dyDescent="0.2">
      <c r="G272" s="1"/>
    </row>
    <row r="273" spans="7:7" ht="15.75" customHeight="1" x14ac:dyDescent="0.2">
      <c r="G273" s="1"/>
    </row>
    <row r="274" spans="7:7" ht="15.75" customHeight="1" x14ac:dyDescent="0.2">
      <c r="G274" s="1"/>
    </row>
    <row r="275" spans="7:7" ht="15.75" customHeight="1" x14ac:dyDescent="0.2">
      <c r="G275" s="1"/>
    </row>
    <row r="276" spans="7:7" ht="15.75" customHeight="1" x14ac:dyDescent="0.2">
      <c r="G276" s="1"/>
    </row>
    <row r="277" spans="7:7" ht="15.75" customHeight="1" x14ac:dyDescent="0.2">
      <c r="G277" s="1"/>
    </row>
    <row r="278" spans="7:7" ht="15.75" customHeight="1" x14ac:dyDescent="0.2">
      <c r="G278" s="1"/>
    </row>
    <row r="279" spans="7:7" ht="15.75" customHeight="1" x14ac:dyDescent="0.2">
      <c r="G279" s="1"/>
    </row>
    <row r="280" spans="7:7" ht="15.75" customHeight="1" x14ac:dyDescent="0.2">
      <c r="G280" s="1"/>
    </row>
    <row r="281" spans="7:7" ht="15.75" customHeight="1" x14ac:dyDescent="0.2">
      <c r="G281" s="1"/>
    </row>
    <row r="282" spans="7:7" ht="15.75" customHeight="1" x14ac:dyDescent="0.2">
      <c r="G282" s="1"/>
    </row>
    <row r="283" spans="7:7" ht="15.75" customHeight="1" x14ac:dyDescent="0.2">
      <c r="G283" s="1"/>
    </row>
    <row r="284" spans="7:7" ht="15.75" customHeight="1" x14ac:dyDescent="0.2">
      <c r="G284" s="1"/>
    </row>
    <row r="285" spans="7:7" ht="15.75" customHeight="1" x14ac:dyDescent="0.2">
      <c r="G285" s="1"/>
    </row>
    <row r="286" spans="7:7" ht="15.75" customHeight="1" x14ac:dyDescent="0.2">
      <c r="G286" s="1"/>
    </row>
    <row r="287" spans="7:7" ht="15.75" customHeight="1" x14ac:dyDescent="0.2">
      <c r="G287" s="1"/>
    </row>
    <row r="288" spans="7:7" ht="15.75" customHeight="1" x14ac:dyDescent="0.2">
      <c r="G288" s="1"/>
    </row>
    <row r="289" spans="7:7" ht="15.75" customHeight="1" x14ac:dyDescent="0.2">
      <c r="G289" s="1"/>
    </row>
    <row r="290" spans="7:7" ht="15.75" customHeight="1" x14ac:dyDescent="0.2">
      <c r="G290" s="1"/>
    </row>
    <row r="291" spans="7:7" ht="15.75" customHeight="1" x14ac:dyDescent="0.2">
      <c r="G291" s="1"/>
    </row>
    <row r="292" spans="7:7" ht="15.75" customHeight="1" x14ac:dyDescent="0.2">
      <c r="G292" s="1"/>
    </row>
    <row r="293" spans="7:7" ht="15.75" customHeight="1" x14ac:dyDescent="0.2">
      <c r="G293" s="1"/>
    </row>
    <row r="294" spans="7:7" ht="15.75" customHeight="1" x14ac:dyDescent="0.2">
      <c r="G294" s="1"/>
    </row>
    <row r="295" spans="7:7" ht="15.75" customHeight="1" x14ac:dyDescent="0.2">
      <c r="G295" s="1"/>
    </row>
    <row r="296" spans="7:7" ht="15.75" customHeight="1" x14ac:dyDescent="0.2">
      <c r="G296" s="1"/>
    </row>
    <row r="297" spans="7:7" ht="15.75" customHeight="1" x14ac:dyDescent="0.2">
      <c r="G297" s="1"/>
    </row>
    <row r="298" spans="7:7" ht="15.75" customHeight="1" x14ac:dyDescent="0.2">
      <c r="G298" s="1"/>
    </row>
    <row r="299" spans="7:7" ht="15.75" customHeight="1" x14ac:dyDescent="0.2">
      <c r="G299" s="1"/>
    </row>
    <row r="300" spans="7:7" ht="15.75" customHeight="1" x14ac:dyDescent="0.2">
      <c r="G300" s="1"/>
    </row>
    <row r="301" spans="7:7" ht="15.75" customHeight="1" x14ac:dyDescent="0.2">
      <c r="G301" s="1"/>
    </row>
    <row r="302" spans="7:7" ht="15.75" customHeight="1" x14ac:dyDescent="0.2">
      <c r="G302" s="1"/>
    </row>
    <row r="303" spans="7:7" ht="15.75" customHeight="1" x14ac:dyDescent="0.2">
      <c r="G303" s="1"/>
    </row>
    <row r="304" spans="7:7" ht="15.75" customHeight="1" x14ac:dyDescent="0.2">
      <c r="G304" s="1"/>
    </row>
    <row r="305" spans="7:7" ht="15.75" customHeight="1" x14ac:dyDescent="0.2">
      <c r="G305" s="1"/>
    </row>
    <row r="306" spans="7:7" ht="15.75" customHeight="1" x14ac:dyDescent="0.2">
      <c r="G306" s="1"/>
    </row>
    <row r="307" spans="7:7" ht="15.75" customHeight="1" x14ac:dyDescent="0.2">
      <c r="G307" s="1"/>
    </row>
    <row r="308" spans="7:7" ht="15.75" customHeight="1" x14ac:dyDescent="0.2">
      <c r="G308" s="1"/>
    </row>
    <row r="309" spans="7:7" ht="15.75" customHeight="1" x14ac:dyDescent="0.2">
      <c r="G309" s="1"/>
    </row>
    <row r="310" spans="7:7" ht="15.75" customHeight="1" x14ac:dyDescent="0.2">
      <c r="G310" s="1"/>
    </row>
    <row r="311" spans="7:7" ht="15.75" customHeight="1" x14ac:dyDescent="0.2">
      <c r="G311" s="1"/>
    </row>
    <row r="312" spans="7:7" ht="15.75" customHeight="1" x14ac:dyDescent="0.2">
      <c r="G312" s="1"/>
    </row>
    <row r="313" spans="7:7" ht="15.75" customHeight="1" x14ac:dyDescent="0.2">
      <c r="G313" s="1"/>
    </row>
    <row r="314" spans="7:7" ht="15.75" customHeight="1" x14ac:dyDescent="0.2">
      <c r="G314" s="1"/>
    </row>
    <row r="315" spans="7:7" ht="15.75" customHeight="1" x14ac:dyDescent="0.2">
      <c r="G315" s="1"/>
    </row>
    <row r="316" spans="7:7" ht="15.75" customHeight="1" x14ac:dyDescent="0.2">
      <c r="G316" s="1"/>
    </row>
    <row r="317" spans="7:7" ht="15.75" customHeight="1" x14ac:dyDescent="0.2">
      <c r="G317" s="1"/>
    </row>
    <row r="318" spans="7:7" ht="15.75" customHeight="1" x14ac:dyDescent="0.2">
      <c r="G318" s="1"/>
    </row>
    <row r="319" spans="7:7" ht="15.75" customHeight="1" x14ac:dyDescent="0.2">
      <c r="G319" s="1"/>
    </row>
    <row r="320" spans="7:7" ht="15.75" customHeight="1" x14ac:dyDescent="0.2">
      <c r="G320" s="1"/>
    </row>
    <row r="321" spans="7:7" ht="15.75" customHeight="1" x14ac:dyDescent="0.2">
      <c r="G321" s="1"/>
    </row>
    <row r="322" spans="7:7" ht="15.75" customHeight="1" x14ac:dyDescent="0.2">
      <c r="G322" s="1"/>
    </row>
    <row r="323" spans="7:7" ht="15.75" customHeight="1" x14ac:dyDescent="0.2">
      <c r="G323" s="1"/>
    </row>
    <row r="324" spans="7:7" ht="15.75" customHeight="1" x14ac:dyDescent="0.2">
      <c r="G324" s="1"/>
    </row>
    <row r="325" spans="7:7" ht="15.75" customHeight="1" x14ac:dyDescent="0.2">
      <c r="G325" s="1"/>
    </row>
    <row r="326" spans="7:7" ht="15.75" customHeight="1" x14ac:dyDescent="0.2">
      <c r="G326" s="1"/>
    </row>
    <row r="327" spans="7:7" ht="15.75" customHeight="1" x14ac:dyDescent="0.2">
      <c r="G327" s="1"/>
    </row>
    <row r="328" spans="7:7" ht="15.75" customHeight="1" x14ac:dyDescent="0.2">
      <c r="G328" s="1"/>
    </row>
    <row r="329" spans="7:7" ht="15.75" customHeight="1" x14ac:dyDescent="0.2">
      <c r="G329" s="1"/>
    </row>
    <row r="330" spans="7:7" ht="15.75" customHeight="1" x14ac:dyDescent="0.2">
      <c r="G330" s="1"/>
    </row>
    <row r="331" spans="7:7" ht="15.75" customHeight="1" x14ac:dyDescent="0.2">
      <c r="G331" s="1"/>
    </row>
    <row r="332" spans="7:7" ht="15.75" customHeight="1" x14ac:dyDescent="0.2">
      <c r="G332" s="1"/>
    </row>
    <row r="333" spans="7:7" ht="15.75" customHeight="1" x14ac:dyDescent="0.2">
      <c r="G333" s="1"/>
    </row>
    <row r="334" spans="7:7" ht="15.75" customHeight="1" x14ac:dyDescent="0.2">
      <c r="G334" s="1"/>
    </row>
    <row r="335" spans="7:7" ht="15.75" customHeight="1" x14ac:dyDescent="0.2">
      <c r="G335" s="1"/>
    </row>
    <row r="336" spans="7:7" ht="15.75" customHeight="1" x14ac:dyDescent="0.2">
      <c r="G336" s="1"/>
    </row>
    <row r="337" spans="7:7" ht="15.75" customHeight="1" x14ac:dyDescent="0.2">
      <c r="G337" s="1"/>
    </row>
    <row r="338" spans="7:7" ht="15.75" customHeight="1" x14ac:dyDescent="0.2">
      <c r="G338" s="1"/>
    </row>
    <row r="339" spans="7:7" ht="15.75" customHeight="1" x14ac:dyDescent="0.2">
      <c r="G339" s="1"/>
    </row>
    <row r="340" spans="7:7" ht="15.75" customHeight="1" x14ac:dyDescent="0.2">
      <c r="G340" s="1"/>
    </row>
    <row r="341" spans="7:7" ht="15.75" customHeight="1" x14ac:dyDescent="0.2">
      <c r="G341" s="1"/>
    </row>
    <row r="342" spans="7:7" ht="15.75" customHeight="1" x14ac:dyDescent="0.2">
      <c r="G342" s="1"/>
    </row>
    <row r="343" spans="7:7" ht="15.75" customHeight="1" x14ac:dyDescent="0.2">
      <c r="G343" s="1"/>
    </row>
    <row r="344" spans="7:7" ht="15.75" customHeight="1" x14ac:dyDescent="0.2">
      <c r="G344" s="1"/>
    </row>
    <row r="345" spans="7:7" ht="15.75" customHeight="1" x14ac:dyDescent="0.2">
      <c r="G345" s="1"/>
    </row>
    <row r="346" spans="7:7" ht="15.75" customHeight="1" x14ac:dyDescent="0.2">
      <c r="G346" s="1"/>
    </row>
    <row r="347" spans="7:7" ht="15.75" customHeight="1" x14ac:dyDescent="0.2">
      <c r="G347" s="1"/>
    </row>
    <row r="348" spans="7:7" ht="15.75" customHeight="1" x14ac:dyDescent="0.2">
      <c r="G348" s="1"/>
    </row>
    <row r="349" spans="7:7" ht="15.75" customHeight="1" x14ac:dyDescent="0.2">
      <c r="G349" s="1"/>
    </row>
    <row r="350" spans="7:7" ht="15.75" customHeight="1" x14ac:dyDescent="0.2">
      <c r="G350" s="1"/>
    </row>
    <row r="351" spans="7:7" ht="15.75" customHeight="1" x14ac:dyDescent="0.2">
      <c r="G351" s="1"/>
    </row>
    <row r="352" spans="7:7" ht="15.75" customHeight="1" x14ac:dyDescent="0.2">
      <c r="G352" s="1"/>
    </row>
    <row r="353" spans="7:7" ht="15.75" customHeight="1" x14ac:dyDescent="0.2">
      <c r="G353" s="1"/>
    </row>
    <row r="354" spans="7:7" ht="15.75" customHeight="1" x14ac:dyDescent="0.2">
      <c r="G354" s="1"/>
    </row>
    <row r="355" spans="7:7" ht="15.75" customHeight="1" x14ac:dyDescent="0.2">
      <c r="G355" s="1"/>
    </row>
    <row r="356" spans="7:7" ht="15.75" customHeight="1" x14ac:dyDescent="0.2">
      <c r="G356" s="1"/>
    </row>
    <row r="357" spans="7:7" ht="15.75" customHeight="1" x14ac:dyDescent="0.2">
      <c r="G357" s="1"/>
    </row>
    <row r="358" spans="7:7" ht="15.75" customHeight="1" x14ac:dyDescent="0.2">
      <c r="G358" s="1"/>
    </row>
    <row r="359" spans="7:7" ht="15.75" customHeight="1" x14ac:dyDescent="0.2">
      <c r="G359" s="1"/>
    </row>
    <row r="360" spans="7:7" ht="15.75" customHeight="1" x14ac:dyDescent="0.2">
      <c r="G360" s="1"/>
    </row>
    <row r="361" spans="7:7" ht="15.75" customHeight="1" x14ac:dyDescent="0.2">
      <c r="G361" s="1"/>
    </row>
    <row r="362" spans="7:7" ht="15.75" customHeight="1" x14ac:dyDescent="0.2">
      <c r="G362" s="1"/>
    </row>
    <row r="363" spans="7:7" ht="15.75" customHeight="1" x14ac:dyDescent="0.2">
      <c r="G363" s="1"/>
    </row>
    <row r="364" spans="7:7" ht="15.75" customHeight="1" x14ac:dyDescent="0.2">
      <c r="G364" s="1"/>
    </row>
    <row r="365" spans="7:7" ht="15.75" customHeight="1" x14ac:dyDescent="0.2">
      <c r="G365" s="1"/>
    </row>
    <row r="366" spans="7:7" ht="15.75" customHeight="1" x14ac:dyDescent="0.2">
      <c r="G366" s="1"/>
    </row>
    <row r="367" spans="7:7" ht="15.75" customHeight="1" x14ac:dyDescent="0.2">
      <c r="G367" s="1"/>
    </row>
    <row r="368" spans="7:7" ht="15.75" customHeight="1" x14ac:dyDescent="0.2">
      <c r="G368" s="1"/>
    </row>
    <row r="369" spans="7:7" ht="15.75" customHeight="1" x14ac:dyDescent="0.2">
      <c r="G369" s="1"/>
    </row>
    <row r="370" spans="7:7" ht="15.75" customHeight="1" x14ac:dyDescent="0.2">
      <c r="G370" s="1"/>
    </row>
    <row r="371" spans="7:7" ht="15.75" customHeight="1" x14ac:dyDescent="0.2">
      <c r="G371" s="1"/>
    </row>
    <row r="372" spans="7:7" ht="15.75" customHeight="1" x14ac:dyDescent="0.2">
      <c r="G372" s="1"/>
    </row>
    <row r="373" spans="7:7" ht="15.75" customHeight="1" x14ac:dyDescent="0.2">
      <c r="G373" s="1"/>
    </row>
    <row r="374" spans="7:7" ht="15.75" customHeight="1" x14ac:dyDescent="0.2">
      <c r="G374" s="1"/>
    </row>
    <row r="375" spans="7:7" ht="15.75" customHeight="1" x14ac:dyDescent="0.2">
      <c r="G375" s="1"/>
    </row>
    <row r="376" spans="7:7" ht="15.75" customHeight="1" x14ac:dyDescent="0.2">
      <c r="G376" s="1"/>
    </row>
    <row r="377" spans="7:7" ht="15.75" customHeight="1" x14ac:dyDescent="0.2">
      <c r="G377" s="1"/>
    </row>
    <row r="378" spans="7:7" ht="15.75" customHeight="1" x14ac:dyDescent="0.2">
      <c r="G378" s="1"/>
    </row>
    <row r="379" spans="7:7" ht="15.75" customHeight="1" x14ac:dyDescent="0.2">
      <c r="G379" s="1"/>
    </row>
    <row r="380" spans="7:7" ht="15.75" customHeight="1" x14ac:dyDescent="0.2">
      <c r="G380" s="1"/>
    </row>
    <row r="381" spans="7:7" ht="15.75" customHeight="1" x14ac:dyDescent="0.2">
      <c r="G381" s="1"/>
    </row>
    <row r="382" spans="7:7" ht="15.75" customHeight="1" x14ac:dyDescent="0.2">
      <c r="G382" s="1"/>
    </row>
    <row r="383" spans="7:7" ht="15.75" customHeight="1" x14ac:dyDescent="0.2">
      <c r="G383" s="1"/>
    </row>
    <row r="384" spans="7:7" ht="15.75" customHeight="1" x14ac:dyDescent="0.2">
      <c r="G384" s="1"/>
    </row>
    <row r="385" spans="7:7" ht="15.75" customHeight="1" x14ac:dyDescent="0.2">
      <c r="G385" s="1"/>
    </row>
    <row r="386" spans="7:7" ht="15.75" customHeight="1" x14ac:dyDescent="0.2">
      <c r="G386" s="1"/>
    </row>
    <row r="387" spans="7:7" ht="15.75" customHeight="1" x14ac:dyDescent="0.2">
      <c r="G387" s="1"/>
    </row>
    <row r="388" spans="7:7" ht="15.75" customHeight="1" x14ac:dyDescent="0.2">
      <c r="G388" s="1"/>
    </row>
    <row r="389" spans="7:7" ht="15.75" customHeight="1" x14ac:dyDescent="0.2">
      <c r="G389" s="1"/>
    </row>
    <row r="390" spans="7:7" ht="15.75" customHeight="1" x14ac:dyDescent="0.2">
      <c r="G390" s="1"/>
    </row>
    <row r="391" spans="7:7" ht="15.75" customHeight="1" x14ac:dyDescent="0.2">
      <c r="G391" s="1"/>
    </row>
    <row r="392" spans="7:7" ht="15.75" customHeight="1" x14ac:dyDescent="0.2">
      <c r="G392" s="1"/>
    </row>
    <row r="393" spans="7:7" ht="15.75" customHeight="1" x14ac:dyDescent="0.2">
      <c r="G393" s="1"/>
    </row>
    <row r="394" spans="7:7" ht="15.75" customHeight="1" x14ac:dyDescent="0.2">
      <c r="G394" s="1"/>
    </row>
    <row r="395" spans="7:7" ht="15.75" customHeight="1" x14ac:dyDescent="0.2">
      <c r="G395" s="1"/>
    </row>
    <row r="396" spans="7:7" ht="15.75" customHeight="1" x14ac:dyDescent="0.2">
      <c r="G396" s="1"/>
    </row>
    <row r="397" spans="7:7" ht="15.75" customHeight="1" x14ac:dyDescent="0.2">
      <c r="G397" s="1"/>
    </row>
    <row r="398" spans="7:7" ht="15.75" customHeight="1" x14ac:dyDescent="0.2">
      <c r="G398" s="1"/>
    </row>
    <row r="399" spans="7:7" ht="15.75" customHeight="1" x14ac:dyDescent="0.2">
      <c r="G399" s="1"/>
    </row>
    <row r="400" spans="7:7" ht="15.75" customHeight="1" x14ac:dyDescent="0.2">
      <c r="G400" s="1"/>
    </row>
    <row r="401" spans="7:7" ht="15.75" customHeight="1" x14ac:dyDescent="0.2">
      <c r="G401" s="1"/>
    </row>
    <row r="402" spans="7:7" ht="15.75" customHeight="1" x14ac:dyDescent="0.2">
      <c r="G402" s="1"/>
    </row>
    <row r="403" spans="7:7" ht="15.75" customHeight="1" x14ac:dyDescent="0.2">
      <c r="G403" s="1"/>
    </row>
    <row r="404" spans="7:7" ht="15.75" customHeight="1" x14ac:dyDescent="0.2">
      <c r="G404" s="1"/>
    </row>
    <row r="405" spans="7:7" ht="15.75" customHeight="1" x14ac:dyDescent="0.2">
      <c r="G405" s="1"/>
    </row>
    <row r="406" spans="7:7" ht="15.75" customHeight="1" x14ac:dyDescent="0.2">
      <c r="G406" s="1"/>
    </row>
    <row r="407" spans="7:7" ht="15.75" customHeight="1" x14ac:dyDescent="0.2">
      <c r="G407" s="1"/>
    </row>
    <row r="408" spans="7:7" ht="15.75" customHeight="1" x14ac:dyDescent="0.2">
      <c r="G408" s="1"/>
    </row>
    <row r="409" spans="7:7" ht="15.75" customHeight="1" x14ac:dyDescent="0.2">
      <c r="G409" s="1"/>
    </row>
    <row r="410" spans="7:7" ht="15.75" customHeight="1" x14ac:dyDescent="0.2">
      <c r="G410" s="1"/>
    </row>
    <row r="411" spans="7:7" ht="15.75" customHeight="1" x14ac:dyDescent="0.2">
      <c r="G411" s="1"/>
    </row>
    <row r="412" spans="7:7" ht="15.75" customHeight="1" x14ac:dyDescent="0.2">
      <c r="G412" s="1"/>
    </row>
    <row r="413" spans="7:7" ht="15.75" customHeight="1" x14ac:dyDescent="0.2">
      <c r="G413" s="1"/>
    </row>
    <row r="414" spans="7:7" ht="15.75" customHeight="1" x14ac:dyDescent="0.2">
      <c r="G414" s="1"/>
    </row>
    <row r="415" spans="7:7" ht="15.75" customHeight="1" x14ac:dyDescent="0.2">
      <c r="G415" s="1"/>
    </row>
    <row r="416" spans="7:7" ht="15.75" customHeight="1" x14ac:dyDescent="0.2">
      <c r="G416" s="1"/>
    </row>
    <row r="417" spans="7:7" ht="15.75" customHeight="1" x14ac:dyDescent="0.2">
      <c r="G417" s="1"/>
    </row>
    <row r="418" spans="7:7" ht="15.75" customHeight="1" x14ac:dyDescent="0.2">
      <c r="G418" s="1"/>
    </row>
    <row r="419" spans="7:7" ht="15.75" customHeight="1" x14ac:dyDescent="0.2">
      <c r="G419" s="1"/>
    </row>
    <row r="420" spans="7:7" ht="15.75" customHeight="1" x14ac:dyDescent="0.2">
      <c r="G420" s="1"/>
    </row>
    <row r="421" spans="7:7" ht="15.75" customHeight="1" x14ac:dyDescent="0.2">
      <c r="G421" s="1"/>
    </row>
    <row r="422" spans="7:7" ht="15.75" customHeight="1" x14ac:dyDescent="0.2">
      <c r="G422" s="1"/>
    </row>
    <row r="423" spans="7:7" ht="15.75" customHeight="1" x14ac:dyDescent="0.2">
      <c r="G423" s="1"/>
    </row>
    <row r="424" spans="7:7" ht="15.75" customHeight="1" x14ac:dyDescent="0.2">
      <c r="G424" s="1"/>
    </row>
    <row r="425" spans="7:7" ht="15.75" customHeight="1" x14ac:dyDescent="0.2">
      <c r="G425" s="1"/>
    </row>
    <row r="426" spans="7:7" ht="15.75" customHeight="1" x14ac:dyDescent="0.2">
      <c r="G426" s="1"/>
    </row>
    <row r="427" spans="7:7" ht="15.75" customHeight="1" x14ac:dyDescent="0.2">
      <c r="G427" s="1"/>
    </row>
    <row r="428" spans="7:7" ht="15.75" customHeight="1" x14ac:dyDescent="0.2">
      <c r="G428" s="1"/>
    </row>
    <row r="429" spans="7:7" ht="15.75" customHeight="1" x14ac:dyDescent="0.2">
      <c r="G429" s="1"/>
    </row>
    <row r="430" spans="7:7" ht="15.75" customHeight="1" x14ac:dyDescent="0.2">
      <c r="G430" s="1"/>
    </row>
    <row r="431" spans="7:7" ht="15.75" customHeight="1" x14ac:dyDescent="0.2">
      <c r="G431" s="1"/>
    </row>
    <row r="432" spans="7:7" ht="15.75" customHeight="1" x14ac:dyDescent="0.2">
      <c r="G432" s="1"/>
    </row>
    <row r="433" spans="7:7" ht="15.75" customHeight="1" x14ac:dyDescent="0.2">
      <c r="G433" s="1"/>
    </row>
    <row r="434" spans="7:7" ht="15.75" customHeight="1" x14ac:dyDescent="0.2">
      <c r="G434" s="1"/>
    </row>
    <row r="435" spans="7:7" ht="15.75" customHeight="1" x14ac:dyDescent="0.2">
      <c r="G435" s="1"/>
    </row>
    <row r="436" spans="7:7" ht="15.75" customHeight="1" x14ac:dyDescent="0.2">
      <c r="G436" s="1"/>
    </row>
    <row r="437" spans="7:7" ht="15.75" customHeight="1" x14ac:dyDescent="0.2">
      <c r="G437" s="1"/>
    </row>
    <row r="438" spans="7:7" ht="15.75" customHeight="1" x14ac:dyDescent="0.2">
      <c r="G438" s="1"/>
    </row>
    <row r="439" spans="7:7" ht="15.75" customHeight="1" x14ac:dyDescent="0.2">
      <c r="G439" s="1"/>
    </row>
    <row r="440" spans="7:7" ht="15.75" customHeight="1" x14ac:dyDescent="0.2">
      <c r="G440" s="1"/>
    </row>
    <row r="441" spans="7:7" ht="15.75" customHeight="1" x14ac:dyDescent="0.2">
      <c r="G441" s="1"/>
    </row>
    <row r="442" spans="7:7" ht="15.75" customHeight="1" x14ac:dyDescent="0.2">
      <c r="G442" s="1"/>
    </row>
    <row r="443" spans="7:7" ht="15.75" customHeight="1" x14ac:dyDescent="0.2">
      <c r="G443" s="1"/>
    </row>
    <row r="444" spans="7:7" ht="15.75" customHeight="1" x14ac:dyDescent="0.2">
      <c r="G444" s="1"/>
    </row>
    <row r="445" spans="7:7" ht="15.75" customHeight="1" x14ac:dyDescent="0.2">
      <c r="G445" s="1"/>
    </row>
    <row r="446" spans="7:7" ht="15.75" customHeight="1" x14ac:dyDescent="0.2">
      <c r="G446" s="1"/>
    </row>
    <row r="447" spans="7:7" ht="15.75" customHeight="1" x14ac:dyDescent="0.2">
      <c r="G447" s="1"/>
    </row>
    <row r="448" spans="7:7" ht="15.75" customHeight="1" x14ac:dyDescent="0.2">
      <c r="G448" s="1"/>
    </row>
    <row r="449" spans="7:7" ht="15.75" customHeight="1" x14ac:dyDescent="0.2">
      <c r="G449" s="1"/>
    </row>
    <row r="450" spans="7:7" ht="15.75" customHeight="1" x14ac:dyDescent="0.2">
      <c r="G450" s="1"/>
    </row>
    <row r="451" spans="7:7" ht="15.75" customHeight="1" x14ac:dyDescent="0.2">
      <c r="G451" s="1"/>
    </row>
    <row r="452" spans="7:7" ht="15.75" customHeight="1" x14ac:dyDescent="0.2">
      <c r="G452" s="1"/>
    </row>
    <row r="453" spans="7:7" ht="15.75" customHeight="1" x14ac:dyDescent="0.2">
      <c r="G453" s="1"/>
    </row>
    <row r="454" spans="7:7" ht="15.75" customHeight="1" x14ac:dyDescent="0.2">
      <c r="G454" s="1"/>
    </row>
    <row r="455" spans="7:7" ht="15.75" customHeight="1" x14ac:dyDescent="0.2">
      <c r="G455" s="1"/>
    </row>
    <row r="456" spans="7:7" ht="15.75" customHeight="1" x14ac:dyDescent="0.2">
      <c r="G456" s="1"/>
    </row>
    <row r="457" spans="7:7" ht="15.75" customHeight="1" x14ac:dyDescent="0.2">
      <c r="G457" s="1"/>
    </row>
    <row r="458" spans="7:7" ht="15.75" customHeight="1" x14ac:dyDescent="0.2">
      <c r="G458" s="1"/>
    </row>
    <row r="459" spans="7:7" ht="15.75" customHeight="1" x14ac:dyDescent="0.2">
      <c r="G459" s="1"/>
    </row>
    <row r="460" spans="7:7" ht="15.75" customHeight="1" x14ac:dyDescent="0.2">
      <c r="G460" s="1"/>
    </row>
    <row r="461" spans="7:7" ht="15.75" customHeight="1" x14ac:dyDescent="0.2">
      <c r="G461" s="1"/>
    </row>
    <row r="462" spans="7:7" ht="15.75" customHeight="1" x14ac:dyDescent="0.2">
      <c r="G462" s="1"/>
    </row>
    <row r="463" spans="7:7" ht="15.75" customHeight="1" x14ac:dyDescent="0.2">
      <c r="G463" s="1"/>
    </row>
    <row r="464" spans="7:7" ht="15.75" customHeight="1" x14ac:dyDescent="0.2">
      <c r="G464" s="1"/>
    </row>
    <row r="465" spans="7:7" ht="15.75" customHeight="1" x14ac:dyDescent="0.2">
      <c r="G465" s="1"/>
    </row>
    <row r="466" spans="7:7" ht="15.75" customHeight="1" x14ac:dyDescent="0.2">
      <c r="G466" s="1"/>
    </row>
    <row r="467" spans="7:7" ht="15.75" customHeight="1" x14ac:dyDescent="0.2">
      <c r="G467" s="1"/>
    </row>
    <row r="468" spans="7:7" ht="15.75" customHeight="1" x14ac:dyDescent="0.2">
      <c r="G468" s="1"/>
    </row>
    <row r="469" spans="7:7" ht="15.75" customHeight="1" x14ac:dyDescent="0.2">
      <c r="G469" s="1"/>
    </row>
    <row r="470" spans="7:7" ht="15.75" customHeight="1" x14ac:dyDescent="0.2">
      <c r="G470" s="1"/>
    </row>
    <row r="471" spans="7:7" ht="15.75" customHeight="1" x14ac:dyDescent="0.2">
      <c r="G471" s="1"/>
    </row>
    <row r="472" spans="7:7" ht="15.75" customHeight="1" x14ac:dyDescent="0.2">
      <c r="G472" s="1"/>
    </row>
    <row r="473" spans="7:7" ht="15.75" customHeight="1" x14ac:dyDescent="0.2">
      <c r="G473" s="1"/>
    </row>
    <row r="474" spans="7:7" ht="15.75" customHeight="1" x14ac:dyDescent="0.2">
      <c r="G474" s="1"/>
    </row>
    <row r="475" spans="7:7" ht="15.75" customHeight="1" x14ac:dyDescent="0.2">
      <c r="G475" s="1"/>
    </row>
    <row r="476" spans="7:7" ht="15.75" customHeight="1" x14ac:dyDescent="0.2">
      <c r="G476" s="1"/>
    </row>
    <row r="477" spans="7:7" ht="15.75" customHeight="1" x14ac:dyDescent="0.2">
      <c r="G477" s="1"/>
    </row>
    <row r="478" spans="7:7" ht="15.75" customHeight="1" x14ac:dyDescent="0.2">
      <c r="G478" s="1"/>
    </row>
    <row r="479" spans="7:7" ht="15.75" customHeight="1" x14ac:dyDescent="0.2">
      <c r="G479" s="1"/>
    </row>
    <row r="480" spans="7:7" ht="15.75" customHeight="1" x14ac:dyDescent="0.2">
      <c r="G480" s="1"/>
    </row>
    <row r="481" spans="7:7" ht="15.75" customHeight="1" x14ac:dyDescent="0.2">
      <c r="G481" s="1"/>
    </row>
    <row r="482" spans="7:7" ht="15.75" customHeight="1" x14ac:dyDescent="0.2">
      <c r="G482" s="1"/>
    </row>
    <row r="483" spans="7:7" ht="15.75" customHeight="1" x14ac:dyDescent="0.2">
      <c r="G483" s="1"/>
    </row>
    <row r="484" spans="7:7" ht="15.75" customHeight="1" x14ac:dyDescent="0.2">
      <c r="G484" s="1"/>
    </row>
    <row r="485" spans="7:7" ht="15.75" customHeight="1" x14ac:dyDescent="0.2">
      <c r="G485" s="1"/>
    </row>
    <row r="486" spans="7:7" ht="15.75" customHeight="1" x14ac:dyDescent="0.2">
      <c r="G486" s="1"/>
    </row>
    <row r="487" spans="7:7" ht="15.75" customHeight="1" x14ac:dyDescent="0.2">
      <c r="G487" s="1"/>
    </row>
    <row r="488" spans="7:7" ht="15.75" customHeight="1" x14ac:dyDescent="0.2">
      <c r="G488" s="1"/>
    </row>
    <row r="489" spans="7:7" ht="15.75" customHeight="1" x14ac:dyDescent="0.2">
      <c r="G489" s="1"/>
    </row>
    <row r="490" spans="7:7" ht="15.75" customHeight="1" x14ac:dyDescent="0.2">
      <c r="G490" s="1"/>
    </row>
    <row r="491" spans="7:7" ht="15.75" customHeight="1" x14ac:dyDescent="0.2">
      <c r="G491" s="1"/>
    </row>
    <row r="492" spans="7:7" ht="15.75" customHeight="1" x14ac:dyDescent="0.2">
      <c r="G492" s="1"/>
    </row>
    <row r="493" spans="7:7" ht="15.75" customHeight="1" x14ac:dyDescent="0.2">
      <c r="G493" s="1"/>
    </row>
    <row r="494" spans="7:7" ht="15.75" customHeight="1" x14ac:dyDescent="0.2">
      <c r="G494" s="1"/>
    </row>
    <row r="495" spans="7:7" ht="15.75" customHeight="1" x14ac:dyDescent="0.2">
      <c r="G495" s="1"/>
    </row>
    <row r="496" spans="7:7" ht="15.75" customHeight="1" x14ac:dyDescent="0.2">
      <c r="G496" s="1"/>
    </row>
    <row r="497" spans="7:7" ht="15.75" customHeight="1" x14ac:dyDescent="0.2">
      <c r="G497" s="1"/>
    </row>
    <row r="498" spans="7:7" ht="15.75" customHeight="1" x14ac:dyDescent="0.2">
      <c r="G498" s="1"/>
    </row>
    <row r="499" spans="7:7" ht="15.75" customHeight="1" x14ac:dyDescent="0.2">
      <c r="G499" s="1"/>
    </row>
    <row r="500" spans="7:7" ht="15.75" customHeight="1" x14ac:dyDescent="0.2">
      <c r="G500" s="1"/>
    </row>
    <row r="501" spans="7:7" ht="15.75" customHeight="1" x14ac:dyDescent="0.2">
      <c r="G501" s="1"/>
    </row>
    <row r="502" spans="7:7" ht="15.75" customHeight="1" x14ac:dyDescent="0.2">
      <c r="G502" s="1"/>
    </row>
    <row r="503" spans="7:7" ht="15.75" customHeight="1" x14ac:dyDescent="0.2">
      <c r="G503" s="1"/>
    </row>
    <row r="504" spans="7:7" ht="15.75" customHeight="1" x14ac:dyDescent="0.2">
      <c r="G504" s="1"/>
    </row>
    <row r="505" spans="7:7" ht="15.75" customHeight="1" x14ac:dyDescent="0.2">
      <c r="G505" s="1"/>
    </row>
    <row r="506" spans="7:7" ht="15.75" customHeight="1" x14ac:dyDescent="0.2">
      <c r="G506" s="1"/>
    </row>
    <row r="507" spans="7:7" ht="15.75" customHeight="1" x14ac:dyDescent="0.2">
      <c r="G507" s="1"/>
    </row>
    <row r="508" spans="7:7" ht="15.75" customHeight="1" x14ac:dyDescent="0.2">
      <c r="G508" s="1"/>
    </row>
    <row r="509" spans="7:7" ht="15.75" customHeight="1" x14ac:dyDescent="0.2">
      <c r="G509" s="1"/>
    </row>
    <row r="510" spans="7:7" ht="15.75" customHeight="1" x14ac:dyDescent="0.2">
      <c r="G510" s="1"/>
    </row>
    <row r="511" spans="7:7" ht="15.75" customHeight="1" x14ac:dyDescent="0.2">
      <c r="G511" s="1"/>
    </row>
    <row r="512" spans="7:7" ht="15.75" customHeight="1" x14ac:dyDescent="0.2">
      <c r="G512" s="1"/>
    </row>
    <row r="513" spans="7:7" ht="15.75" customHeight="1" x14ac:dyDescent="0.2">
      <c r="G513" s="1"/>
    </row>
    <row r="514" spans="7:7" ht="15.75" customHeight="1" x14ac:dyDescent="0.2">
      <c r="G514" s="1"/>
    </row>
    <row r="515" spans="7:7" ht="15.75" customHeight="1" x14ac:dyDescent="0.2">
      <c r="G515" s="1"/>
    </row>
    <row r="516" spans="7:7" ht="15.75" customHeight="1" x14ac:dyDescent="0.2">
      <c r="G516" s="1"/>
    </row>
    <row r="517" spans="7:7" ht="15.75" customHeight="1" x14ac:dyDescent="0.2">
      <c r="G517" s="1"/>
    </row>
    <row r="518" spans="7:7" ht="15.75" customHeight="1" x14ac:dyDescent="0.2">
      <c r="G518" s="1"/>
    </row>
    <row r="519" spans="7:7" ht="15.75" customHeight="1" x14ac:dyDescent="0.2">
      <c r="G519" s="1"/>
    </row>
    <row r="520" spans="7:7" ht="15.75" customHeight="1" x14ac:dyDescent="0.2">
      <c r="G520" s="1"/>
    </row>
    <row r="521" spans="7:7" ht="15.75" customHeight="1" x14ac:dyDescent="0.2">
      <c r="G521" s="1"/>
    </row>
    <row r="522" spans="7:7" ht="15.75" customHeight="1" x14ac:dyDescent="0.2">
      <c r="G522" s="1"/>
    </row>
    <row r="523" spans="7:7" ht="15.75" customHeight="1" x14ac:dyDescent="0.2">
      <c r="G523" s="1"/>
    </row>
    <row r="524" spans="7:7" ht="15.75" customHeight="1" x14ac:dyDescent="0.2">
      <c r="G524" s="1"/>
    </row>
    <row r="525" spans="7:7" ht="15.75" customHeight="1" x14ac:dyDescent="0.2">
      <c r="G525" s="1"/>
    </row>
    <row r="526" spans="7:7" ht="15.75" customHeight="1" x14ac:dyDescent="0.2">
      <c r="G526" s="1"/>
    </row>
    <row r="527" spans="7:7" ht="15.75" customHeight="1" x14ac:dyDescent="0.2">
      <c r="G527" s="1"/>
    </row>
    <row r="528" spans="7:7" ht="15.75" customHeight="1" x14ac:dyDescent="0.2">
      <c r="G528" s="1"/>
    </row>
    <row r="529" spans="7:7" ht="15.75" customHeight="1" x14ac:dyDescent="0.2">
      <c r="G529" s="1"/>
    </row>
    <row r="530" spans="7:7" ht="15.75" customHeight="1" x14ac:dyDescent="0.2">
      <c r="G530" s="1"/>
    </row>
    <row r="531" spans="7:7" ht="15.75" customHeight="1" x14ac:dyDescent="0.2">
      <c r="G531" s="1"/>
    </row>
    <row r="532" spans="7:7" ht="15.75" customHeight="1" x14ac:dyDescent="0.2">
      <c r="G532" s="1"/>
    </row>
    <row r="533" spans="7:7" ht="15.75" customHeight="1" x14ac:dyDescent="0.2">
      <c r="G533" s="1"/>
    </row>
    <row r="534" spans="7:7" ht="15.75" customHeight="1" x14ac:dyDescent="0.2">
      <c r="G534" s="1"/>
    </row>
    <row r="535" spans="7:7" ht="15.75" customHeight="1" x14ac:dyDescent="0.2">
      <c r="G535" s="1"/>
    </row>
    <row r="536" spans="7:7" ht="15.75" customHeight="1" x14ac:dyDescent="0.2">
      <c r="G536" s="1"/>
    </row>
    <row r="537" spans="7:7" ht="15.75" customHeight="1" x14ac:dyDescent="0.2">
      <c r="G537" s="1"/>
    </row>
    <row r="538" spans="7:7" ht="15.75" customHeight="1" x14ac:dyDescent="0.2">
      <c r="G538" s="1"/>
    </row>
    <row r="539" spans="7:7" ht="15.75" customHeight="1" x14ac:dyDescent="0.2">
      <c r="G539" s="1"/>
    </row>
    <row r="540" spans="7:7" ht="15.75" customHeight="1" x14ac:dyDescent="0.2">
      <c r="G540" s="1"/>
    </row>
    <row r="541" spans="7:7" ht="15.75" customHeight="1" x14ac:dyDescent="0.2">
      <c r="G541" s="1"/>
    </row>
    <row r="542" spans="7:7" ht="15.75" customHeight="1" x14ac:dyDescent="0.2">
      <c r="G542" s="1"/>
    </row>
    <row r="543" spans="7:7" ht="15.75" customHeight="1" x14ac:dyDescent="0.2">
      <c r="G543" s="1"/>
    </row>
    <row r="544" spans="7:7" ht="15.75" customHeight="1" x14ac:dyDescent="0.2">
      <c r="G544" s="1"/>
    </row>
    <row r="545" spans="7:7" ht="15.75" customHeight="1" x14ac:dyDescent="0.2">
      <c r="G545" s="1"/>
    </row>
    <row r="546" spans="7:7" ht="15.75" customHeight="1" x14ac:dyDescent="0.2">
      <c r="G546" s="1"/>
    </row>
    <row r="547" spans="7:7" ht="15.75" customHeight="1" x14ac:dyDescent="0.2">
      <c r="G547" s="1"/>
    </row>
    <row r="548" spans="7:7" ht="15.75" customHeight="1" x14ac:dyDescent="0.2">
      <c r="G548" s="1"/>
    </row>
    <row r="549" spans="7:7" ht="15.75" customHeight="1" x14ac:dyDescent="0.2">
      <c r="G549" s="1"/>
    </row>
    <row r="550" spans="7:7" ht="15.75" customHeight="1" x14ac:dyDescent="0.2">
      <c r="G550" s="1"/>
    </row>
    <row r="551" spans="7:7" ht="15.75" customHeight="1" x14ac:dyDescent="0.2">
      <c r="G551" s="1"/>
    </row>
    <row r="552" spans="7:7" ht="15.75" customHeight="1" x14ac:dyDescent="0.2">
      <c r="G552" s="1"/>
    </row>
    <row r="553" spans="7:7" ht="15.75" customHeight="1" x14ac:dyDescent="0.2">
      <c r="G553" s="1"/>
    </row>
    <row r="554" spans="7:7" ht="15.75" customHeight="1" x14ac:dyDescent="0.2">
      <c r="G554" s="1"/>
    </row>
    <row r="555" spans="7:7" ht="15.75" customHeight="1" x14ac:dyDescent="0.2">
      <c r="G555" s="1"/>
    </row>
    <row r="556" spans="7:7" ht="15.75" customHeight="1" x14ac:dyDescent="0.2">
      <c r="G556" s="1"/>
    </row>
    <row r="557" spans="7:7" ht="15.75" customHeight="1" x14ac:dyDescent="0.2">
      <c r="G557" s="1"/>
    </row>
    <row r="558" spans="7:7" ht="15.75" customHeight="1" x14ac:dyDescent="0.2">
      <c r="G558" s="1"/>
    </row>
    <row r="559" spans="7:7" ht="15.75" customHeight="1" x14ac:dyDescent="0.2">
      <c r="G559" s="1"/>
    </row>
    <row r="560" spans="7:7" ht="15.75" customHeight="1" x14ac:dyDescent="0.2">
      <c r="G560" s="1"/>
    </row>
    <row r="561" spans="7:7" ht="15.75" customHeight="1" x14ac:dyDescent="0.2">
      <c r="G561" s="1"/>
    </row>
    <row r="562" spans="7:7" ht="15.75" customHeight="1" x14ac:dyDescent="0.2">
      <c r="G562" s="1"/>
    </row>
    <row r="563" spans="7:7" ht="15.75" customHeight="1" x14ac:dyDescent="0.2">
      <c r="G563" s="1"/>
    </row>
    <row r="564" spans="7:7" ht="15.75" customHeight="1" x14ac:dyDescent="0.2">
      <c r="G564" s="1"/>
    </row>
    <row r="565" spans="7:7" ht="15.75" customHeight="1" x14ac:dyDescent="0.2">
      <c r="G565" s="1"/>
    </row>
    <row r="566" spans="7:7" ht="15.75" customHeight="1" x14ac:dyDescent="0.2">
      <c r="G566" s="1"/>
    </row>
    <row r="567" spans="7:7" ht="15.75" customHeight="1" x14ac:dyDescent="0.2">
      <c r="G567" s="1"/>
    </row>
    <row r="568" spans="7:7" ht="15.75" customHeight="1" x14ac:dyDescent="0.2">
      <c r="G568" s="1"/>
    </row>
    <row r="569" spans="7:7" ht="15.75" customHeight="1" x14ac:dyDescent="0.2">
      <c r="G569" s="1"/>
    </row>
    <row r="570" spans="7:7" ht="15.75" customHeight="1" x14ac:dyDescent="0.2">
      <c r="G570" s="1"/>
    </row>
    <row r="571" spans="7:7" ht="15.75" customHeight="1" x14ac:dyDescent="0.2">
      <c r="G571" s="1"/>
    </row>
    <row r="572" spans="7:7" ht="15.75" customHeight="1" x14ac:dyDescent="0.2">
      <c r="G572" s="1"/>
    </row>
    <row r="573" spans="7:7" ht="15.75" customHeight="1" x14ac:dyDescent="0.2">
      <c r="G573" s="1"/>
    </row>
    <row r="574" spans="7:7" ht="15.75" customHeight="1" x14ac:dyDescent="0.2">
      <c r="G574" s="1"/>
    </row>
    <row r="575" spans="7:7" ht="15.75" customHeight="1" x14ac:dyDescent="0.2">
      <c r="G575" s="1"/>
    </row>
    <row r="576" spans="7:7" ht="15.75" customHeight="1" x14ac:dyDescent="0.2">
      <c r="G576" s="1"/>
    </row>
    <row r="577" spans="7:7" ht="15.75" customHeight="1" x14ac:dyDescent="0.2">
      <c r="G577" s="1"/>
    </row>
    <row r="578" spans="7:7" ht="15.75" customHeight="1" x14ac:dyDescent="0.2">
      <c r="G578" s="1"/>
    </row>
    <row r="579" spans="7:7" ht="15.75" customHeight="1" x14ac:dyDescent="0.2">
      <c r="G579" s="1"/>
    </row>
    <row r="580" spans="7:7" ht="15.75" customHeight="1" x14ac:dyDescent="0.2">
      <c r="G580" s="1"/>
    </row>
    <row r="581" spans="7:7" ht="15.75" customHeight="1" x14ac:dyDescent="0.2">
      <c r="G581" s="1"/>
    </row>
    <row r="582" spans="7:7" ht="15.75" customHeight="1" x14ac:dyDescent="0.2">
      <c r="G582" s="1"/>
    </row>
    <row r="583" spans="7:7" ht="15.75" customHeight="1" x14ac:dyDescent="0.2">
      <c r="G583" s="1"/>
    </row>
    <row r="584" spans="7:7" ht="15.75" customHeight="1" x14ac:dyDescent="0.2">
      <c r="G584" s="1"/>
    </row>
    <row r="585" spans="7:7" ht="15.75" customHeight="1" x14ac:dyDescent="0.2">
      <c r="G585" s="1"/>
    </row>
    <row r="586" spans="7:7" ht="15.75" customHeight="1" x14ac:dyDescent="0.2">
      <c r="G586" s="1"/>
    </row>
    <row r="587" spans="7:7" ht="15.75" customHeight="1" x14ac:dyDescent="0.2">
      <c r="G587" s="1"/>
    </row>
    <row r="588" spans="7:7" ht="15.75" customHeight="1" x14ac:dyDescent="0.2">
      <c r="G588" s="1"/>
    </row>
    <row r="589" spans="7:7" ht="15.75" customHeight="1" x14ac:dyDescent="0.2">
      <c r="G589" s="1"/>
    </row>
    <row r="590" spans="7:7" ht="15.75" customHeight="1" x14ac:dyDescent="0.2">
      <c r="G590" s="1"/>
    </row>
    <row r="591" spans="7:7" ht="15.75" customHeight="1" x14ac:dyDescent="0.2">
      <c r="G591" s="1"/>
    </row>
    <row r="592" spans="7:7" ht="15.75" customHeight="1" x14ac:dyDescent="0.2">
      <c r="G592" s="1"/>
    </row>
    <row r="593" spans="7:7" ht="15.75" customHeight="1" x14ac:dyDescent="0.2">
      <c r="G593" s="1"/>
    </row>
    <row r="594" spans="7:7" ht="15.75" customHeight="1" x14ac:dyDescent="0.2">
      <c r="G594" s="1"/>
    </row>
    <row r="595" spans="7:7" ht="15.75" customHeight="1" x14ac:dyDescent="0.2">
      <c r="G595" s="1"/>
    </row>
    <row r="596" spans="7:7" ht="15.75" customHeight="1" x14ac:dyDescent="0.2">
      <c r="G596" s="1"/>
    </row>
    <row r="597" spans="7:7" ht="15.75" customHeight="1" x14ac:dyDescent="0.2">
      <c r="G597" s="1"/>
    </row>
    <row r="598" spans="7:7" ht="15.75" customHeight="1" x14ac:dyDescent="0.2">
      <c r="G598" s="1"/>
    </row>
    <row r="599" spans="7:7" ht="15.75" customHeight="1" x14ac:dyDescent="0.2">
      <c r="G599" s="1"/>
    </row>
    <row r="600" spans="7:7" ht="15.75" customHeight="1" x14ac:dyDescent="0.2">
      <c r="G600" s="1"/>
    </row>
    <row r="601" spans="7:7" ht="15.75" customHeight="1" x14ac:dyDescent="0.2">
      <c r="G601" s="1"/>
    </row>
    <row r="602" spans="7:7" ht="15.75" customHeight="1" x14ac:dyDescent="0.2">
      <c r="G602" s="1"/>
    </row>
    <row r="603" spans="7:7" ht="15.75" customHeight="1" x14ac:dyDescent="0.2">
      <c r="G603" s="1"/>
    </row>
    <row r="604" spans="7:7" ht="15.75" customHeight="1" x14ac:dyDescent="0.2">
      <c r="G604" s="1"/>
    </row>
    <row r="605" spans="7:7" ht="15.75" customHeight="1" x14ac:dyDescent="0.2">
      <c r="G605" s="1"/>
    </row>
    <row r="606" spans="7:7" ht="15.75" customHeight="1" x14ac:dyDescent="0.2">
      <c r="G606" s="1"/>
    </row>
    <row r="607" spans="7:7" ht="15.75" customHeight="1" x14ac:dyDescent="0.2">
      <c r="G607" s="1"/>
    </row>
    <row r="608" spans="7:7" ht="15.75" customHeight="1" x14ac:dyDescent="0.2">
      <c r="G608" s="1"/>
    </row>
    <row r="609" spans="7:7" ht="15.75" customHeight="1" x14ac:dyDescent="0.2">
      <c r="G609" s="1"/>
    </row>
    <row r="610" spans="7:7" ht="15.75" customHeight="1" x14ac:dyDescent="0.2">
      <c r="G610" s="1"/>
    </row>
    <row r="611" spans="7:7" ht="15.75" customHeight="1" x14ac:dyDescent="0.2">
      <c r="G611" s="1"/>
    </row>
    <row r="612" spans="7:7" ht="15.75" customHeight="1" x14ac:dyDescent="0.2">
      <c r="G612" s="1"/>
    </row>
    <row r="613" spans="7:7" ht="15.75" customHeight="1" x14ac:dyDescent="0.2">
      <c r="G613" s="1"/>
    </row>
    <row r="614" spans="7:7" ht="15.75" customHeight="1" x14ac:dyDescent="0.2">
      <c r="G614" s="1"/>
    </row>
    <row r="615" spans="7:7" ht="15.75" customHeight="1" x14ac:dyDescent="0.2">
      <c r="G615" s="1"/>
    </row>
    <row r="616" spans="7:7" ht="15.75" customHeight="1" x14ac:dyDescent="0.2">
      <c r="G616" s="1"/>
    </row>
    <row r="617" spans="7:7" ht="15.75" customHeight="1" x14ac:dyDescent="0.2">
      <c r="G617" s="1"/>
    </row>
    <row r="618" spans="7:7" ht="15.75" customHeight="1" x14ac:dyDescent="0.2">
      <c r="G618" s="1"/>
    </row>
    <row r="619" spans="7:7" ht="15.75" customHeight="1" x14ac:dyDescent="0.2">
      <c r="G619" s="1"/>
    </row>
    <row r="620" spans="7:7" ht="15.75" customHeight="1" x14ac:dyDescent="0.2">
      <c r="G620" s="1"/>
    </row>
    <row r="621" spans="7:7" ht="15.75" customHeight="1" x14ac:dyDescent="0.2">
      <c r="G621" s="1"/>
    </row>
    <row r="622" spans="7:7" ht="15.75" customHeight="1" x14ac:dyDescent="0.2">
      <c r="G622" s="1"/>
    </row>
    <row r="623" spans="7:7" ht="15.75" customHeight="1" x14ac:dyDescent="0.2">
      <c r="G623" s="1"/>
    </row>
    <row r="624" spans="7:7" ht="15.75" customHeight="1" x14ac:dyDescent="0.2">
      <c r="G624" s="1"/>
    </row>
    <row r="625" spans="7:7" ht="15.75" customHeight="1" x14ac:dyDescent="0.2">
      <c r="G625" s="1"/>
    </row>
    <row r="626" spans="7:7" ht="15.75" customHeight="1" x14ac:dyDescent="0.2">
      <c r="G626" s="1"/>
    </row>
    <row r="627" spans="7:7" ht="15.75" customHeight="1" x14ac:dyDescent="0.2">
      <c r="G627" s="1"/>
    </row>
    <row r="628" spans="7:7" ht="15.75" customHeight="1" x14ac:dyDescent="0.2">
      <c r="G628" s="1"/>
    </row>
    <row r="629" spans="7:7" ht="15.75" customHeight="1" x14ac:dyDescent="0.2">
      <c r="G629" s="1"/>
    </row>
    <row r="630" spans="7:7" ht="15.75" customHeight="1" x14ac:dyDescent="0.2">
      <c r="G630" s="1"/>
    </row>
    <row r="631" spans="7:7" ht="15.75" customHeight="1" x14ac:dyDescent="0.2">
      <c r="G631" s="1"/>
    </row>
    <row r="632" spans="7:7" ht="15.75" customHeight="1" x14ac:dyDescent="0.2">
      <c r="G632" s="1"/>
    </row>
    <row r="633" spans="7:7" ht="15.75" customHeight="1" x14ac:dyDescent="0.2">
      <c r="G633" s="1"/>
    </row>
    <row r="634" spans="7:7" ht="15.75" customHeight="1" x14ac:dyDescent="0.2">
      <c r="G634" s="1"/>
    </row>
    <row r="635" spans="7:7" ht="15.75" customHeight="1" x14ac:dyDescent="0.2">
      <c r="G635" s="1"/>
    </row>
    <row r="636" spans="7:7" ht="15.75" customHeight="1" x14ac:dyDescent="0.2">
      <c r="G636" s="1"/>
    </row>
    <row r="637" spans="7:7" ht="15.75" customHeight="1" x14ac:dyDescent="0.2">
      <c r="G637" s="1"/>
    </row>
    <row r="638" spans="7:7" ht="15.75" customHeight="1" x14ac:dyDescent="0.2">
      <c r="G638" s="1"/>
    </row>
    <row r="639" spans="7:7" ht="15.75" customHeight="1" x14ac:dyDescent="0.2">
      <c r="G639" s="1"/>
    </row>
    <row r="640" spans="7:7" ht="15.75" customHeight="1" x14ac:dyDescent="0.2">
      <c r="G640" s="1"/>
    </row>
    <row r="641" spans="7:7" ht="15.75" customHeight="1" x14ac:dyDescent="0.2">
      <c r="G641" s="1"/>
    </row>
    <row r="642" spans="7:7" ht="15.75" customHeight="1" x14ac:dyDescent="0.2">
      <c r="G642" s="1"/>
    </row>
    <row r="643" spans="7:7" ht="15.75" customHeight="1" x14ac:dyDescent="0.2">
      <c r="G643" s="1"/>
    </row>
    <row r="644" spans="7:7" ht="15.75" customHeight="1" x14ac:dyDescent="0.2">
      <c r="G644" s="1"/>
    </row>
    <row r="645" spans="7:7" ht="15.75" customHeight="1" x14ac:dyDescent="0.2">
      <c r="G645" s="1"/>
    </row>
    <row r="646" spans="7:7" ht="15.75" customHeight="1" x14ac:dyDescent="0.2">
      <c r="G646" s="1"/>
    </row>
    <row r="647" spans="7:7" ht="15.75" customHeight="1" x14ac:dyDescent="0.2">
      <c r="G647" s="1"/>
    </row>
    <row r="648" spans="7:7" ht="15.75" customHeight="1" x14ac:dyDescent="0.2">
      <c r="G648" s="1"/>
    </row>
    <row r="649" spans="7:7" ht="15.75" customHeight="1" x14ac:dyDescent="0.2">
      <c r="G649" s="1"/>
    </row>
    <row r="650" spans="7:7" ht="15.75" customHeight="1" x14ac:dyDescent="0.2">
      <c r="G650" s="1"/>
    </row>
    <row r="651" spans="7:7" ht="15.75" customHeight="1" x14ac:dyDescent="0.2">
      <c r="G651" s="1"/>
    </row>
    <row r="652" spans="7:7" ht="15.75" customHeight="1" x14ac:dyDescent="0.2">
      <c r="G652" s="1"/>
    </row>
    <row r="653" spans="7:7" ht="15.75" customHeight="1" x14ac:dyDescent="0.2">
      <c r="G653" s="1"/>
    </row>
    <row r="654" spans="7:7" ht="15.75" customHeight="1" x14ac:dyDescent="0.2">
      <c r="G654" s="1"/>
    </row>
    <row r="655" spans="7:7" ht="15.75" customHeight="1" x14ac:dyDescent="0.2">
      <c r="G655" s="1"/>
    </row>
    <row r="656" spans="7:7" ht="15.75" customHeight="1" x14ac:dyDescent="0.2">
      <c r="G656" s="1"/>
    </row>
    <row r="657" spans="7:7" ht="15.75" customHeight="1" x14ac:dyDescent="0.2">
      <c r="G657" s="1"/>
    </row>
    <row r="658" spans="7:7" ht="15.75" customHeight="1" x14ac:dyDescent="0.2">
      <c r="G658" s="1"/>
    </row>
    <row r="659" spans="7:7" ht="15.75" customHeight="1" x14ac:dyDescent="0.2">
      <c r="G659" s="1"/>
    </row>
    <row r="660" spans="7:7" ht="15.75" customHeight="1" x14ac:dyDescent="0.2">
      <c r="G660" s="1"/>
    </row>
    <row r="661" spans="7:7" ht="15.75" customHeight="1" x14ac:dyDescent="0.2">
      <c r="G661" s="1"/>
    </row>
    <row r="662" spans="7:7" ht="15.75" customHeight="1" x14ac:dyDescent="0.2">
      <c r="G662" s="1"/>
    </row>
    <row r="663" spans="7:7" ht="15.75" customHeight="1" x14ac:dyDescent="0.2">
      <c r="G663" s="1"/>
    </row>
    <row r="664" spans="7:7" ht="15.75" customHeight="1" x14ac:dyDescent="0.2">
      <c r="G664" s="1"/>
    </row>
    <row r="665" spans="7:7" ht="15.75" customHeight="1" x14ac:dyDescent="0.2">
      <c r="G665" s="1"/>
    </row>
    <row r="666" spans="7:7" ht="15.75" customHeight="1" x14ac:dyDescent="0.2">
      <c r="G666" s="1"/>
    </row>
    <row r="667" spans="7:7" ht="15.75" customHeight="1" x14ac:dyDescent="0.2">
      <c r="G667" s="1"/>
    </row>
    <row r="668" spans="7:7" ht="15.75" customHeight="1" x14ac:dyDescent="0.2">
      <c r="G668" s="1"/>
    </row>
    <row r="669" spans="7:7" ht="15.75" customHeight="1" x14ac:dyDescent="0.2">
      <c r="G669" s="1"/>
    </row>
    <row r="670" spans="7:7" ht="15.75" customHeight="1" x14ac:dyDescent="0.2">
      <c r="G670" s="1"/>
    </row>
    <row r="671" spans="7:7" ht="15.75" customHeight="1" x14ac:dyDescent="0.2">
      <c r="G671" s="1"/>
    </row>
    <row r="672" spans="7:7" ht="15.75" customHeight="1" x14ac:dyDescent="0.2">
      <c r="G672" s="1"/>
    </row>
    <row r="673" spans="7:7" ht="15.75" customHeight="1" x14ac:dyDescent="0.2">
      <c r="G673" s="1"/>
    </row>
    <row r="674" spans="7:7" ht="15.75" customHeight="1" x14ac:dyDescent="0.2">
      <c r="G674" s="1"/>
    </row>
    <row r="675" spans="7:7" ht="15.75" customHeight="1" x14ac:dyDescent="0.2">
      <c r="G675" s="1"/>
    </row>
    <row r="676" spans="7:7" ht="15.75" customHeight="1" x14ac:dyDescent="0.2">
      <c r="G676" s="1"/>
    </row>
    <row r="677" spans="7:7" ht="15.75" customHeight="1" x14ac:dyDescent="0.2">
      <c r="G677" s="1"/>
    </row>
    <row r="678" spans="7:7" ht="15.75" customHeight="1" x14ac:dyDescent="0.2">
      <c r="G678" s="1"/>
    </row>
    <row r="679" spans="7:7" ht="15.75" customHeight="1" x14ac:dyDescent="0.2">
      <c r="G679" s="1"/>
    </row>
    <row r="680" spans="7:7" ht="15.75" customHeight="1" x14ac:dyDescent="0.2">
      <c r="G680" s="1"/>
    </row>
    <row r="681" spans="7:7" ht="15.75" customHeight="1" x14ac:dyDescent="0.2">
      <c r="G681" s="1"/>
    </row>
    <row r="682" spans="7:7" ht="15.75" customHeight="1" x14ac:dyDescent="0.2">
      <c r="G682" s="1"/>
    </row>
    <row r="683" spans="7:7" ht="15.75" customHeight="1" x14ac:dyDescent="0.2">
      <c r="G683" s="1"/>
    </row>
    <row r="684" spans="7:7" ht="15.75" customHeight="1" x14ac:dyDescent="0.2">
      <c r="G684" s="1"/>
    </row>
    <row r="685" spans="7:7" ht="15.75" customHeight="1" x14ac:dyDescent="0.2">
      <c r="G685" s="1"/>
    </row>
    <row r="686" spans="7:7" ht="15.75" customHeight="1" x14ac:dyDescent="0.2">
      <c r="G686" s="1"/>
    </row>
    <row r="687" spans="7:7" ht="15.75" customHeight="1" x14ac:dyDescent="0.2">
      <c r="G687" s="1"/>
    </row>
    <row r="688" spans="7:7" ht="15.75" customHeight="1" x14ac:dyDescent="0.2">
      <c r="G688" s="1"/>
    </row>
    <row r="689" spans="7:7" ht="15.75" customHeight="1" x14ac:dyDescent="0.2">
      <c r="G689" s="1"/>
    </row>
    <row r="690" spans="7:7" ht="15.75" customHeight="1" x14ac:dyDescent="0.2">
      <c r="G690" s="1"/>
    </row>
    <row r="691" spans="7:7" ht="15.75" customHeight="1" x14ac:dyDescent="0.2">
      <c r="G691" s="1"/>
    </row>
    <row r="692" spans="7:7" ht="15.75" customHeight="1" x14ac:dyDescent="0.2">
      <c r="G692" s="1"/>
    </row>
    <row r="693" spans="7:7" ht="15.75" customHeight="1" x14ac:dyDescent="0.2">
      <c r="G693" s="1"/>
    </row>
    <row r="694" spans="7:7" ht="15.75" customHeight="1" x14ac:dyDescent="0.2">
      <c r="G694" s="1"/>
    </row>
    <row r="695" spans="7:7" ht="15.75" customHeight="1" x14ac:dyDescent="0.2">
      <c r="G695" s="1"/>
    </row>
    <row r="696" spans="7:7" ht="15.75" customHeight="1" x14ac:dyDescent="0.2">
      <c r="G696" s="1"/>
    </row>
    <row r="697" spans="7:7" ht="15.75" customHeight="1" x14ac:dyDescent="0.2">
      <c r="G697" s="1"/>
    </row>
    <row r="698" spans="7:7" ht="15.75" customHeight="1" x14ac:dyDescent="0.2">
      <c r="G698" s="1"/>
    </row>
    <row r="699" spans="7:7" ht="15.75" customHeight="1" x14ac:dyDescent="0.2">
      <c r="G699" s="1"/>
    </row>
    <row r="700" spans="7:7" ht="15.75" customHeight="1" x14ac:dyDescent="0.2">
      <c r="G700" s="1"/>
    </row>
    <row r="701" spans="7:7" ht="15.75" customHeight="1" x14ac:dyDescent="0.2">
      <c r="G701" s="1"/>
    </row>
    <row r="702" spans="7:7" ht="15.75" customHeight="1" x14ac:dyDescent="0.2">
      <c r="G702" s="1"/>
    </row>
    <row r="703" spans="7:7" ht="15.75" customHeight="1" x14ac:dyDescent="0.2">
      <c r="G703" s="1"/>
    </row>
    <row r="704" spans="7:7" ht="15.75" customHeight="1" x14ac:dyDescent="0.2">
      <c r="G704" s="1"/>
    </row>
    <row r="705" spans="7:7" ht="15.75" customHeight="1" x14ac:dyDescent="0.2">
      <c r="G705" s="1"/>
    </row>
    <row r="706" spans="7:7" ht="15.75" customHeight="1" x14ac:dyDescent="0.2">
      <c r="G706" s="1"/>
    </row>
    <row r="707" spans="7:7" ht="15.75" customHeight="1" x14ac:dyDescent="0.2">
      <c r="G707" s="1"/>
    </row>
    <row r="708" spans="7:7" ht="15.75" customHeight="1" x14ac:dyDescent="0.2">
      <c r="G708" s="1"/>
    </row>
    <row r="709" spans="7:7" ht="15.75" customHeight="1" x14ac:dyDescent="0.2">
      <c r="G709" s="1"/>
    </row>
    <row r="710" spans="7:7" ht="15.75" customHeight="1" x14ac:dyDescent="0.2">
      <c r="G710" s="1"/>
    </row>
    <row r="711" spans="7:7" ht="15.75" customHeight="1" x14ac:dyDescent="0.2">
      <c r="G711" s="1"/>
    </row>
    <row r="712" spans="7:7" ht="15.75" customHeight="1" x14ac:dyDescent="0.2">
      <c r="G712" s="1"/>
    </row>
    <row r="713" spans="7:7" ht="15.75" customHeight="1" x14ac:dyDescent="0.2">
      <c r="G713" s="1"/>
    </row>
    <row r="714" spans="7:7" ht="15.75" customHeight="1" x14ac:dyDescent="0.2">
      <c r="G714" s="1"/>
    </row>
    <row r="715" spans="7:7" ht="15.75" customHeight="1" x14ac:dyDescent="0.2">
      <c r="G715" s="1"/>
    </row>
    <row r="716" spans="7:7" ht="15.75" customHeight="1" x14ac:dyDescent="0.2">
      <c r="G716" s="1"/>
    </row>
    <row r="717" spans="7:7" ht="15.75" customHeight="1" x14ac:dyDescent="0.2">
      <c r="G717" s="1"/>
    </row>
    <row r="718" spans="7:7" ht="15.75" customHeight="1" x14ac:dyDescent="0.2">
      <c r="G718" s="1"/>
    </row>
    <row r="719" spans="7:7" ht="15.75" customHeight="1" x14ac:dyDescent="0.2">
      <c r="G719" s="1"/>
    </row>
    <row r="720" spans="7:7" ht="15.75" customHeight="1" x14ac:dyDescent="0.2">
      <c r="G720" s="1"/>
    </row>
    <row r="721" spans="7:7" ht="15.75" customHeight="1" x14ac:dyDescent="0.2">
      <c r="G721" s="1"/>
    </row>
    <row r="722" spans="7:7" ht="15.75" customHeight="1" x14ac:dyDescent="0.2">
      <c r="G722" s="1"/>
    </row>
    <row r="723" spans="7:7" ht="15.75" customHeight="1" x14ac:dyDescent="0.2">
      <c r="G723" s="1"/>
    </row>
    <row r="724" spans="7:7" ht="15.75" customHeight="1" x14ac:dyDescent="0.2">
      <c r="G724" s="1"/>
    </row>
    <row r="725" spans="7:7" ht="15.75" customHeight="1" x14ac:dyDescent="0.2">
      <c r="G725" s="1"/>
    </row>
    <row r="726" spans="7:7" ht="15.75" customHeight="1" x14ac:dyDescent="0.2">
      <c r="G726" s="1"/>
    </row>
    <row r="727" spans="7:7" ht="15.75" customHeight="1" x14ac:dyDescent="0.2">
      <c r="G727" s="1"/>
    </row>
    <row r="728" spans="7:7" ht="15.75" customHeight="1" x14ac:dyDescent="0.2">
      <c r="G728" s="1"/>
    </row>
    <row r="729" spans="7:7" ht="15.75" customHeight="1" x14ac:dyDescent="0.2">
      <c r="G729" s="1"/>
    </row>
    <row r="730" spans="7:7" ht="15.75" customHeight="1" x14ac:dyDescent="0.2">
      <c r="G730" s="1"/>
    </row>
    <row r="731" spans="7:7" ht="15.75" customHeight="1" x14ac:dyDescent="0.2">
      <c r="G731" s="1"/>
    </row>
    <row r="732" spans="7:7" ht="15.75" customHeight="1" x14ac:dyDescent="0.2">
      <c r="G732" s="1"/>
    </row>
    <row r="733" spans="7:7" ht="15.75" customHeight="1" x14ac:dyDescent="0.2">
      <c r="G733" s="1"/>
    </row>
    <row r="734" spans="7:7" ht="15.75" customHeight="1" x14ac:dyDescent="0.2">
      <c r="G734" s="1"/>
    </row>
    <row r="735" spans="7:7" ht="15.75" customHeight="1" x14ac:dyDescent="0.2">
      <c r="G735" s="1"/>
    </row>
    <row r="736" spans="7:7" ht="15.75" customHeight="1" x14ac:dyDescent="0.2">
      <c r="G736" s="1"/>
    </row>
    <row r="737" spans="7:7" ht="15.75" customHeight="1" x14ac:dyDescent="0.2">
      <c r="G737" s="1"/>
    </row>
    <row r="738" spans="7:7" ht="15.75" customHeight="1" x14ac:dyDescent="0.2">
      <c r="G738" s="1"/>
    </row>
    <row r="739" spans="7:7" ht="15.75" customHeight="1" x14ac:dyDescent="0.2">
      <c r="G739" s="1"/>
    </row>
    <row r="740" spans="7:7" ht="15.75" customHeight="1" x14ac:dyDescent="0.2">
      <c r="G740" s="1"/>
    </row>
    <row r="741" spans="7:7" ht="15.75" customHeight="1" x14ac:dyDescent="0.2">
      <c r="G741" s="1"/>
    </row>
    <row r="742" spans="7:7" ht="15.75" customHeight="1" x14ac:dyDescent="0.2">
      <c r="G742" s="1"/>
    </row>
    <row r="743" spans="7:7" ht="15.75" customHeight="1" x14ac:dyDescent="0.2">
      <c r="G743" s="1"/>
    </row>
    <row r="744" spans="7:7" ht="15.75" customHeight="1" x14ac:dyDescent="0.2">
      <c r="G744" s="1"/>
    </row>
    <row r="745" spans="7:7" ht="15.75" customHeight="1" x14ac:dyDescent="0.2">
      <c r="G745" s="1"/>
    </row>
    <row r="746" spans="7:7" ht="15.75" customHeight="1" x14ac:dyDescent="0.2">
      <c r="G746" s="1"/>
    </row>
    <row r="747" spans="7:7" ht="15.75" customHeight="1" x14ac:dyDescent="0.2">
      <c r="G747" s="1"/>
    </row>
    <row r="748" spans="7:7" ht="15.75" customHeight="1" x14ac:dyDescent="0.2">
      <c r="G748" s="1"/>
    </row>
    <row r="749" spans="7:7" ht="15.75" customHeight="1" x14ac:dyDescent="0.2">
      <c r="G749" s="1"/>
    </row>
    <row r="750" spans="7:7" ht="15.75" customHeight="1" x14ac:dyDescent="0.2">
      <c r="G750" s="1"/>
    </row>
    <row r="751" spans="7:7" ht="15.75" customHeight="1" x14ac:dyDescent="0.2">
      <c r="G751" s="1"/>
    </row>
    <row r="752" spans="7:7" ht="15.75" customHeight="1" x14ac:dyDescent="0.2">
      <c r="G752" s="1"/>
    </row>
    <row r="753" spans="7:7" ht="15.75" customHeight="1" x14ac:dyDescent="0.2">
      <c r="G753" s="1"/>
    </row>
    <row r="754" spans="7:7" ht="15.75" customHeight="1" x14ac:dyDescent="0.2">
      <c r="G754" s="1"/>
    </row>
    <row r="755" spans="7:7" ht="15.75" customHeight="1" x14ac:dyDescent="0.2">
      <c r="G755" s="1"/>
    </row>
    <row r="756" spans="7:7" ht="15.75" customHeight="1" x14ac:dyDescent="0.2">
      <c r="G756" s="1"/>
    </row>
    <row r="757" spans="7:7" ht="15.75" customHeight="1" x14ac:dyDescent="0.2">
      <c r="G757" s="1"/>
    </row>
    <row r="758" spans="7:7" ht="15.75" customHeight="1" x14ac:dyDescent="0.2">
      <c r="G758" s="1"/>
    </row>
    <row r="759" spans="7:7" ht="15.75" customHeight="1" x14ac:dyDescent="0.2">
      <c r="G759" s="1"/>
    </row>
    <row r="760" spans="7:7" ht="15.75" customHeight="1" x14ac:dyDescent="0.2">
      <c r="G760" s="1"/>
    </row>
    <row r="761" spans="7:7" ht="15.75" customHeight="1" x14ac:dyDescent="0.2">
      <c r="G761" s="1"/>
    </row>
    <row r="762" spans="7:7" ht="15.75" customHeight="1" x14ac:dyDescent="0.2">
      <c r="G762" s="1"/>
    </row>
    <row r="763" spans="7:7" ht="15.75" customHeight="1" x14ac:dyDescent="0.2">
      <c r="G763" s="1"/>
    </row>
    <row r="764" spans="7:7" ht="15.75" customHeight="1" x14ac:dyDescent="0.2">
      <c r="G764" s="1"/>
    </row>
    <row r="765" spans="7:7" ht="15.75" customHeight="1" x14ac:dyDescent="0.2">
      <c r="G765" s="1"/>
    </row>
    <row r="766" spans="7:7" ht="15.75" customHeight="1" x14ac:dyDescent="0.2">
      <c r="G766" s="1"/>
    </row>
    <row r="767" spans="7:7" ht="15.75" customHeight="1" x14ac:dyDescent="0.2">
      <c r="G767" s="1"/>
    </row>
    <row r="768" spans="7:7" ht="15.75" customHeight="1" x14ac:dyDescent="0.2">
      <c r="G768" s="1"/>
    </row>
    <row r="769" spans="7:7" ht="15.75" customHeight="1" x14ac:dyDescent="0.2">
      <c r="G769" s="1"/>
    </row>
    <row r="770" spans="7:7" ht="15.75" customHeight="1" x14ac:dyDescent="0.2">
      <c r="G770" s="1"/>
    </row>
    <row r="771" spans="7:7" ht="15.75" customHeight="1" x14ac:dyDescent="0.2">
      <c r="G771" s="1"/>
    </row>
    <row r="772" spans="7:7" ht="15.75" customHeight="1" x14ac:dyDescent="0.2">
      <c r="G772" s="1"/>
    </row>
    <row r="773" spans="7:7" ht="15.75" customHeight="1" x14ac:dyDescent="0.2">
      <c r="G773" s="1"/>
    </row>
    <row r="774" spans="7:7" ht="15.75" customHeight="1" x14ac:dyDescent="0.2">
      <c r="G774" s="1"/>
    </row>
    <row r="775" spans="7:7" ht="15.75" customHeight="1" x14ac:dyDescent="0.2">
      <c r="G775" s="1"/>
    </row>
    <row r="776" spans="7:7" ht="15.75" customHeight="1" x14ac:dyDescent="0.2">
      <c r="G776" s="1"/>
    </row>
    <row r="777" spans="7:7" ht="15.75" customHeight="1" x14ac:dyDescent="0.2">
      <c r="G777" s="1"/>
    </row>
    <row r="778" spans="7:7" ht="15.75" customHeight="1" x14ac:dyDescent="0.2">
      <c r="G778" s="1"/>
    </row>
    <row r="779" spans="7:7" ht="15.75" customHeight="1" x14ac:dyDescent="0.2">
      <c r="G779" s="1"/>
    </row>
    <row r="780" spans="7:7" ht="15.75" customHeight="1" x14ac:dyDescent="0.2">
      <c r="G780" s="1"/>
    </row>
    <row r="781" spans="7:7" ht="15.75" customHeight="1" x14ac:dyDescent="0.2">
      <c r="G781" s="1"/>
    </row>
    <row r="782" spans="7:7" ht="15.75" customHeight="1" x14ac:dyDescent="0.2">
      <c r="G782" s="1"/>
    </row>
    <row r="783" spans="7:7" ht="15.75" customHeight="1" x14ac:dyDescent="0.2">
      <c r="G783" s="1"/>
    </row>
    <row r="784" spans="7:7" ht="15.75" customHeight="1" x14ac:dyDescent="0.2">
      <c r="G784" s="1"/>
    </row>
    <row r="785" spans="7:7" ht="15.75" customHeight="1" x14ac:dyDescent="0.2">
      <c r="G785" s="1"/>
    </row>
    <row r="786" spans="7:7" ht="15.75" customHeight="1" x14ac:dyDescent="0.2">
      <c r="G786" s="1"/>
    </row>
    <row r="787" spans="7:7" ht="15.75" customHeight="1" x14ac:dyDescent="0.2">
      <c r="G787" s="1"/>
    </row>
    <row r="788" spans="7:7" ht="15.75" customHeight="1" x14ac:dyDescent="0.2">
      <c r="G788" s="1"/>
    </row>
    <row r="789" spans="7:7" ht="15.75" customHeight="1" x14ac:dyDescent="0.2">
      <c r="G789" s="1"/>
    </row>
    <row r="790" spans="7:7" ht="15.75" customHeight="1" x14ac:dyDescent="0.2">
      <c r="G790" s="1"/>
    </row>
    <row r="791" spans="7:7" ht="15.75" customHeight="1" x14ac:dyDescent="0.2">
      <c r="G791" s="1"/>
    </row>
    <row r="792" spans="7:7" ht="15.75" customHeight="1" x14ac:dyDescent="0.2">
      <c r="G792" s="1"/>
    </row>
    <row r="793" spans="7:7" ht="15.75" customHeight="1" x14ac:dyDescent="0.2">
      <c r="G793" s="1"/>
    </row>
    <row r="794" spans="7:7" ht="15.75" customHeight="1" x14ac:dyDescent="0.2">
      <c r="G794" s="1"/>
    </row>
    <row r="795" spans="7:7" ht="15.75" customHeight="1" x14ac:dyDescent="0.2">
      <c r="G795" s="1"/>
    </row>
    <row r="796" spans="7:7" ht="15.75" customHeight="1" x14ac:dyDescent="0.2">
      <c r="G796" s="1"/>
    </row>
    <row r="797" spans="7:7" ht="15.75" customHeight="1" x14ac:dyDescent="0.2">
      <c r="G797" s="1"/>
    </row>
    <row r="798" spans="7:7" ht="15.75" customHeight="1" x14ac:dyDescent="0.2">
      <c r="G798" s="1"/>
    </row>
    <row r="799" spans="7:7" ht="15.75" customHeight="1" x14ac:dyDescent="0.2">
      <c r="G799" s="1"/>
    </row>
    <row r="800" spans="7:7" ht="15.75" customHeight="1" x14ac:dyDescent="0.2">
      <c r="G800" s="1"/>
    </row>
    <row r="801" spans="7:7" ht="15.75" customHeight="1" x14ac:dyDescent="0.2">
      <c r="G801" s="1"/>
    </row>
    <row r="802" spans="7:7" ht="15.75" customHeight="1" x14ac:dyDescent="0.2">
      <c r="G802" s="1"/>
    </row>
    <row r="803" spans="7:7" ht="15.75" customHeight="1" x14ac:dyDescent="0.2">
      <c r="G803" s="1"/>
    </row>
    <row r="804" spans="7:7" ht="15.75" customHeight="1" x14ac:dyDescent="0.2">
      <c r="G804" s="1"/>
    </row>
    <row r="805" spans="7:7" ht="15.75" customHeight="1" x14ac:dyDescent="0.2">
      <c r="G805" s="1"/>
    </row>
    <row r="806" spans="7:7" ht="15.75" customHeight="1" x14ac:dyDescent="0.2">
      <c r="G806" s="1"/>
    </row>
    <row r="807" spans="7:7" ht="15.75" customHeight="1" x14ac:dyDescent="0.2">
      <c r="G807" s="1"/>
    </row>
    <row r="808" spans="7:7" ht="15.75" customHeight="1" x14ac:dyDescent="0.2">
      <c r="G808" s="1"/>
    </row>
    <row r="809" spans="7:7" ht="15.75" customHeight="1" x14ac:dyDescent="0.2">
      <c r="G809" s="1"/>
    </row>
    <row r="810" spans="7:7" ht="15.75" customHeight="1" x14ac:dyDescent="0.2">
      <c r="G810" s="1"/>
    </row>
    <row r="811" spans="7:7" ht="15.75" customHeight="1" x14ac:dyDescent="0.2">
      <c r="G811" s="1"/>
    </row>
    <row r="812" spans="7:7" ht="15.75" customHeight="1" x14ac:dyDescent="0.2">
      <c r="G812" s="1"/>
    </row>
    <row r="813" spans="7:7" ht="15.75" customHeight="1" x14ac:dyDescent="0.2">
      <c r="G813" s="1"/>
    </row>
    <row r="814" spans="7:7" ht="15.75" customHeight="1" x14ac:dyDescent="0.2">
      <c r="G814" s="1"/>
    </row>
    <row r="815" spans="7:7" ht="15.75" customHeight="1" x14ac:dyDescent="0.2">
      <c r="G815" s="1"/>
    </row>
    <row r="816" spans="7:7" ht="15.75" customHeight="1" x14ac:dyDescent="0.2">
      <c r="G816" s="1"/>
    </row>
    <row r="817" spans="7:7" ht="15.75" customHeight="1" x14ac:dyDescent="0.2">
      <c r="G817" s="1"/>
    </row>
    <row r="818" spans="7:7" ht="15.75" customHeight="1" x14ac:dyDescent="0.2">
      <c r="G818" s="1"/>
    </row>
    <row r="819" spans="7:7" ht="15.75" customHeight="1" x14ac:dyDescent="0.2">
      <c r="G819" s="1"/>
    </row>
    <row r="820" spans="7:7" ht="15.75" customHeight="1" x14ac:dyDescent="0.2">
      <c r="G820" s="1"/>
    </row>
    <row r="821" spans="7:7" ht="15.75" customHeight="1" x14ac:dyDescent="0.2">
      <c r="G821" s="1"/>
    </row>
    <row r="822" spans="7:7" ht="15.75" customHeight="1" x14ac:dyDescent="0.2">
      <c r="G822" s="1"/>
    </row>
    <row r="823" spans="7:7" ht="15.75" customHeight="1" x14ac:dyDescent="0.2">
      <c r="G823" s="1"/>
    </row>
    <row r="824" spans="7:7" ht="15.75" customHeight="1" x14ac:dyDescent="0.2">
      <c r="G824" s="1"/>
    </row>
    <row r="825" spans="7:7" ht="15.75" customHeight="1" x14ac:dyDescent="0.2">
      <c r="G825" s="1"/>
    </row>
    <row r="826" spans="7:7" ht="15.75" customHeight="1" x14ac:dyDescent="0.2">
      <c r="G826" s="1"/>
    </row>
    <row r="827" spans="7:7" ht="15.75" customHeight="1" x14ac:dyDescent="0.2">
      <c r="G827" s="1"/>
    </row>
    <row r="828" spans="7:7" ht="15.75" customHeight="1" x14ac:dyDescent="0.2">
      <c r="G828" s="1"/>
    </row>
    <row r="829" spans="7:7" ht="15.75" customHeight="1" x14ac:dyDescent="0.2">
      <c r="G829" s="1"/>
    </row>
    <row r="830" spans="7:7" ht="15.75" customHeight="1" x14ac:dyDescent="0.2">
      <c r="G830" s="1"/>
    </row>
    <row r="831" spans="7:7" ht="15.75" customHeight="1" x14ac:dyDescent="0.2">
      <c r="G831" s="1"/>
    </row>
    <row r="832" spans="7:7" ht="15.75" customHeight="1" x14ac:dyDescent="0.2">
      <c r="G832" s="1"/>
    </row>
    <row r="833" spans="7:7" ht="15.75" customHeight="1" x14ac:dyDescent="0.2">
      <c r="G833" s="1"/>
    </row>
    <row r="834" spans="7:7" ht="15.75" customHeight="1" x14ac:dyDescent="0.2">
      <c r="G834" s="1"/>
    </row>
    <row r="835" spans="7:7" ht="15.75" customHeight="1" x14ac:dyDescent="0.2">
      <c r="G835" s="1"/>
    </row>
    <row r="836" spans="7:7" ht="15.75" customHeight="1" x14ac:dyDescent="0.2">
      <c r="G836" s="1"/>
    </row>
    <row r="837" spans="7:7" ht="15.75" customHeight="1" x14ac:dyDescent="0.2">
      <c r="G837" s="1"/>
    </row>
    <row r="838" spans="7:7" ht="15.75" customHeight="1" x14ac:dyDescent="0.2">
      <c r="G838" s="1"/>
    </row>
    <row r="839" spans="7:7" ht="15.75" customHeight="1" x14ac:dyDescent="0.2">
      <c r="G839" s="1"/>
    </row>
    <row r="840" spans="7:7" ht="15.75" customHeight="1" x14ac:dyDescent="0.2">
      <c r="G840" s="1"/>
    </row>
    <row r="841" spans="7:7" ht="15.75" customHeight="1" x14ac:dyDescent="0.2">
      <c r="G841" s="1"/>
    </row>
    <row r="842" spans="7:7" ht="15.75" customHeight="1" x14ac:dyDescent="0.2">
      <c r="G842" s="1"/>
    </row>
    <row r="843" spans="7:7" ht="15.75" customHeight="1" x14ac:dyDescent="0.2">
      <c r="G843" s="1"/>
    </row>
    <row r="844" spans="7:7" ht="15.75" customHeight="1" x14ac:dyDescent="0.2">
      <c r="G844" s="1"/>
    </row>
    <row r="845" spans="7:7" ht="15.75" customHeight="1" x14ac:dyDescent="0.2">
      <c r="G845" s="1"/>
    </row>
    <row r="846" spans="7:7" ht="15.75" customHeight="1" x14ac:dyDescent="0.2">
      <c r="G846" s="1"/>
    </row>
    <row r="847" spans="7:7" ht="15.75" customHeight="1" x14ac:dyDescent="0.2">
      <c r="G847" s="1"/>
    </row>
    <row r="848" spans="7:7" ht="15.75" customHeight="1" x14ac:dyDescent="0.2">
      <c r="G848" s="1"/>
    </row>
    <row r="849" spans="7:7" ht="15.75" customHeight="1" x14ac:dyDescent="0.2">
      <c r="G849" s="1"/>
    </row>
    <row r="850" spans="7:7" ht="15.75" customHeight="1" x14ac:dyDescent="0.2">
      <c r="G850" s="1"/>
    </row>
    <row r="851" spans="7:7" ht="15.75" customHeight="1" x14ac:dyDescent="0.2">
      <c r="G851" s="1"/>
    </row>
    <row r="852" spans="7:7" ht="15.75" customHeight="1" x14ac:dyDescent="0.2">
      <c r="G852" s="1"/>
    </row>
    <row r="853" spans="7:7" ht="15.75" customHeight="1" x14ac:dyDescent="0.2">
      <c r="G853" s="1"/>
    </row>
    <row r="854" spans="7:7" ht="15.75" customHeight="1" x14ac:dyDescent="0.2">
      <c r="G854" s="1"/>
    </row>
    <row r="855" spans="7:7" ht="15.75" customHeight="1" x14ac:dyDescent="0.2">
      <c r="G855" s="1"/>
    </row>
    <row r="856" spans="7:7" ht="15.75" customHeight="1" x14ac:dyDescent="0.2">
      <c r="G856" s="1"/>
    </row>
    <row r="857" spans="7:7" ht="15.75" customHeight="1" x14ac:dyDescent="0.2">
      <c r="G857" s="1"/>
    </row>
    <row r="858" spans="7:7" ht="15.75" customHeight="1" x14ac:dyDescent="0.2">
      <c r="G858" s="1"/>
    </row>
    <row r="859" spans="7:7" ht="15.75" customHeight="1" x14ac:dyDescent="0.2">
      <c r="G859" s="1"/>
    </row>
    <row r="860" spans="7:7" ht="15.75" customHeight="1" x14ac:dyDescent="0.2">
      <c r="G860" s="1"/>
    </row>
    <row r="861" spans="7:7" ht="15.75" customHeight="1" x14ac:dyDescent="0.2">
      <c r="G861" s="1"/>
    </row>
    <row r="862" spans="7:7" ht="15.75" customHeight="1" x14ac:dyDescent="0.2">
      <c r="G862" s="1"/>
    </row>
    <row r="863" spans="7:7" ht="15.75" customHeight="1" x14ac:dyDescent="0.2">
      <c r="G863" s="1"/>
    </row>
    <row r="864" spans="7:7" ht="15.75" customHeight="1" x14ac:dyDescent="0.2">
      <c r="G864" s="1"/>
    </row>
    <row r="865" spans="7:7" ht="15.75" customHeight="1" x14ac:dyDescent="0.2">
      <c r="G865" s="1"/>
    </row>
    <row r="866" spans="7:7" ht="15.75" customHeight="1" x14ac:dyDescent="0.2">
      <c r="G866" s="1"/>
    </row>
    <row r="867" spans="7:7" ht="15.75" customHeight="1" x14ac:dyDescent="0.2">
      <c r="G867" s="1"/>
    </row>
    <row r="868" spans="7:7" ht="15.75" customHeight="1" x14ac:dyDescent="0.2">
      <c r="G868" s="1"/>
    </row>
    <row r="869" spans="7:7" ht="15.75" customHeight="1" x14ac:dyDescent="0.2">
      <c r="G869" s="1"/>
    </row>
    <row r="870" spans="7:7" ht="15.75" customHeight="1" x14ac:dyDescent="0.2">
      <c r="G870" s="1"/>
    </row>
    <row r="871" spans="7:7" ht="15.75" customHeight="1" x14ac:dyDescent="0.2">
      <c r="G871" s="1"/>
    </row>
    <row r="872" spans="7:7" ht="15.75" customHeight="1" x14ac:dyDescent="0.2">
      <c r="G872" s="1"/>
    </row>
    <row r="873" spans="7:7" ht="15.75" customHeight="1" x14ac:dyDescent="0.2">
      <c r="G873" s="1"/>
    </row>
    <row r="874" spans="7:7" ht="15.75" customHeight="1" x14ac:dyDescent="0.2">
      <c r="G874" s="1"/>
    </row>
    <row r="875" spans="7:7" ht="15.75" customHeight="1" x14ac:dyDescent="0.2">
      <c r="G875" s="1"/>
    </row>
    <row r="876" spans="7:7" ht="15.75" customHeight="1" x14ac:dyDescent="0.2">
      <c r="G876" s="1"/>
    </row>
    <row r="877" spans="7:7" ht="15.75" customHeight="1" x14ac:dyDescent="0.2">
      <c r="G877" s="1"/>
    </row>
    <row r="878" spans="7:7" ht="15.75" customHeight="1" x14ac:dyDescent="0.2">
      <c r="G878" s="1"/>
    </row>
    <row r="879" spans="7:7" ht="15.75" customHeight="1" x14ac:dyDescent="0.2">
      <c r="G879" s="1"/>
    </row>
    <row r="880" spans="7:7" ht="15.75" customHeight="1" x14ac:dyDescent="0.2">
      <c r="G880" s="1"/>
    </row>
    <row r="881" spans="7:7" ht="15.75" customHeight="1" x14ac:dyDescent="0.2">
      <c r="G881" s="1"/>
    </row>
    <row r="882" spans="7:7" ht="15.75" customHeight="1" x14ac:dyDescent="0.2">
      <c r="G882" s="1"/>
    </row>
    <row r="883" spans="7:7" ht="15.75" customHeight="1" x14ac:dyDescent="0.2">
      <c r="G883" s="1"/>
    </row>
    <row r="884" spans="7:7" ht="15.75" customHeight="1" x14ac:dyDescent="0.2">
      <c r="G884" s="1"/>
    </row>
    <row r="885" spans="7:7" ht="15.75" customHeight="1" x14ac:dyDescent="0.2">
      <c r="G885" s="1"/>
    </row>
    <row r="886" spans="7:7" ht="15.75" customHeight="1" x14ac:dyDescent="0.2">
      <c r="G886" s="1"/>
    </row>
    <row r="887" spans="7:7" ht="15.75" customHeight="1" x14ac:dyDescent="0.2">
      <c r="G887" s="1"/>
    </row>
    <row r="888" spans="7:7" ht="15.75" customHeight="1" x14ac:dyDescent="0.2">
      <c r="G888" s="1"/>
    </row>
    <row r="889" spans="7:7" ht="15.75" customHeight="1" x14ac:dyDescent="0.2">
      <c r="G889" s="1"/>
    </row>
    <row r="890" spans="7:7" ht="15.75" customHeight="1" x14ac:dyDescent="0.2">
      <c r="G890" s="1"/>
    </row>
    <row r="891" spans="7:7" ht="15.75" customHeight="1" x14ac:dyDescent="0.2">
      <c r="G891" s="1"/>
    </row>
    <row r="892" spans="7:7" ht="15.75" customHeight="1" x14ac:dyDescent="0.2">
      <c r="G892" s="1"/>
    </row>
    <row r="893" spans="7:7" ht="15.75" customHeight="1" x14ac:dyDescent="0.2">
      <c r="G893" s="1"/>
    </row>
    <row r="894" spans="7:7" ht="15.75" customHeight="1" x14ac:dyDescent="0.2">
      <c r="G894" s="1"/>
    </row>
    <row r="895" spans="7:7" ht="15.75" customHeight="1" x14ac:dyDescent="0.2">
      <c r="G895" s="1"/>
    </row>
    <row r="896" spans="7:7" ht="15.75" customHeight="1" x14ac:dyDescent="0.2">
      <c r="G896" s="1"/>
    </row>
    <row r="897" spans="7:7" ht="15.75" customHeight="1" x14ac:dyDescent="0.2">
      <c r="G897" s="1"/>
    </row>
    <row r="898" spans="7:7" ht="15.75" customHeight="1" x14ac:dyDescent="0.2">
      <c r="G898" s="1"/>
    </row>
    <row r="899" spans="7:7" ht="15.75" customHeight="1" x14ac:dyDescent="0.2">
      <c r="G899" s="1"/>
    </row>
    <row r="900" spans="7:7" ht="15.75" customHeight="1" x14ac:dyDescent="0.2">
      <c r="G900" s="1"/>
    </row>
    <row r="901" spans="7:7" ht="15.75" customHeight="1" x14ac:dyDescent="0.2">
      <c r="G901" s="1"/>
    </row>
    <row r="902" spans="7:7" ht="15.75" customHeight="1" x14ac:dyDescent="0.2">
      <c r="G902" s="1"/>
    </row>
    <row r="903" spans="7:7" ht="15.75" customHeight="1" x14ac:dyDescent="0.2">
      <c r="G903" s="1"/>
    </row>
    <row r="904" spans="7:7" ht="15.75" customHeight="1" x14ac:dyDescent="0.2">
      <c r="G904" s="1"/>
    </row>
    <row r="905" spans="7:7" ht="15.75" customHeight="1" x14ac:dyDescent="0.2">
      <c r="G905" s="1"/>
    </row>
    <row r="906" spans="7:7" ht="15.75" customHeight="1" x14ac:dyDescent="0.2">
      <c r="G906" s="1"/>
    </row>
    <row r="907" spans="7:7" ht="15.75" customHeight="1" x14ac:dyDescent="0.2">
      <c r="G907" s="1"/>
    </row>
    <row r="908" spans="7:7" ht="15.75" customHeight="1" x14ac:dyDescent="0.2">
      <c r="G908" s="1"/>
    </row>
    <row r="909" spans="7:7" ht="15.75" customHeight="1" x14ac:dyDescent="0.2">
      <c r="G909" s="1"/>
    </row>
    <row r="910" spans="7:7" ht="15.75" customHeight="1" x14ac:dyDescent="0.2">
      <c r="G910" s="1"/>
    </row>
    <row r="911" spans="7:7" ht="15.75" customHeight="1" x14ac:dyDescent="0.2">
      <c r="G911" s="1"/>
    </row>
    <row r="912" spans="7:7" ht="15.75" customHeight="1" x14ac:dyDescent="0.2">
      <c r="G912" s="1"/>
    </row>
    <row r="913" spans="7:7" ht="15.75" customHeight="1" x14ac:dyDescent="0.2">
      <c r="G913" s="1"/>
    </row>
    <row r="914" spans="7:7" ht="15.75" customHeight="1" x14ac:dyDescent="0.2">
      <c r="G914" s="1"/>
    </row>
    <row r="915" spans="7:7" ht="15.75" customHeight="1" x14ac:dyDescent="0.2">
      <c r="G915" s="1"/>
    </row>
    <row r="916" spans="7:7" ht="15.75" customHeight="1" x14ac:dyDescent="0.2">
      <c r="G916" s="1"/>
    </row>
    <row r="917" spans="7:7" ht="15.75" customHeight="1" x14ac:dyDescent="0.2">
      <c r="G917" s="1"/>
    </row>
    <row r="918" spans="7:7" ht="15.75" customHeight="1" x14ac:dyDescent="0.2">
      <c r="G918" s="1"/>
    </row>
    <row r="919" spans="7:7" ht="15.75" customHeight="1" x14ac:dyDescent="0.2">
      <c r="G919" s="1"/>
    </row>
    <row r="920" spans="7:7" ht="15.75" customHeight="1" x14ac:dyDescent="0.2">
      <c r="G920" s="1"/>
    </row>
    <row r="921" spans="7:7" ht="15.75" customHeight="1" x14ac:dyDescent="0.2">
      <c r="G921" s="1"/>
    </row>
    <row r="922" spans="7:7" ht="15.75" customHeight="1" x14ac:dyDescent="0.2">
      <c r="G922" s="1"/>
    </row>
    <row r="923" spans="7:7" ht="15.75" customHeight="1" x14ac:dyDescent="0.2">
      <c r="G923" s="1"/>
    </row>
    <row r="924" spans="7:7" ht="15.75" customHeight="1" x14ac:dyDescent="0.2">
      <c r="G924" s="1"/>
    </row>
    <row r="925" spans="7:7" ht="15.75" customHeight="1" x14ac:dyDescent="0.2">
      <c r="G925" s="1"/>
    </row>
    <row r="926" spans="7:7" ht="15.75" customHeight="1" x14ac:dyDescent="0.2">
      <c r="G926" s="1"/>
    </row>
    <row r="927" spans="7:7" ht="15.75" customHeight="1" x14ac:dyDescent="0.2">
      <c r="G927" s="1"/>
    </row>
    <row r="928" spans="7:7" ht="15.75" customHeight="1" x14ac:dyDescent="0.2">
      <c r="G928" s="1"/>
    </row>
    <row r="929" spans="7:7" ht="15.75" customHeight="1" x14ac:dyDescent="0.2">
      <c r="G929" s="1"/>
    </row>
    <row r="930" spans="7:7" ht="15.75" customHeight="1" x14ac:dyDescent="0.2">
      <c r="G930" s="1"/>
    </row>
    <row r="931" spans="7:7" ht="15.75" customHeight="1" x14ac:dyDescent="0.2">
      <c r="G931" s="1"/>
    </row>
    <row r="932" spans="7:7" ht="15.75" customHeight="1" x14ac:dyDescent="0.2">
      <c r="G932" s="1"/>
    </row>
    <row r="933" spans="7:7" ht="15.75" customHeight="1" x14ac:dyDescent="0.2">
      <c r="G933" s="1"/>
    </row>
    <row r="934" spans="7:7" ht="15.75" customHeight="1" x14ac:dyDescent="0.2">
      <c r="G934" s="1"/>
    </row>
    <row r="935" spans="7:7" ht="15.75" customHeight="1" x14ac:dyDescent="0.2">
      <c r="G935" s="1"/>
    </row>
    <row r="936" spans="7:7" ht="15.75" customHeight="1" x14ac:dyDescent="0.2">
      <c r="G936" s="1"/>
    </row>
    <row r="937" spans="7:7" ht="15.75" customHeight="1" x14ac:dyDescent="0.2">
      <c r="G937" s="1"/>
    </row>
    <row r="938" spans="7:7" ht="15.75" customHeight="1" x14ac:dyDescent="0.2">
      <c r="G938" s="1"/>
    </row>
    <row r="939" spans="7:7" ht="15.75" customHeight="1" x14ac:dyDescent="0.2">
      <c r="G939" s="1"/>
    </row>
    <row r="940" spans="7:7" ht="15.75" customHeight="1" x14ac:dyDescent="0.2">
      <c r="G940" s="1"/>
    </row>
    <row r="941" spans="7:7" ht="15.75" customHeight="1" x14ac:dyDescent="0.2">
      <c r="G941" s="1"/>
    </row>
    <row r="942" spans="7:7" ht="15.75" customHeight="1" x14ac:dyDescent="0.2">
      <c r="G942" s="1"/>
    </row>
    <row r="943" spans="7:7" ht="15.75" customHeight="1" x14ac:dyDescent="0.2">
      <c r="G943" s="1"/>
    </row>
    <row r="944" spans="7:7" ht="15.75" customHeight="1" x14ac:dyDescent="0.2">
      <c r="G944" s="1"/>
    </row>
    <row r="945" spans="7:7" ht="15.75" customHeight="1" x14ac:dyDescent="0.2">
      <c r="G945" s="1"/>
    </row>
    <row r="946" spans="7:7" ht="15.75" customHeight="1" x14ac:dyDescent="0.2">
      <c r="G946" s="1"/>
    </row>
    <row r="947" spans="7:7" ht="15.75" customHeight="1" x14ac:dyDescent="0.2">
      <c r="G947" s="1"/>
    </row>
    <row r="948" spans="7:7" ht="15.75" customHeight="1" x14ac:dyDescent="0.2">
      <c r="G948" s="1"/>
    </row>
    <row r="949" spans="7:7" ht="15.75" customHeight="1" x14ac:dyDescent="0.2">
      <c r="G949" s="1"/>
    </row>
    <row r="950" spans="7:7" ht="15.75" customHeight="1" x14ac:dyDescent="0.2">
      <c r="G950" s="1"/>
    </row>
    <row r="951" spans="7:7" ht="15.75" customHeight="1" x14ac:dyDescent="0.2">
      <c r="G951" s="1"/>
    </row>
    <row r="952" spans="7:7" ht="15.75" customHeight="1" x14ac:dyDescent="0.2">
      <c r="G952" s="1"/>
    </row>
    <row r="953" spans="7:7" ht="15.75" customHeight="1" x14ac:dyDescent="0.2">
      <c r="G953" s="1"/>
    </row>
    <row r="954" spans="7:7" ht="15.75" customHeight="1" x14ac:dyDescent="0.2">
      <c r="G954" s="1"/>
    </row>
    <row r="955" spans="7:7" ht="15.75" customHeight="1" x14ac:dyDescent="0.2">
      <c r="G955" s="1"/>
    </row>
    <row r="956" spans="7:7" ht="15.75" customHeight="1" x14ac:dyDescent="0.2">
      <c r="G956" s="1"/>
    </row>
    <row r="957" spans="7:7" ht="15.75" customHeight="1" x14ac:dyDescent="0.2">
      <c r="G957" s="1"/>
    </row>
    <row r="958" spans="7:7" ht="15.75" customHeight="1" x14ac:dyDescent="0.2">
      <c r="G958" s="1"/>
    </row>
    <row r="959" spans="7:7" ht="15.75" customHeight="1" x14ac:dyDescent="0.2">
      <c r="G959" s="1"/>
    </row>
    <row r="960" spans="7:7" ht="15.75" customHeight="1" x14ac:dyDescent="0.2">
      <c r="G960" s="1"/>
    </row>
    <row r="961" spans="7:7" ht="15.75" customHeight="1" x14ac:dyDescent="0.2">
      <c r="G961" s="1"/>
    </row>
    <row r="962" spans="7:7" ht="15.75" customHeight="1" x14ac:dyDescent="0.2">
      <c r="G962" s="1"/>
    </row>
    <row r="963" spans="7:7" ht="15.75" customHeight="1" x14ac:dyDescent="0.2">
      <c r="G963" s="1"/>
    </row>
    <row r="964" spans="7:7" ht="15.75" customHeight="1" x14ac:dyDescent="0.2">
      <c r="G964" s="1"/>
    </row>
    <row r="965" spans="7:7" ht="15.75" customHeight="1" x14ac:dyDescent="0.2">
      <c r="G965" s="1"/>
    </row>
    <row r="966" spans="7:7" ht="15.75" customHeight="1" x14ac:dyDescent="0.2">
      <c r="G966" s="1"/>
    </row>
    <row r="967" spans="7:7" ht="15.75" customHeight="1" x14ac:dyDescent="0.2">
      <c r="G967" s="1"/>
    </row>
    <row r="968" spans="7:7" ht="15.75" customHeight="1" x14ac:dyDescent="0.2">
      <c r="G968" s="1"/>
    </row>
    <row r="969" spans="7:7" ht="15.75" customHeight="1" x14ac:dyDescent="0.2">
      <c r="G969" s="1"/>
    </row>
    <row r="970" spans="7:7" ht="15.75" customHeight="1" x14ac:dyDescent="0.2">
      <c r="G970" s="1"/>
    </row>
    <row r="971" spans="7:7" ht="15.75" customHeight="1" x14ac:dyDescent="0.2">
      <c r="G971" s="1"/>
    </row>
    <row r="972" spans="7:7" ht="15.75" customHeight="1" x14ac:dyDescent="0.2">
      <c r="G972" s="1"/>
    </row>
    <row r="973" spans="7:7" ht="15.75" customHeight="1" x14ac:dyDescent="0.2">
      <c r="G973" s="1"/>
    </row>
    <row r="974" spans="7:7" ht="15.75" customHeight="1" x14ac:dyDescent="0.2">
      <c r="G974" s="1"/>
    </row>
    <row r="975" spans="7:7" ht="15.75" customHeight="1" x14ac:dyDescent="0.2">
      <c r="G975" s="1"/>
    </row>
    <row r="976" spans="7:7" ht="15.75" customHeight="1" x14ac:dyDescent="0.2">
      <c r="G976" s="1"/>
    </row>
    <row r="977" spans="7:7" ht="15.75" customHeight="1" x14ac:dyDescent="0.2">
      <c r="G977" s="1"/>
    </row>
    <row r="978" spans="7:7" ht="15.75" customHeight="1" x14ac:dyDescent="0.2">
      <c r="G978" s="1"/>
    </row>
    <row r="979" spans="7:7" ht="15.75" customHeight="1" x14ac:dyDescent="0.2">
      <c r="G979" s="1"/>
    </row>
    <row r="980" spans="7:7" ht="15.75" customHeight="1" x14ac:dyDescent="0.2">
      <c r="G980" s="1"/>
    </row>
    <row r="981" spans="7:7" ht="15.75" customHeight="1" x14ac:dyDescent="0.2">
      <c r="G981" s="1"/>
    </row>
    <row r="982" spans="7:7" ht="15.75" customHeight="1" x14ac:dyDescent="0.2">
      <c r="G982" s="1"/>
    </row>
    <row r="983" spans="7:7" ht="15.75" customHeight="1" x14ac:dyDescent="0.2">
      <c r="G983" s="1"/>
    </row>
    <row r="984" spans="7:7" ht="15.75" customHeight="1" x14ac:dyDescent="0.2">
      <c r="G984" s="1"/>
    </row>
    <row r="985" spans="7:7" ht="15.75" customHeight="1" x14ac:dyDescent="0.2">
      <c r="G985" s="1"/>
    </row>
    <row r="986" spans="7:7" ht="15.75" customHeight="1" x14ac:dyDescent="0.2">
      <c r="G986" s="1"/>
    </row>
    <row r="987" spans="7:7" ht="15.75" customHeight="1" x14ac:dyDescent="0.2">
      <c r="G987" s="1"/>
    </row>
    <row r="988" spans="7:7" ht="15.75" customHeight="1" x14ac:dyDescent="0.2">
      <c r="G988" s="1"/>
    </row>
    <row r="989" spans="7:7" ht="15.75" customHeight="1" x14ac:dyDescent="0.2">
      <c r="G989" s="1"/>
    </row>
    <row r="990" spans="7:7" ht="15.75" customHeight="1" x14ac:dyDescent="0.2">
      <c r="G990" s="1"/>
    </row>
    <row r="991" spans="7:7" ht="15.75" customHeight="1" x14ac:dyDescent="0.2">
      <c r="G991" s="1"/>
    </row>
    <row r="992" spans="7:7" ht="15.75" customHeight="1" x14ac:dyDescent="0.2">
      <c r="G992" s="1"/>
    </row>
    <row r="993" spans="7:7" ht="15.75" customHeight="1" x14ac:dyDescent="0.2">
      <c r="G993" s="1"/>
    </row>
    <row r="994" spans="7:7" ht="15.75" customHeight="1" x14ac:dyDescent="0.2">
      <c r="G994" s="1"/>
    </row>
    <row r="995" spans="7:7" ht="15.75" customHeight="1" x14ac:dyDescent="0.2">
      <c r="G995" s="1"/>
    </row>
    <row r="996" spans="7:7" ht="15.75" customHeight="1" x14ac:dyDescent="0.2">
      <c r="G996" s="1"/>
    </row>
    <row r="997" spans="7:7" ht="15.75" customHeight="1" x14ac:dyDescent="0.2">
      <c r="G997" s="1"/>
    </row>
    <row r="998" spans="7:7" ht="15.75" customHeight="1" x14ac:dyDescent="0.2">
      <c r="G998" s="1"/>
    </row>
    <row r="999" spans="7:7" ht="15.75" customHeight="1" x14ac:dyDescent="0.2">
      <c r="G999" s="1"/>
    </row>
    <row r="1000" spans="7:7" ht="15.75" customHeight="1" x14ac:dyDescent="0.2">
      <c r="G1000" s="1"/>
    </row>
  </sheetData>
  <mergeCells count="11">
    <mergeCell ref="C17:E17"/>
    <mergeCell ref="C18:E18"/>
    <mergeCell ref="C19:E19"/>
    <mergeCell ref="C21:D22"/>
    <mergeCell ref="B2:G3"/>
    <mergeCell ref="B5:G5"/>
    <mergeCell ref="C7:E7"/>
    <mergeCell ref="C9:E9"/>
    <mergeCell ref="B14:E14"/>
    <mergeCell ref="C15:E15"/>
    <mergeCell ref="C16:E16"/>
  </mergeCells>
  <dataValidations count="1">
    <dataValidation type="list" allowBlank="1" showDropDown="1" sqref="G4 C11 G6:G1000" xr:uid="{00000000-0002-0000-0100-000000000000}">
      <formula1>"Male,Female"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1000"/>
  <sheetViews>
    <sheetView workbookViewId="0">
      <selection sqref="A1:K2"/>
    </sheetView>
  </sheetViews>
  <sheetFormatPr baseColWidth="10" defaultColWidth="14.5" defaultRowHeight="15" customHeight="1" x14ac:dyDescent="0.2"/>
  <cols>
    <col min="1" max="11" width="12" customWidth="1"/>
    <col min="12" max="26" width="8.6640625" customWidth="1"/>
  </cols>
  <sheetData>
    <row r="1" spans="1:11" x14ac:dyDescent="0.2">
      <c r="A1" s="55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x14ac:dyDescent="0.2">
      <c r="A2" s="29"/>
      <c r="B2" s="30"/>
      <c r="C2" s="30"/>
      <c r="D2" s="30"/>
      <c r="E2" s="30"/>
      <c r="F2" s="30"/>
      <c r="G2" s="30"/>
      <c r="H2" s="30"/>
      <c r="I2" s="30"/>
      <c r="J2" s="30"/>
      <c r="K2" s="31"/>
    </row>
    <row r="4" spans="1:11" x14ac:dyDescent="0.2">
      <c r="B4" s="56" t="s">
        <v>47</v>
      </c>
      <c r="C4" s="57"/>
      <c r="D4" s="58"/>
      <c r="E4" s="64" t="s">
        <v>48</v>
      </c>
      <c r="F4" s="57"/>
      <c r="G4" s="58"/>
      <c r="H4" s="65" t="s">
        <v>49</v>
      </c>
      <c r="I4" s="57"/>
      <c r="J4" s="58"/>
      <c r="K4" s="66" t="s">
        <v>50</v>
      </c>
    </row>
    <row r="5" spans="1:11" x14ac:dyDescent="0.2">
      <c r="B5" s="59"/>
      <c r="C5" s="45"/>
      <c r="D5" s="60"/>
      <c r="E5" s="59"/>
      <c r="F5" s="45"/>
      <c r="G5" s="60"/>
      <c r="H5" s="59"/>
      <c r="I5" s="45"/>
      <c r="J5" s="60"/>
      <c r="K5" s="67"/>
    </row>
    <row r="6" spans="1:11" x14ac:dyDescent="0.2">
      <c r="B6" s="61"/>
      <c r="C6" s="62"/>
      <c r="D6" s="63"/>
      <c r="E6" s="61"/>
      <c r="F6" s="62"/>
      <c r="G6" s="63"/>
      <c r="H6" s="61"/>
      <c r="I6" s="62"/>
      <c r="J6" s="63"/>
      <c r="K6" s="68"/>
    </row>
    <row r="7" spans="1:11" x14ac:dyDescent="0.2">
      <c r="B7" s="69">
        <f>COUNTA(REGISTRY!B:B)-1</f>
        <v>389</v>
      </c>
      <c r="C7" s="45"/>
      <c r="D7" s="45"/>
      <c r="E7" s="70">
        <f>COUNTIF(REGISTRY!G:G,"Male")</f>
        <v>299</v>
      </c>
      <c r="F7" s="45"/>
      <c r="G7" s="45"/>
      <c r="H7" s="51">
        <f>COUNTIF(REGISTRY!G:G,"Female")</f>
        <v>89</v>
      </c>
      <c r="I7" s="45"/>
      <c r="J7" s="45"/>
      <c r="K7" s="52">
        <f>MAX(REGISTRY!K:K)</f>
        <v>10</v>
      </c>
    </row>
    <row r="8" spans="1:11" ht="15" customHeight="1" x14ac:dyDescent="0.2"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1" ht="16" x14ac:dyDescent="0.2">
      <c r="B9" s="35" t="s">
        <v>51</v>
      </c>
      <c r="C9" s="33"/>
      <c r="D9" s="33"/>
      <c r="E9" s="33"/>
      <c r="F9" s="34"/>
      <c r="H9" s="35" t="s">
        <v>52</v>
      </c>
      <c r="I9" s="33"/>
      <c r="J9" s="33"/>
      <c r="K9" s="34"/>
    </row>
    <row r="10" spans="1:11" x14ac:dyDescent="0.2">
      <c r="B10" s="16" t="s">
        <v>53</v>
      </c>
      <c r="C10" s="16" t="s">
        <v>54</v>
      </c>
      <c r="D10" s="16" t="s">
        <v>55</v>
      </c>
      <c r="E10" s="16" t="s">
        <v>56</v>
      </c>
      <c r="F10" s="16" t="s">
        <v>57</v>
      </c>
      <c r="H10" s="16" t="s">
        <v>58</v>
      </c>
      <c r="I10" s="16" t="s">
        <v>59</v>
      </c>
      <c r="J10" s="16" t="s">
        <v>60</v>
      </c>
    </row>
    <row r="11" spans="1:11" x14ac:dyDescent="0.2">
      <c r="B11" s="1" t="s">
        <v>61</v>
      </c>
      <c r="C11" s="1">
        <f>COUNTIF(REGISTRY!K:K,1)</f>
        <v>1</v>
      </c>
      <c r="D11" s="1">
        <f>COUNTIFS(REGISTRY!K:K,1,REGISTRY!G:G,"Male")</f>
        <v>0</v>
      </c>
      <c r="E11" s="1">
        <f>COUNTIFS(REGISTRY!K:K,1,REGISTRY!G:G,"Female")</f>
        <v>0</v>
      </c>
      <c r="F11" s="1">
        <f>IFERROR(AVERAGEIF(REGISTRY!K:K,1,REGISTRY!P:P),0)</f>
        <v>3</v>
      </c>
      <c r="H11" s="1" t="s">
        <v>62</v>
      </c>
      <c r="I11" s="1">
        <f>COUNTIF(REGISTRY!L:L,"الأصل")</f>
        <v>1</v>
      </c>
      <c r="J11" s="17">
        <f>IFERROR(I11/(COUNTA(REGISTRY!B:B)-1)*100,0)</f>
        <v>0.25706940874035988</v>
      </c>
    </row>
    <row r="12" spans="1:11" x14ac:dyDescent="0.2">
      <c r="B12" s="1" t="s">
        <v>63</v>
      </c>
      <c r="C12" s="1">
        <f>COUNTIF(REGISTRY!K:K,2)</f>
        <v>3</v>
      </c>
      <c r="D12" s="1">
        <f>COUNTIFS(REGISTRY!K:K,2,REGISTRY!G:G,"Male")</f>
        <v>3</v>
      </c>
      <c r="E12" s="1">
        <f>COUNTIFS(REGISTRY!K:K,2,REGISTRY!G:G,"Female")</f>
        <v>0</v>
      </c>
      <c r="F12" s="1">
        <f>IFERROR(AVERAGEIF(REGISTRY!K:K,2,REGISTRY!P:P),0)</f>
        <v>0</v>
      </c>
      <c r="H12" s="1" t="s">
        <v>64</v>
      </c>
      <c r="I12" s="1">
        <f>COUNTIF(REGISTRY!L:L,"الفرع 1")</f>
        <v>0</v>
      </c>
      <c r="J12" s="17">
        <f>IFERROR(I12/(COUNTA(REGISTRY!B:B)-1)*100,0)</f>
        <v>0</v>
      </c>
    </row>
    <row r="13" spans="1:11" x14ac:dyDescent="0.2">
      <c r="B13" s="1" t="s">
        <v>65</v>
      </c>
      <c r="C13" s="1">
        <f>COUNTIF(REGISTRY!K:K,3)</f>
        <v>7</v>
      </c>
      <c r="D13" s="1">
        <f>COUNTIFS(REGISTRY!K:K,3,REGISTRY!G:G,"Male")</f>
        <v>7</v>
      </c>
      <c r="E13" s="1">
        <f>COUNTIFS(REGISTRY!K:K,3,REGISTRY!G:G,"Female")</f>
        <v>0</v>
      </c>
      <c r="F13" s="1">
        <f>IFERROR(AVERAGEIF(REGISTRY!K:K,3,REGISTRY!P:P),0)</f>
        <v>0</v>
      </c>
      <c r="H13" s="1" t="s">
        <v>66</v>
      </c>
      <c r="I13" s="1">
        <f>COUNTIF(REGISTRY!L:L,"الفرع 2")</f>
        <v>0</v>
      </c>
      <c r="J13" s="17">
        <f>IFERROR(I13/(COUNTA(REGISTRY!B:B)-1)*100,0)</f>
        <v>0</v>
      </c>
    </row>
    <row r="14" spans="1:11" x14ac:dyDescent="0.2">
      <c r="B14" s="1" t="s">
        <v>67</v>
      </c>
      <c r="C14" s="1">
        <f>COUNTIF(REGISTRY!K:K,4)</f>
        <v>15</v>
      </c>
      <c r="D14" s="1">
        <f>COUNTIFS(REGISTRY!K:K,4,REGISTRY!G:G,"Male")</f>
        <v>15</v>
      </c>
      <c r="E14" s="1">
        <f>COUNTIFS(REGISTRY!K:K,4,REGISTRY!G:G,"Female")</f>
        <v>0</v>
      </c>
      <c r="F14" s="1">
        <f>IFERROR(AVERAGEIF(REGISTRY!K:K,4,REGISTRY!P:P),0)</f>
        <v>0</v>
      </c>
      <c r="H14" s="1" t="s">
        <v>68</v>
      </c>
      <c r="I14" s="1">
        <f>COUNTIF(REGISTRY!L:L,"الفرع 3")</f>
        <v>0</v>
      </c>
      <c r="J14" s="17">
        <f>IFERROR(I14/(COUNTA(REGISTRY!B:B)-1)*100,0)</f>
        <v>0</v>
      </c>
    </row>
    <row r="15" spans="1:11" x14ac:dyDescent="0.2">
      <c r="B15" s="1" t="s">
        <v>69</v>
      </c>
      <c r="C15" s="1">
        <f>COUNTIF(REGISTRY!K:K,5)</f>
        <v>24</v>
      </c>
      <c r="D15" s="1">
        <f>COUNTIFS(REGISTRY!K:K,5,REGISTRY!G:G,"Male")</f>
        <v>24</v>
      </c>
      <c r="E15" s="1">
        <f>COUNTIFS(REGISTRY!K:K,5,REGISTRY!G:G,"Female")</f>
        <v>0</v>
      </c>
      <c r="F15" s="1">
        <f>IFERROR(AVERAGEIF(REGISTRY!K:K,5,REGISTRY!P:P),0)</f>
        <v>0</v>
      </c>
      <c r="H15" s="1" t="s">
        <v>70</v>
      </c>
      <c r="I15" s="1">
        <f>COUNTIF(REGISTRY!L:L,"الفرع 4")</f>
        <v>0</v>
      </c>
      <c r="J15" s="17">
        <f>IFERROR(I15/(COUNTA(REGISTRY!B:B)-1)*100,0)</f>
        <v>0</v>
      </c>
    </row>
    <row r="16" spans="1:11" x14ac:dyDescent="0.2">
      <c r="B16" s="1" t="s">
        <v>71</v>
      </c>
      <c r="C16" s="1">
        <f>COUNTIF(REGISTRY!K:K,6)</f>
        <v>101</v>
      </c>
      <c r="D16" s="1">
        <f>COUNTIFS(REGISTRY!K:K,6,REGISTRY!G:G,"Male")</f>
        <v>79</v>
      </c>
      <c r="E16" s="1">
        <f>COUNTIFS(REGISTRY!K:K,6,REGISTRY!G:G,"Female")</f>
        <v>22</v>
      </c>
      <c r="F16" s="1">
        <f>IFERROR(AVERAGEIF(REGISTRY!K:K,6,REGISTRY!P:P),0)</f>
        <v>0</v>
      </c>
    </row>
    <row r="17" spans="2:11" x14ac:dyDescent="0.2">
      <c r="B17" s="1" t="s">
        <v>72</v>
      </c>
      <c r="C17" s="1">
        <f>COUNTIF(REGISTRY!K:K,7)</f>
        <v>190</v>
      </c>
      <c r="D17" s="1">
        <f>COUNTIFS(REGISTRY!K:K,7,REGISTRY!G:G,"Male")</f>
        <v>135</v>
      </c>
      <c r="E17" s="1">
        <f>COUNTIFS(REGISTRY!K:K,7,REGISTRY!G:G,"Female")</f>
        <v>55</v>
      </c>
      <c r="F17" s="1">
        <f>IFERROR(AVERAGEIF(REGISTRY!K:K,7,REGISTRY!P:P),0)</f>
        <v>0</v>
      </c>
    </row>
    <row r="18" spans="2:11" x14ac:dyDescent="0.2">
      <c r="B18" s="1" t="s">
        <v>73</v>
      </c>
      <c r="C18" s="1">
        <f>COUNTIF(REGISTRY!K:K,8)</f>
        <v>43</v>
      </c>
      <c r="D18" s="1">
        <f>COUNTIFS(REGISTRY!K:K,8,REGISTRY!G:G,"Male")</f>
        <v>31</v>
      </c>
      <c r="E18" s="1">
        <f>COUNTIFS(REGISTRY!K:K,8,REGISTRY!G:G,"Female")</f>
        <v>12</v>
      </c>
    </row>
    <row r="20" spans="2:11" ht="16" x14ac:dyDescent="0.2">
      <c r="B20" s="37" t="s">
        <v>74</v>
      </c>
      <c r="C20" s="33"/>
      <c r="D20" s="33"/>
      <c r="E20" s="33"/>
      <c r="F20" s="34"/>
      <c r="H20" s="53" t="s">
        <v>75</v>
      </c>
      <c r="I20" s="33"/>
      <c r="J20" s="33"/>
      <c r="K20" s="34"/>
    </row>
    <row r="21" spans="2:11" ht="15.75" customHeight="1" x14ac:dyDescent="0.2">
      <c r="H21" s="54" t="e">
        <f>AVERAGE(REGISTRY!AG:AG)&amp;"%"</f>
        <v>#DIV/0!</v>
      </c>
      <c r="I21" s="45"/>
      <c r="J21" s="45"/>
      <c r="K21" s="45"/>
    </row>
    <row r="22" spans="2:11" ht="15.75" customHeight="1" x14ac:dyDescent="0.2">
      <c r="H22" s="45"/>
      <c r="I22" s="45"/>
      <c r="J22" s="45"/>
      <c r="K22" s="45"/>
    </row>
    <row r="23" spans="2:11" ht="15.75" customHeight="1" x14ac:dyDescent="0.2"/>
    <row r="24" spans="2:11" ht="15.75" customHeight="1" x14ac:dyDescent="0.2"/>
    <row r="25" spans="2:11" ht="15.75" customHeight="1" x14ac:dyDescent="0.2"/>
    <row r="26" spans="2:11" ht="15.75" customHeight="1" x14ac:dyDescent="0.2"/>
    <row r="27" spans="2:11" ht="15.75" customHeight="1" x14ac:dyDescent="0.2"/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H21:K22"/>
    <mergeCell ref="A1:K2"/>
    <mergeCell ref="B4:D6"/>
    <mergeCell ref="E4:G6"/>
    <mergeCell ref="H4:J6"/>
    <mergeCell ref="K4:K6"/>
    <mergeCell ref="B7:D8"/>
    <mergeCell ref="E7:G8"/>
    <mergeCell ref="H7:J8"/>
    <mergeCell ref="K7:K8"/>
    <mergeCell ref="B9:F9"/>
    <mergeCell ref="H9:K9"/>
    <mergeCell ref="B20:F20"/>
    <mergeCell ref="H20:K2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1F4788"/>
  </sheetPr>
  <dimension ref="A1:Z1390"/>
  <sheetViews>
    <sheetView tabSelected="1" workbookViewId="0">
      <pane ySplit="1" topLeftCell="A337" activePane="bottomLeft" state="frozen"/>
      <selection pane="bottomLeft" activeCell="D372" sqref="D372"/>
    </sheetView>
  </sheetViews>
  <sheetFormatPr baseColWidth="10" defaultColWidth="14.5" defaultRowHeight="15" customHeight="1" x14ac:dyDescent="0.2"/>
  <cols>
    <col min="1" max="1" width="8" customWidth="1"/>
    <col min="2" max="5" width="15" customWidth="1"/>
    <col min="6" max="8" width="10" customWidth="1"/>
    <col min="9" max="10" width="8" customWidth="1"/>
    <col min="11" max="11" width="10" customWidth="1"/>
    <col min="12" max="12" width="15" customWidth="1"/>
    <col min="13" max="14" width="35" customWidth="1"/>
    <col min="15" max="15" width="8" customWidth="1"/>
    <col min="16" max="16" width="10" customWidth="1"/>
    <col min="17" max="18" width="15" customWidth="1"/>
    <col min="19" max="19" width="10" customWidth="1"/>
    <col min="20" max="26" width="8.6640625" customWidth="1"/>
  </cols>
  <sheetData>
    <row r="1" spans="1:26" ht="32" x14ac:dyDescent="0.2">
      <c r="A1" s="18" t="s">
        <v>76</v>
      </c>
      <c r="B1" s="18" t="s">
        <v>77</v>
      </c>
      <c r="C1" s="18" t="s">
        <v>78</v>
      </c>
      <c r="D1" s="18" t="s">
        <v>79</v>
      </c>
      <c r="E1" s="18" t="s">
        <v>80</v>
      </c>
      <c r="F1" s="18" t="s">
        <v>81</v>
      </c>
      <c r="G1" s="18" t="s">
        <v>82</v>
      </c>
      <c r="H1" s="18" t="s">
        <v>83</v>
      </c>
      <c r="I1" s="18" t="s">
        <v>84</v>
      </c>
      <c r="J1" s="18" t="s">
        <v>85</v>
      </c>
      <c r="K1" s="18" t="s">
        <v>53</v>
      </c>
      <c r="L1" s="18" t="s">
        <v>58</v>
      </c>
      <c r="M1" s="18" t="s">
        <v>86</v>
      </c>
      <c r="N1" s="18" t="s">
        <v>87</v>
      </c>
      <c r="O1" s="18" t="s">
        <v>88</v>
      </c>
      <c r="P1" s="18" t="s">
        <v>89</v>
      </c>
      <c r="Q1" s="18" t="s">
        <v>90</v>
      </c>
      <c r="R1" s="18" t="s">
        <v>91</v>
      </c>
      <c r="S1" s="18" t="s">
        <v>92</v>
      </c>
    </row>
    <row r="2" spans="1:26" x14ac:dyDescent="0.2">
      <c r="A2" s="19" t="str">
        <f t="shared" ref="A2:A256" si="0">"P"&amp;TEXT(ROW()-1,"000")</f>
        <v>P001</v>
      </c>
      <c r="B2" s="19" t="s">
        <v>31</v>
      </c>
      <c r="C2" s="19"/>
      <c r="D2" s="19"/>
      <c r="E2" s="19" t="s">
        <v>10</v>
      </c>
      <c r="F2" s="19"/>
      <c r="G2" s="19"/>
      <c r="H2" s="19">
        <v>1600</v>
      </c>
      <c r="I2" s="19">
        <v>3</v>
      </c>
      <c r="J2" s="19"/>
      <c r="K2" s="19">
        <f>IF(F2="",1,IFERROR(VLOOKUP(F2,A:K,11,FALSE)+1,1))</f>
        <v>1</v>
      </c>
      <c r="L2" s="19" t="str">
        <f>IF(F2="","الأصل",IF(VLOOKUP(F2,A:L,12,FALSE)="الأصل","الفرع "&amp;K2-1,VLOOKUP(F2,A:L,12,FALSE)))</f>
        <v>الأصل</v>
      </c>
      <c r="M2" s="19" t="str">
        <f t="shared" ref="M2:M256" si="1">IF(B2&lt;&gt;"",IF(C2&lt;&gt;"",CONCATENATE(B2," بن ",C2," بن ",D2," ",E2),CONCATENATE(B2," ",E2)),"")</f>
        <v>حمد ال شايع</v>
      </c>
      <c r="N2" s="19" t="str">
        <f t="shared" ref="N2:N256" si="2">IF(B2&lt;&gt;"",IF(C2&lt;&gt;"",CONCATENATE(B2," bin ",C2," bin ",D2," Al-",E2),CONCATENATE(B2," Al-",E2)),"")</f>
        <v>حمد Al-ال شايع</v>
      </c>
      <c r="O2" s="19">
        <f t="shared" ref="O2:O256" ca="1" si="3">IF(H2&lt;&gt;"",YEAR(TODAY())-H2,"")</f>
        <v>425</v>
      </c>
      <c r="P2" s="19">
        <f t="shared" ref="P2:P256" si="4">I2+J2</f>
        <v>3</v>
      </c>
      <c r="Q2" s="19"/>
      <c r="R2" s="19"/>
      <c r="S2" s="19" t="str">
        <f t="shared" ref="S2:S256" si="5">IF(B2&lt;&gt;"","Living","")</f>
        <v>Living</v>
      </c>
      <c r="T2" s="19"/>
      <c r="U2" s="19"/>
      <c r="V2" s="19"/>
      <c r="W2" s="19"/>
      <c r="X2" s="19"/>
      <c r="Y2" s="19"/>
      <c r="Z2" s="19"/>
    </row>
    <row r="3" spans="1:26" hidden="1" x14ac:dyDescent="0.2">
      <c r="A3" s="1" t="str">
        <f t="shared" si="0"/>
        <v>P002</v>
      </c>
      <c r="B3" s="1" t="s">
        <v>27</v>
      </c>
      <c r="C3" s="1" t="s">
        <v>31</v>
      </c>
      <c r="D3" s="1" t="s">
        <v>93</v>
      </c>
      <c r="E3" s="1"/>
      <c r="F3" s="1" t="s">
        <v>94</v>
      </c>
      <c r="G3" s="1" t="s">
        <v>35</v>
      </c>
      <c r="H3" s="1"/>
      <c r="I3" s="1"/>
      <c r="J3" s="1"/>
      <c r="K3" s="1">
        <f>IF(F3="",1,IFERROR(VLOOKUP(F3,A:K,11,FALSE)+1,1))</f>
        <v>2</v>
      </c>
      <c r="L3" s="1" t="s">
        <v>95</v>
      </c>
      <c r="M3" s="1" t="str">
        <f t="shared" si="1"/>
        <v xml:space="preserve">ابراهيم بن حمد بن - </v>
      </c>
      <c r="N3" s="1" t="str">
        <f t="shared" si="2"/>
        <v>ابراهيم bin حمد bin - Al-</v>
      </c>
      <c r="O3" s="1" t="str">
        <f t="shared" ca="1" si="3"/>
        <v/>
      </c>
      <c r="P3" s="1">
        <f t="shared" si="4"/>
        <v>0</v>
      </c>
      <c r="Q3" s="1"/>
      <c r="R3" s="1"/>
      <c r="S3" s="1" t="str">
        <f t="shared" si="5"/>
        <v>Living</v>
      </c>
    </row>
    <row r="4" spans="1:26" x14ac:dyDescent="0.2">
      <c r="A4" s="1" t="str">
        <f t="shared" si="0"/>
        <v>P003</v>
      </c>
      <c r="B4" s="1" t="s">
        <v>96</v>
      </c>
      <c r="C4" s="1" t="s">
        <v>31</v>
      </c>
      <c r="D4" s="1" t="s">
        <v>93</v>
      </c>
      <c r="E4" s="1"/>
      <c r="F4" s="1" t="s">
        <v>94</v>
      </c>
      <c r="G4" s="1" t="s">
        <v>35</v>
      </c>
      <c r="H4" s="1"/>
      <c r="I4" s="1"/>
      <c r="J4" s="1"/>
      <c r="K4" s="1">
        <f>IF(F4="",1,IFERROR(VLOOKUP(F4,A:K,11,FALSE)+1,1))</f>
        <v>2</v>
      </c>
      <c r="L4" s="1" t="s">
        <v>97</v>
      </c>
      <c r="M4" s="1" t="str">
        <f t="shared" si="1"/>
        <v xml:space="preserve">عبدالكريم بن حمد بن - </v>
      </c>
      <c r="N4" s="1" t="str">
        <f t="shared" si="2"/>
        <v>عبدالكريم bin حمد bin - Al-</v>
      </c>
      <c r="O4" s="1" t="str">
        <f t="shared" ca="1" si="3"/>
        <v/>
      </c>
      <c r="P4" s="1">
        <f t="shared" si="4"/>
        <v>0</v>
      </c>
      <c r="Q4" s="1"/>
      <c r="R4" s="1"/>
      <c r="S4" s="1" t="str">
        <f t="shared" si="5"/>
        <v>Living</v>
      </c>
    </row>
    <row r="5" spans="1:26" hidden="1" x14ac:dyDescent="0.2">
      <c r="A5" s="20" t="str">
        <f t="shared" si="0"/>
        <v>P004</v>
      </c>
      <c r="B5" s="20" t="s">
        <v>98</v>
      </c>
      <c r="C5" s="20" t="s">
        <v>31</v>
      </c>
      <c r="D5" s="20" t="s">
        <v>93</v>
      </c>
      <c r="E5" s="20"/>
      <c r="F5" s="20" t="s">
        <v>94</v>
      </c>
      <c r="G5" s="1" t="s">
        <v>35</v>
      </c>
      <c r="H5" s="20"/>
      <c r="I5" s="20"/>
      <c r="J5" s="20"/>
      <c r="K5" s="20">
        <f>IF(F5="",1,IFERROR(VLOOKUP(F5,A:K,11,FALSE)+1,1))</f>
        <v>2</v>
      </c>
      <c r="L5" s="20" t="s">
        <v>99</v>
      </c>
      <c r="M5" s="20" t="str">
        <f t="shared" si="1"/>
        <v xml:space="preserve">فوزان بن حمد بن - </v>
      </c>
      <c r="N5" s="20" t="str">
        <f t="shared" si="2"/>
        <v>فوزان bin حمد bin - Al-</v>
      </c>
      <c r="O5" s="20" t="str">
        <f t="shared" ca="1" si="3"/>
        <v/>
      </c>
      <c r="P5" s="20">
        <f t="shared" si="4"/>
        <v>0</v>
      </c>
      <c r="Q5" s="20"/>
      <c r="R5" s="20"/>
      <c r="S5" s="20" t="str">
        <f t="shared" si="5"/>
        <v>Living</v>
      </c>
      <c r="T5" s="20"/>
      <c r="U5" s="20"/>
      <c r="V5" s="20"/>
      <c r="W5" s="20"/>
      <c r="X5" s="20"/>
      <c r="Y5" s="20"/>
      <c r="Z5" s="20"/>
    </row>
    <row r="6" spans="1:26" hidden="1" x14ac:dyDescent="0.2">
      <c r="A6" s="19" t="str">
        <f t="shared" si="0"/>
        <v>P005</v>
      </c>
      <c r="B6" s="19" t="s">
        <v>100</v>
      </c>
      <c r="C6" s="19" t="s">
        <v>27</v>
      </c>
      <c r="D6" s="19" t="s">
        <v>31</v>
      </c>
      <c r="E6" s="19"/>
      <c r="F6" s="19" t="s">
        <v>101</v>
      </c>
      <c r="G6" s="1" t="s">
        <v>35</v>
      </c>
      <c r="H6" s="19"/>
      <c r="I6" s="19"/>
      <c r="J6" s="19"/>
      <c r="K6" s="19">
        <f>IF(F6="",1,IFERROR(VLOOKUP(F6,A:K,11,FALSE)+1,1))</f>
        <v>3</v>
      </c>
      <c r="L6" s="19" t="str">
        <f>IF(F6="","الأصل",IF(VLOOKUP(F6,A:L,12,FALSE)="الأصل","الفرع "&amp;K6-1,VLOOKUP(F6,A:L,12,FALSE)))</f>
        <v>الابراهيم</v>
      </c>
      <c r="M6" s="19" t="str">
        <f t="shared" si="1"/>
        <v xml:space="preserve">محمد بن ابراهيم بن حمد </v>
      </c>
      <c r="N6" s="19" t="str">
        <f t="shared" si="2"/>
        <v>محمد bin ابراهيم bin حمد Al-</v>
      </c>
      <c r="O6" s="19" t="str">
        <f t="shared" ca="1" si="3"/>
        <v/>
      </c>
      <c r="P6" s="19">
        <f t="shared" si="4"/>
        <v>0</v>
      </c>
      <c r="Q6" s="19"/>
      <c r="R6" s="19"/>
      <c r="S6" s="19" t="str">
        <f t="shared" si="5"/>
        <v>Living</v>
      </c>
      <c r="T6" s="19"/>
      <c r="U6" s="19"/>
      <c r="V6" s="19"/>
      <c r="W6" s="19"/>
      <c r="X6" s="19"/>
      <c r="Y6" s="19"/>
      <c r="Z6" s="19"/>
    </row>
    <row r="7" spans="1:26" hidden="1" x14ac:dyDescent="0.2">
      <c r="A7" s="1" t="str">
        <f t="shared" si="0"/>
        <v>P006</v>
      </c>
      <c r="B7" s="1" t="s">
        <v>102</v>
      </c>
      <c r="C7" s="1" t="s">
        <v>27</v>
      </c>
      <c r="D7" s="1" t="s">
        <v>31</v>
      </c>
      <c r="E7" s="1"/>
      <c r="F7" s="1" t="s">
        <v>101</v>
      </c>
      <c r="G7" s="1" t="s">
        <v>35</v>
      </c>
      <c r="H7" s="1"/>
      <c r="I7" s="1"/>
      <c r="J7" s="1"/>
      <c r="K7" s="1">
        <f>IF(F7="",1,IFERROR(VLOOKUP(F7,A:K,11,FALSE)+1,1))</f>
        <v>3</v>
      </c>
      <c r="L7" s="1" t="str">
        <f>IF(F7="","الأصل",IF(VLOOKUP(F7,A:L,12,FALSE)="الأصل","الفرع "&amp;K7-1,VLOOKUP(F7,A:L,12,FALSE)))</f>
        <v>الابراهيم</v>
      </c>
      <c r="M7" s="1" t="str">
        <f t="shared" si="1"/>
        <v xml:space="preserve">ناصر بن ابراهيم بن حمد </v>
      </c>
      <c r="N7" s="1" t="str">
        <f t="shared" si="2"/>
        <v>ناصر bin ابراهيم bin حمد Al-</v>
      </c>
      <c r="O7" s="1" t="str">
        <f t="shared" ca="1" si="3"/>
        <v/>
      </c>
      <c r="P7" s="1">
        <f t="shared" si="4"/>
        <v>0</v>
      </c>
      <c r="Q7" s="1"/>
      <c r="R7" s="1"/>
      <c r="S7" s="1" t="str">
        <f t="shared" si="5"/>
        <v>Living</v>
      </c>
    </row>
    <row r="8" spans="1:26" hidden="1" x14ac:dyDescent="0.2">
      <c r="A8" s="19" t="str">
        <f t="shared" si="0"/>
        <v>P007</v>
      </c>
      <c r="B8" s="19" t="s">
        <v>27</v>
      </c>
      <c r="C8" s="19" t="s">
        <v>100</v>
      </c>
      <c r="D8" s="19" t="s">
        <v>27</v>
      </c>
      <c r="E8" s="19" t="s">
        <v>31</v>
      </c>
      <c r="F8" s="19" t="s">
        <v>103</v>
      </c>
      <c r="G8" s="1" t="s">
        <v>35</v>
      </c>
      <c r="H8" s="19"/>
      <c r="I8" s="19"/>
      <c r="J8" s="19"/>
      <c r="K8" s="19">
        <f>IF(F8="",1,IFERROR(VLOOKUP(F8,A:K,11,FALSE)+1,1))</f>
        <v>4</v>
      </c>
      <c r="L8" s="19" t="str">
        <f>IF(F8="","الأصل",IF(VLOOKUP(F8,A:L,12,FALSE)="الأصل","الفرع "&amp;K8-1,VLOOKUP(F8,A:L,12,FALSE)))</f>
        <v>الابراهيم</v>
      </c>
      <c r="M8" s="19" t="str">
        <f t="shared" si="1"/>
        <v>ابراهيم بن محمد بن ابراهيم حمد</v>
      </c>
      <c r="N8" s="19" t="str">
        <f t="shared" si="2"/>
        <v>ابراهيم bin محمد bin ابراهيم Al-حمد</v>
      </c>
      <c r="O8" s="19" t="str">
        <f t="shared" ca="1" si="3"/>
        <v/>
      </c>
      <c r="P8" s="19">
        <f t="shared" si="4"/>
        <v>0</v>
      </c>
      <c r="Q8" s="19"/>
      <c r="R8" s="19"/>
      <c r="S8" s="19" t="str">
        <f t="shared" si="5"/>
        <v>Living</v>
      </c>
      <c r="T8" s="19"/>
      <c r="U8" s="19"/>
      <c r="V8" s="19"/>
      <c r="W8" s="19"/>
      <c r="X8" s="19"/>
      <c r="Y8" s="19"/>
      <c r="Z8" s="19"/>
    </row>
    <row r="9" spans="1:26" hidden="1" x14ac:dyDescent="0.2">
      <c r="A9" s="19" t="str">
        <f t="shared" si="0"/>
        <v>P008</v>
      </c>
      <c r="B9" s="19" t="s">
        <v>104</v>
      </c>
      <c r="C9" s="19" t="s">
        <v>100</v>
      </c>
      <c r="D9" s="19" t="s">
        <v>27</v>
      </c>
      <c r="E9" s="19" t="s">
        <v>31</v>
      </c>
      <c r="F9" s="19" t="s">
        <v>103</v>
      </c>
      <c r="G9" s="1" t="s">
        <v>35</v>
      </c>
      <c r="H9" s="19"/>
      <c r="I9" s="19"/>
      <c r="J9" s="19"/>
      <c r="K9" s="19">
        <f>IF(F9="",1,IFERROR(VLOOKUP(F9,A:K,11,FALSE)+1,1))</f>
        <v>4</v>
      </c>
      <c r="L9" s="19" t="str">
        <f>IF(F9="","الأصل",IF(VLOOKUP(F9,A:L,12,FALSE)="الأصل","الفرع "&amp;K9-1,VLOOKUP(F9,A:L,12,FALSE)))</f>
        <v>الابراهيم</v>
      </c>
      <c r="M9" s="19" t="str">
        <f t="shared" si="1"/>
        <v>عبدالمحسن بن محمد بن ابراهيم حمد</v>
      </c>
      <c r="N9" s="19" t="str">
        <f t="shared" si="2"/>
        <v>عبدالمحسن bin محمد bin ابراهيم Al-حمد</v>
      </c>
      <c r="O9" s="19" t="str">
        <f t="shared" ca="1" si="3"/>
        <v/>
      </c>
      <c r="P9" s="19">
        <f t="shared" si="4"/>
        <v>0</v>
      </c>
      <c r="Q9" s="19"/>
      <c r="R9" s="19"/>
      <c r="S9" s="19" t="str">
        <f t="shared" si="5"/>
        <v>Living</v>
      </c>
      <c r="T9" s="19"/>
      <c r="U9" s="19"/>
      <c r="V9" s="19"/>
      <c r="W9" s="19"/>
      <c r="X9" s="19"/>
      <c r="Y9" s="19"/>
      <c r="Z9" s="19"/>
    </row>
    <row r="10" spans="1:26" hidden="1" x14ac:dyDescent="0.2">
      <c r="A10" s="19" t="str">
        <f t="shared" si="0"/>
        <v>P009</v>
      </c>
      <c r="B10" s="19" t="s">
        <v>105</v>
      </c>
      <c r="C10" s="19" t="s">
        <v>100</v>
      </c>
      <c r="D10" s="19" t="s">
        <v>27</v>
      </c>
      <c r="E10" s="19" t="s">
        <v>31</v>
      </c>
      <c r="F10" s="19" t="s">
        <v>103</v>
      </c>
      <c r="G10" s="1" t="s">
        <v>35</v>
      </c>
      <c r="H10" s="19"/>
      <c r="I10" s="19"/>
      <c r="J10" s="19"/>
      <c r="K10" s="19">
        <f>IF(F10="",1,IFERROR(VLOOKUP(F10,A:K,11,FALSE)+1,1))</f>
        <v>4</v>
      </c>
      <c r="L10" s="19" t="str">
        <f>IF(F10="","الأصل",IF(VLOOKUP(F10,A:L,12,FALSE)="الأصل","الفرع "&amp;K10-1,VLOOKUP(F10,A:L,12,FALSE)))</f>
        <v>الابراهيم</v>
      </c>
      <c r="M10" s="19" t="str">
        <f t="shared" si="1"/>
        <v>عبدالرحمن بن محمد بن ابراهيم حمد</v>
      </c>
      <c r="N10" s="19" t="str">
        <f t="shared" si="2"/>
        <v>عبدالرحمن bin محمد bin ابراهيم Al-حمد</v>
      </c>
      <c r="O10" s="19" t="str">
        <f t="shared" ca="1" si="3"/>
        <v/>
      </c>
      <c r="P10" s="19">
        <f t="shared" si="4"/>
        <v>0</v>
      </c>
      <c r="Q10" s="19"/>
      <c r="R10" s="19"/>
      <c r="S10" s="19" t="str">
        <f t="shared" si="5"/>
        <v>Living</v>
      </c>
      <c r="T10" s="19"/>
      <c r="U10" s="19"/>
      <c r="V10" s="19"/>
      <c r="W10" s="19"/>
      <c r="X10" s="19"/>
      <c r="Y10" s="19"/>
      <c r="Z10" s="19"/>
    </row>
    <row r="11" spans="1:26" hidden="1" x14ac:dyDescent="0.2">
      <c r="A11" s="1" t="str">
        <f t="shared" si="0"/>
        <v>P010</v>
      </c>
      <c r="B11" s="1" t="s">
        <v>104</v>
      </c>
      <c r="C11" s="1" t="s">
        <v>102</v>
      </c>
      <c r="D11" s="1" t="s">
        <v>27</v>
      </c>
      <c r="E11" s="1" t="s">
        <v>31</v>
      </c>
      <c r="F11" s="1" t="s">
        <v>106</v>
      </c>
      <c r="G11" s="1" t="s">
        <v>35</v>
      </c>
      <c r="H11" s="1"/>
      <c r="I11" s="1"/>
      <c r="J11" s="1"/>
      <c r="K11" s="1">
        <f>IF(F11="",1,IFERROR(VLOOKUP(F11,A:K,11,FALSE)+1,1))</f>
        <v>4</v>
      </c>
      <c r="L11" s="1" t="str">
        <f>IF(F11="","الأصل",IF(VLOOKUP(F11,A:L,12,FALSE)="الأصل","الفرع "&amp;K11-1,VLOOKUP(F11,A:L,12,FALSE)))</f>
        <v>الابراهيم</v>
      </c>
      <c r="M11" s="1" t="str">
        <f t="shared" si="1"/>
        <v>عبدالمحسن بن ناصر بن ابراهيم حمد</v>
      </c>
      <c r="N11" s="1" t="str">
        <f t="shared" si="2"/>
        <v>عبدالمحسن bin ناصر bin ابراهيم Al-حمد</v>
      </c>
      <c r="O11" s="1" t="str">
        <f t="shared" ca="1" si="3"/>
        <v/>
      </c>
      <c r="P11" s="1">
        <f t="shared" si="4"/>
        <v>0</v>
      </c>
      <c r="Q11" s="1"/>
      <c r="R11" s="1"/>
      <c r="S11" s="1" t="str">
        <f t="shared" si="5"/>
        <v>Living</v>
      </c>
    </row>
    <row r="12" spans="1:26" hidden="1" x14ac:dyDescent="0.2">
      <c r="A12" s="1" t="str">
        <f t="shared" si="0"/>
        <v>P011</v>
      </c>
      <c r="B12" s="1" t="s">
        <v>27</v>
      </c>
      <c r="C12" s="1" t="s">
        <v>102</v>
      </c>
      <c r="D12" s="1" t="s">
        <v>27</v>
      </c>
      <c r="E12" s="1" t="s">
        <v>31</v>
      </c>
      <c r="F12" s="1" t="s">
        <v>106</v>
      </c>
      <c r="G12" s="1" t="s">
        <v>35</v>
      </c>
      <c r="H12" s="1"/>
      <c r="I12" s="1"/>
      <c r="J12" s="1"/>
      <c r="K12" s="1">
        <f>IF(F12="",1,IFERROR(VLOOKUP(F12,A:K,11,FALSE)+1,1))</f>
        <v>4</v>
      </c>
      <c r="L12" s="1" t="str">
        <f>IF(F12="","الأصل",IF(VLOOKUP(F12,A:L,12,FALSE)="الأصل","الفرع "&amp;K12-1,VLOOKUP(F12,A:L,12,FALSE)))</f>
        <v>الابراهيم</v>
      </c>
      <c r="M12" s="1" t="str">
        <f t="shared" si="1"/>
        <v>ابراهيم بن ناصر بن ابراهيم حمد</v>
      </c>
      <c r="N12" s="1" t="str">
        <f t="shared" si="2"/>
        <v>ابراهيم bin ناصر bin ابراهيم Al-حمد</v>
      </c>
      <c r="O12" s="1" t="str">
        <f t="shared" ca="1" si="3"/>
        <v/>
      </c>
      <c r="P12" s="1">
        <f t="shared" si="4"/>
        <v>0</v>
      </c>
      <c r="Q12" s="1"/>
      <c r="R12" s="1"/>
      <c r="S12" s="1" t="str">
        <f t="shared" si="5"/>
        <v>Living</v>
      </c>
    </row>
    <row r="13" spans="1:26" hidden="1" x14ac:dyDescent="0.2">
      <c r="A13" s="1" t="str">
        <f t="shared" si="0"/>
        <v>P012</v>
      </c>
      <c r="B13" s="1" t="s">
        <v>102</v>
      </c>
      <c r="C13" s="1" t="s">
        <v>27</v>
      </c>
      <c r="D13" s="1" t="s">
        <v>102</v>
      </c>
      <c r="E13" s="1" t="s">
        <v>27</v>
      </c>
      <c r="F13" s="1" t="s">
        <v>107</v>
      </c>
      <c r="G13" s="1" t="s">
        <v>35</v>
      </c>
      <c r="H13" s="1"/>
      <c r="I13" s="1"/>
      <c r="J13" s="1"/>
      <c r="K13" s="1">
        <f>IF(F13="",1,IFERROR(VLOOKUP(F13,A:K,11,FALSE)+1,1))</f>
        <v>5</v>
      </c>
      <c r="L13" s="1" t="str">
        <f>IF(F13="","الأصل",IF(VLOOKUP(F13,A:L,12,FALSE)="الأصل","الفرع "&amp;K13-1,VLOOKUP(F13,A:L,12,FALSE)))</f>
        <v>الابراهيم</v>
      </c>
      <c r="M13" s="1" t="str">
        <f t="shared" si="1"/>
        <v>ناصر بن ابراهيم بن ناصر ابراهيم</v>
      </c>
      <c r="N13" s="1" t="str">
        <f t="shared" si="2"/>
        <v>ناصر bin ابراهيم bin ناصر Al-ابراهيم</v>
      </c>
      <c r="O13" s="1" t="str">
        <f t="shared" ca="1" si="3"/>
        <v/>
      </c>
      <c r="P13" s="1">
        <f t="shared" si="4"/>
        <v>0</v>
      </c>
      <c r="Q13" s="1"/>
      <c r="R13" s="1"/>
      <c r="S13" s="1" t="str">
        <f t="shared" si="5"/>
        <v>Living</v>
      </c>
    </row>
    <row r="14" spans="1:26" hidden="1" x14ac:dyDescent="0.2">
      <c r="A14" s="1" t="str">
        <f t="shared" si="0"/>
        <v>P013</v>
      </c>
      <c r="B14" s="1" t="s">
        <v>105</v>
      </c>
      <c r="C14" s="1" t="s">
        <v>27</v>
      </c>
      <c r="D14" s="1" t="s">
        <v>102</v>
      </c>
      <c r="E14" s="1" t="s">
        <v>27</v>
      </c>
      <c r="F14" s="1" t="s">
        <v>107</v>
      </c>
      <c r="G14" s="1" t="s">
        <v>35</v>
      </c>
      <c r="H14" s="1"/>
      <c r="I14" s="1"/>
      <c r="J14" s="1"/>
      <c r="K14" s="1">
        <f>IF(F14="",1,IFERROR(VLOOKUP(F14,A:K,11,FALSE)+1,1))</f>
        <v>5</v>
      </c>
      <c r="L14" s="1" t="str">
        <f>IF(F14="","الأصل",IF(VLOOKUP(F14,A:L,12,FALSE)="الأصل","الفرع "&amp;K14-1,VLOOKUP(F14,A:L,12,FALSE)))</f>
        <v>الابراهيم</v>
      </c>
      <c r="M14" s="1" t="str">
        <f t="shared" si="1"/>
        <v>عبدالرحمن بن ابراهيم بن ناصر ابراهيم</v>
      </c>
      <c r="N14" s="1" t="str">
        <f t="shared" si="2"/>
        <v>عبدالرحمن bin ابراهيم bin ناصر Al-ابراهيم</v>
      </c>
      <c r="O14" s="1" t="str">
        <f t="shared" ca="1" si="3"/>
        <v/>
      </c>
      <c r="P14" s="1">
        <f t="shared" si="4"/>
        <v>0</v>
      </c>
      <c r="Q14" s="1"/>
      <c r="R14" s="1"/>
      <c r="S14" s="1" t="str">
        <f t="shared" si="5"/>
        <v>Living</v>
      </c>
    </row>
    <row r="15" spans="1:26" hidden="1" x14ac:dyDescent="0.2">
      <c r="A15" s="1" t="str">
        <f t="shared" si="0"/>
        <v>P014</v>
      </c>
      <c r="B15" s="1" t="s">
        <v>96</v>
      </c>
      <c r="C15" s="1" t="s">
        <v>27</v>
      </c>
      <c r="D15" s="1" t="s">
        <v>102</v>
      </c>
      <c r="E15" s="1" t="s">
        <v>27</v>
      </c>
      <c r="F15" s="1" t="s">
        <v>107</v>
      </c>
      <c r="G15" s="1" t="s">
        <v>35</v>
      </c>
      <c r="H15" s="1"/>
      <c r="I15" s="1"/>
      <c r="J15" s="1"/>
      <c r="K15" s="1">
        <f>IF(F15="",1,IFERROR(VLOOKUP(F15,A:K,11,FALSE)+1,1))</f>
        <v>5</v>
      </c>
      <c r="L15" s="1" t="str">
        <f>IF(F15="","الأصل",IF(VLOOKUP(F15,A:L,12,FALSE)="الأصل","الفرع "&amp;K15-1,VLOOKUP(F15,A:L,12,FALSE)))</f>
        <v>الابراهيم</v>
      </c>
      <c r="M15" s="1" t="str">
        <f t="shared" si="1"/>
        <v>عبدالكريم بن ابراهيم بن ناصر ابراهيم</v>
      </c>
      <c r="N15" s="1" t="str">
        <f t="shared" si="2"/>
        <v>عبدالكريم bin ابراهيم bin ناصر Al-ابراهيم</v>
      </c>
      <c r="O15" s="1" t="str">
        <f t="shared" ca="1" si="3"/>
        <v/>
      </c>
      <c r="P15" s="1">
        <f t="shared" si="4"/>
        <v>0</v>
      </c>
      <c r="Q15" s="1"/>
      <c r="R15" s="1"/>
      <c r="S15" s="1" t="str">
        <f t="shared" si="5"/>
        <v>Living</v>
      </c>
    </row>
    <row r="16" spans="1:26" hidden="1" x14ac:dyDescent="0.2">
      <c r="A16" s="1" t="str">
        <f t="shared" si="0"/>
        <v>P015</v>
      </c>
      <c r="B16" s="1" t="s">
        <v>108</v>
      </c>
      <c r="C16" s="1" t="s">
        <v>27</v>
      </c>
      <c r="D16" s="1" t="s">
        <v>102</v>
      </c>
      <c r="E16" s="1" t="s">
        <v>27</v>
      </c>
      <c r="F16" s="1" t="s">
        <v>107</v>
      </c>
      <c r="G16" s="1" t="s">
        <v>35</v>
      </c>
      <c r="H16" s="1"/>
      <c r="I16" s="1"/>
      <c r="J16" s="1"/>
      <c r="K16" s="1">
        <f>IF(F16="",1,IFERROR(VLOOKUP(F16,A:K,11,FALSE)+1,1))</f>
        <v>5</v>
      </c>
      <c r="L16" s="1" t="str">
        <f>IF(F16="","الأصل",IF(VLOOKUP(F16,A:L,12,FALSE)="الأصل","الفرع "&amp;K16-1,VLOOKUP(F16,A:L,12,FALSE)))</f>
        <v>الابراهيم</v>
      </c>
      <c r="M16" s="1" t="str">
        <f t="shared" si="1"/>
        <v>عبدالعزيز بن ابراهيم بن ناصر ابراهيم</v>
      </c>
      <c r="N16" s="1" t="str">
        <f t="shared" si="2"/>
        <v>عبدالعزيز bin ابراهيم bin ناصر Al-ابراهيم</v>
      </c>
      <c r="O16" s="1" t="str">
        <f t="shared" ca="1" si="3"/>
        <v/>
      </c>
      <c r="P16" s="1">
        <f t="shared" si="4"/>
        <v>0</v>
      </c>
      <c r="Q16" s="1"/>
      <c r="R16" s="1"/>
      <c r="S16" s="1" t="str">
        <f t="shared" si="5"/>
        <v>Living</v>
      </c>
    </row>
    <row r="17" spans="1:19" hidden="1" x14ac:dyDescent="0.2">
      <c r="A17" s="1" t="str">
        <f t="shared" si="0"/>
        <v>P016</v>
      </c>
      <c r="B17" s="1" t="s">
        <v>100</v>
      </c>
      <c r="C17" s="1" t="s">
        <v>102</v>
      </c>
      <c r="D17" s="1" t="s">
        <v>27</v>
      </c>
      <c r="E17" s="1" t="s">
        <v>102</v>
      </c>
      <c r="F17" s="1" t="s">
        <v>109</v>
      </c>
      <c r="G17" s="1" t="s">
        <v>35</v>
      </c>
      <c r="H17" s="1"/>
      <c r="I17" s="1"/>
      <c r="J17" s="1"/>
      <c r="K17" s="1">
        <f>IF(F17="",1,IFERROR(VLOOKUP(F17,A:K,11,FALSE)+1,1))</f>
        <v>6</v>
      </c>
      <c r="L17" s="1" t="str">
        <f>IF(F17="","الأصل",IF(VLOOKUP(F17,A:L,12,FALSE)="الأصل","الفرع "&amp;K17-1,VLOOKUP(F17,A:L,12,FALSE)))</f>
        <v>الابراهيم</v>
      </c>
      <c r="M17" s="1" t="str">
        <f t="shared" si="1"/>
        <v>محمد بن ناصر بن ابراهيم ناصر</v>
      </c>
      <c r="N17" s="1" t="str">
        <f t="shared" si="2"/>
        <v>محمد bin ناصر bin ابراهيم Al-ناصر</v>
      </c>
      <c r="O17" s="1" t="str">
        <f t="shared" ca="1" si="3"/>
        <v/>
      </c>
      <c r="P17" s="1">
        <f t="shared" si="4"/>
        <v>0</v>
      </c>
      <c r="Q17" s="1"/>
      <c r="R17" s="1"/>
      <c r="S17" s="1" t="str">
        <f t="shared" si="5"/>
        <v>Living</v>
      </c>
    </row>
    <row r="18" spans="1:19" hidden="1" x14ac:dyDescent="0.2">
      <c r="A18" s="1" t="str">
        <f t="shared" si="0"/>
        <v>P017</v>
      </c>
      <c r="B18" s="1" t="s">
        <v>27</v>
      </c>
      <c r="C18" s="1" t="s">
        <v>102</v>
      </c>
      <c r="D18" s="1" t="s">
        <v>27</v>
      </c>
      <c r="E18" s="1" t="s">
        <v>102</v>
      </c>
      <c r="F18" s="1" t="s">
        <v>109</v>
      </c>
      <c r="G18" s="1" t="s">
        <v>35</v>
      </c>
      <c r="H18" s="1"/>
      <c r="I18" s="1"/>
      <c r="J18" s="1"/>
      <c r="K18" s="1">
        <f>IF(F18="",1,IFERROR(VLOOKUP(F18,A:K,11,FALSE)+1,1))</f>
        <v>6</v>
      </c>
      <c r="L18" s="1" t="str">
        <f>IF(F18="","الأصل",IF(VLOOKUP(F18,A:L,12,FALSE)="الأصل","الفرع "&amp;K18-1,VLOOKUP(F18,A:L,12,FALSE)))</f>
        <v>الابراهيم</v>
      </c>
      <c r="M18" s="1" t="str">
        <f t="shared" si="1"/>
        <v>ابراهيم بن ناصر بن ابراهيم ناصر</v>
      </c>
      <c r="N18" s="1" t="str">
        <f t="shared" si="2"/>
        <v>ابراهيم bin ناصر bin ابراهيم Al-ناصر</v>
      </c>
      <c r="O18" s="1" t="str">
        <f t="shared" ca="1" si="3"/>
        <v/>
      </c>
      <c r="P18" s="1">
        <f t="shared" si="4"/>
        <v>0</v>
      </c>
      <c r="Q18" s="1"/>
      <c r="R18" s="1"/>
      <c r="S18" s="1" t="str">
        <f t="shared" si="5"/>
        <v>Living</v>
      </c>
    </row>
    <row r="19" spans="1:19" hidden="1" x14ac:dyDescent="0.2">
      <c r="A19" s="1" t="str">
        <f t="shared" si="0"/>
        <v>P018</v>
      </c>
      <c r="B19" s="1" t="s">
        <v>110</v>
      </c>
      <c r="C19" s="1" t="s">
        <v>102</v>
      </c>
      <c r="D19" s="1" t="s">
        <v>27</v>
      </c>
      <c r="E19" s="1" t="s">
        <v>102</v>
      </c>
      <c r="F19" s="1" t="s">
        <v>109</v>
      </c>
      <c r="G19" s="1" t="s">
        <v>35</v>
      </c>
      <c r="H19" s="1"/>
      <c r="I19" s="1"/>
      <c r="J19" s="1"/>
      <c r="K19" s="1">
        <f>IF(F19="",1,IFERROR(VLOOKUP(F19,A:K,11,FALSE)+1,1))</f>
        <v>6</v>
      </c>
      <c r="L19" s="1" t="str">
        <f>IF(F19="","الأصل",IF(VLOOKUP(F19,A:L,12,FALSE)="الأصل","الفرع "&amp;K19-1,VLOOKUP(F19,A:L,12,FALSE)))</f>
        <v>الابراهيم</v>
      </c>
      <c r="M19" s="1" t="str">
        <f t="shared" si="1"/>
        <v>سعد بن ناصر بن ابراهيم ناصر</v>
      </c>
      <c r="N19" s="1" t="str">
        <f t="shared" si="2"/>
        <v>سعد bin ناصر bin ابراهيم Al-ناصر</v>
      </c>
      <c r="O19" s="1" t="str">
        <f t="shared" ca="1" si="3"/>
        <v/>
      </c>
      <c r="P19" s="1">
        <f t="shared" si="4"/>
        <v>0</v>
      </c>
      <c r="Q19" s="1"/>
      <c r="R19" s="1"/>
      <c r="S19" s="1" t="str">
        <f t="shared" si="5"/>
        <v>Living</v>
      </c>
    </row>
    <row r="20" spans="1:19" hidden="1" x14ac:dyDescent="0.2">
      <c r="A20" s="1" t="str">
        <f t="shared" si="0"/>
        <v>P019</v>
      </c>
      <c r="B20" s="1" t="s">
        <v>111</v>
      </c>
      <c r="C20" s="1" t="s">
        <v>102</v>
      </c>
      <c r="D20" s="1" t="s">
        <v>27</v>
      </c>
      <c r="E20" s="1" t="s">
        <v>102</v>
      </c>
      <c r="F20" s="1" t="s">
        <v>109</v>
      </c>
      <c r="G20" s="1" t="s">
        <v>35</v>
      </c>
      <c r="H20" s="1"/>
      <c r="I20" s="1"/>
      <c r="J20" s="1"/>
      <c r="K20" s="1">
        <f>IF(F20="",1,IFERROR(VLOOKUP(F20,A:K,11,FALSE)+1,1))</f>
        <v>6</v>
      </c>
      <c r="L20" s="1" t="str">
        <f>IF(F20="","الأصل",IF(VLOOKUP(F20,A:L,12,FALSE)="الأصل","الفرع "&amp;K20-1,VLOOKUP(F20,A:L,12,FALSE)))</f>
        <v>الابراهيم</v>
      </c>
      <c r="M20" s="1" t="str">
        <f t="shared" si="1"/>
        <v>فهد بن ناصر بن ابراهيم ناصر</v>
      </c>
      <c r="N20" s="1" t="str">
        <f t="shared" si="2"/>
        <v>فهد bin ناصر bin ابراهيم Al-ناصر</v>
      </c>
      <c r="O20" s="1" t="str">
        <f t="shared" ca="1" si="3"/>
        <v/>
      </c>
      <c r="P20" s="1">
        <f t="shared" si="4"/>
        <v>0</v>
      </c>
      <c r="Q20" s="1"/>
      <c r="R20" s="1"/>
      <c r="S20" s="1" t="str">
        <f t="shared" si="5"/>
        <v>Living</v>
      </c>
    </row>
    <row r="21" spans="1:19" ht="15.75" hidden="1" customHeight="1" x14ac:dyDescent="0.2">
      <c r="A21" s="1" t="str">
        <f t="shared" si="0"/>
        <v>P020</v>
      </c>
      <c r="B21" s="1" t="s">
        <v>112</v>
      </c>
      <c r="C21" s="1" t="s">
        <v>102</v>
      </c>
      <c r="D21" s="1" t="s">
        <v>27</v>
      </c>
      <c r="E21" s="1" t="s">
        <v>102</v>
      </c>
      <c r="F21" s="1" t="s">
        <v>109</v>
      </c>
      <c r="G21" s="1" t="s">
        <v>35</v>
      </c>
      <c r="H21" s="1"/>
      <c r="I21" s="1"/>
      <c r="J21" s="1"/>
      <c r="K21" s="1">
        <f>IF(F21="",1,IFERROR(VLOOKUP(F21,A:K,11,FALSE)+1,1))</f>
        <v>6</v>
      </c>
      <c r="L21" s="1" t="str">
        <f>IF(F21="","الأصل",IF(VLOOKUP(F21,A:L,12,FALSE)="الأصل","الفرع "&amp;K21-1,VLOOKUP(F21,A:L,12,FALSE)))</f>
        <v>الابراهيم</v>
      </c>
      <c r="M21" s="1" t="str">
        <f t="shared" si="1"/>
        <v>خالد بن ناصر بن ابراهيم ناصر</v>
      </c>
      <c r="N21" s="1" t="str">
        <f t="shared" si="2"/>
        <v>خالد bin ناصر bin ابراهيم Al-ناصر</v>
      </c>
      <c r="O21" s="1" t="str">
        <f t="shared" ca="1" si="3"/>
        <v/>
      </c>
      <c r="P21" s="1">
        <f t="shared" si="4"/>
        <v>0</v>
      </c>
      <c r="Q21" s="1"/>
      <c r="R21" s="1"/>
      <c r="S21" s="1" t="str">
        <f t="shared" si="5"/>
        <v>Living</v>
      </c>
    </row>
    <row r="22" spans="1:19" ht="15.75" hidden="1" customHeight="1" x14ac:dyDescent="0.2">
      <c r="A22" s="1" t="str">
        <f t="shared" si="0"/>
        <v>P021</v>
      </c>
      <c r="B22" s="1" t="s">
        <v>113</v>
      </c>
      <c r="C22" s="1" t="s">
        <v>102</v>
      </c>
      <c r="D22" s="1" t="s">
        <v>27</v>
      </c>
      <c r="E22" s="1" t="s">
        <v>102</v>
      </c>
      <c r="F22" s="1" t="s">
        <v>109</v>
      </c>
      <c r="G22" s="1" t="s">
        <v>35</v>
      </c>
      <c r="H22" s="1"/>
      <c r="I22" s="1"/>
      <c r="J22" s="1"/>
      <c r="K22" s="1">
        <f>IF(F22="",1,IFERROR(VLOOKUP(F22,A:K,11,FALSE)+1,1))</f>
        <v>6</v>
      </c>
      <c r="L22" s="1" t="str">
        <f>IF(F22="","الأصل",IF(VLOOKUP(F22,A:L,12,FALSE)="الأصل","الفرع "&amp;K22-1,VLOOKUP(F22,A:L,12,FALSE)))</f>
        <v>الابراهيم</v>
      </c>
      <c r="M22" s="1" t="str">
        <f t="shared" si="1"/>
        <v>شايع بن ناصر بن ابراهيم ناصر</v>
      </c>
      <c r="N22" s="1" t="str">
        <f t="shared" si="2"/>
        <v>شايع bin ناصر bin ابراهيم Al-ناصر</v>
      </c>
      <c r="O22" s="1" t="str">
        <f t="shared" ca="1" si="3"/>
        <v/>
      </c>
      <c r="P22" s="1">
        <f t="shared" si="4"/>
        <v>0</v>
      </c>
      <c r="Q22" s="1"/>
      <c r="R22" s="1"/>
      <c r="S22" s="1" t="str">
        <f t="shared" si="5"/>
        <v>Living</v>
      </c>
    </row>
    <row r="23" spans="1:19" ht="15.75" hidden="1" customHeight="1" x14ac:dyDescent="0.2">
      <c r="A23" s="1" t="str">
        <f t="shared" si="0"/>
        <v>P022</v>
      </c>
      <c r="B23" s="1" t="s">
        <v>112</v>
      </c>
      <c r="C23" s="1" t="s">
        <v>100</v>
      </c>
      <c r="D23" s="1" t="s">
        <v>102</v>
      </c>
      <c r="E23" s="1" t="s">
        <v>27</v>
      </c>
      <c r="F23" s="1" t="s">
        <v>114</v>
      </c>
      <c r="G23" s="1" t="s">
        <v>35</v>
      </c>
      <c r="H23" s="1"/>
      <c r="I23" s="1"/>
      <c r="J23" s="1"/>
      <c r="K23" s="1">
        <f>IF(F23="",1,IFERROR(VLOOKUP(F23,A:K,11,FALSE)+1,1))</f>
        <v>7</v>
      </c>
      <c r="L23" s="1" t="str">
        <f>IF(F23="","الأصل",IF(VLOOKUP(F23,A:L,12,FALSE)="الأصل","الفرع "&amp;K23-1,VLOOKUP(F23,A:L,12,FALSE)))</f>
        <v>الابراهيم</v>
      </c>
      <c r="M23" s="1" t="str">
        <f t="shared" si="1"/>
        <v>خالد بن محمد بن ناصر ابراهيم</v>
      </c>
      <c r="N23" s="1" t="str">
        <f t="shared" si="2"/>
        <v>خالد bin محمد bin ناصر Al-ابراهيم</v>
      </c>
      <c r="O23" s="1" t="str">
        <f t="shared" ca="1" si="3"/>
        <v/>
      </c>
      <c r="P23" s="1">
        <f t="shared" si="4"/>
        <v>0</v>
      </c>
      <c r="Q23" s="1"/>
      <c r="R23" s="1"/>
      <c r="S23" s="1" t="str">
        <f t="shared" si="5"/>
        <v>Living</v>
      </c>
    </row>
    <row r="24" spans="1:19" ht="15.75" hidden="1" customHeight="1" x14ac:dyDescent="0.2">
      <c r="A24" s="1" t="str">
        <f t="shared" si="0"/>
        <v>P023</v>
      </c>
      <c r="B24" s="1" t="s">
        <v>115</v>
      </c>
      <c r="C24" s="1" t="s">
        <v>100</v>
      </c>
      <c r="D24" s="1" t="s">
        <v>102</v>
      </c>
      <c r="E24" s="1" t="s">
        <v>27</v>
      </c>
      <c r="F24" s="1" t="s">
        <v>114</v>
      </c>
      <c r="G24" s="1" t="s">
        <v>35</v>
      </c>
      <c r="H24" s="1"/>
      <c r="I24" s="1"/>
      <c r="J24" s="1"/>
      <c r="K24" s="1">
        <f>IF(F24="",1,IFERROR(VLOOKUP(F24,A:K,11,FALSE)+1,1))</f>
        <v>7</v>
      </c>
      <c r="L24" s="1" t="str">
        <f>IF(F24="","الأصل",IF(VLOOKUP(F24,A:L,12,FALSE)="الأصل","الفرع "&amp;K24-1,VLOOKUP(F24,A:L,12,FALSE)))</f>
        <v>الابراهيم</v>
      </c>
      <c r="M24" s="1" t="str">
        <f t="shared" si="1"/>
        <v>وليد بن محمد بن ناصر ابراهيم</v>
      </c>
      <c r="N24" s="1" t="str">
        <f t="shared" si="2"/>
        <v>وليد bin محمد bin ناصر Al-ابراهيم</v>
      </c>
      <c r="O24" s="1" t="str">
        <f t="shared" ca="1" si="3"/>
        <v/>
      </c>
      <c r="P24" s="1">
        <f t="shared" si="4"/>
        <v>0</v>
      </c>
      <c r="Q24" s="1"/>
      <c r="R24" s="1"/>
      <c r="S24" s="1" t="str">
        <f t="shared" si="5"/>
        <v>Living</v>
      </c>
    </row>
    <row r="25" spans="1:19" ht="15.75" hidden="1" customHeight="1" x14ac:dyDescent="0.2">
      <c r="A25" s="1" t="str">
        <f t="shared" si="0"/>
        <v>P024</v>
      </c>
      <c r="B25" s="1" t="s">
        <v>108</v>
      </c>
      <c r="C25" s="1" t="s">
        <v>100</v>
      </c>
      <c r="D25" s="1" t="s">
        <v>102</v>
      </c>
      <c r="E25" s="1" t="s">
        <v>27</v>
      </c>
      <c r="F25" s="1" t="s">
        <v>114</v>
      </c>
      <c r="G25" s="1" t="s">
        <v>35</v>
      </c>
      <c r="H25" s="1"/>
      <c r="I25" s="1"/>
      <c r="J25" s="1"/>
      <c r="K25" s="1">
        <f>IF(F25="",1,IFERROR(VLOOKUP(F25,A:K,11,FALSE)+1,1))</f>
        <v>7</v>
      </c>
      <c r="L25" s="1" t="str">
        <f>IF(F25="","الأصل",IF(VLOOKUP(F25,A:L,12,FALSE)="الأصل","الفرع "&amp;K25-1,VLOOKUP(F25,A:L,12,FALSE)))</f>
        <v>الابراهيم</v>
      </c>
      <c r="M25" s="1" t="str">
        <f t="shared" si="1"/>
        <v>عبدالعزيز بن محمد بن ناصر ابراهيم</v>
      </c>
      <c r="N25" s="1" t="str">
        <f t="shared" si="2"/>
        <v>عبدالعزيز bin محمد bin ناصر Al-ابراهيم</v>
      </c>
      <c r="O25" s="1" t="str">
        <f t="shared" ca="1" si="3"/>
        <v/>
      </c>
      <c r="P25" s="1">
        <f t="shared" si="4"/>
        <v>0</v>
      </c>
      <c r="Q25" s="1"/>
      <c r="R25" s="1"/>
      <c r="S25" s="1" t="str">
        <f t="shared" si="5"/>
        <v>Living</v>
      </c>
    </row>
    <row r="26" spans="1:19" ht="15.75" hidden="1" customHeight="1" x14ac:dyDescent="0.2">
      <c r="A26" s="1" t="str">
        <f t="shared" si="0"/>
        <v>P025</v>
      </c>
      <c r="B26" s="1" t="s">
        <v>116</v>
      </c>
      <c r="C26" s="1" t="s">
        <v>100</v>
      </c>
      <c r="D26" s="1" t="s">
        <v>102</v>
      </c>
      <c r="E26" s="1" t="s">
        <v>27</v>
      </c>
      <c r="F26" s="1" t="s">
        <v>114</v>
      </c>
      <c r="G26" s="1" t="s">
        <v>35</v>
      </c>
      <c r="H26" s="1"/>
      <c r="I26" s="1"/>
      <c r="J26" s="1"/>
      <c r="K26" s="1">
        <f>IF(F26="",1,IFERROR(VLOOKUP(F26,A:K,11,FALSE)+1,1))</f>
        <v>7</v>
      </c>
      <c r="L26" s="1" t="str">
        <f>IF(F26="","الأصل",IF(VLOOKUP(F26,A:L,12,FALSE)="الأصل","الفرع "&amp;K26-1,VLOOKUP(F26,A:L,12,FALSE)))</f>
        <v>الابراهيم</v>
      </c>
      <c r="M26" s="1" t="str">
        <f t="shared" si="1"/>
        <v>فيصل بن محمد بن ناصر ابراهيم</v>
      </c>
      <c r="N26" s="1" t="str">
        <f t="shared" si="2"/>
        <v>فيصل bin محمد bin ناصر Al-ابراهيم</v>
      </c>
      <c r="O26" s="1" t="str">
        <f t="shared" ca="1" si="3"/>
        <v/>
      </c>
      <c r="P26" s="1">
        <f t="shared" si="4"/>
        <v>0</v>
      </c>
      <c r="Q26" s="1"/>
      <c r="R26" s="1"/>
      <c r="S26" s="1" t="str">
        <f t="shared" si="5"/>
        <v>Living</v>
      </c>
    </row>
    <row r="27" spans="1:19" ht="15.75" hidden="1" customHeight="1" x14ac:dyDescent="0.2">
      <c r="A27" s="1" t="str">
        <f t="shared" si="0"/>
        <v>P026</v>
      </c>
      <c r="B27" s="1" t="s">
        <v>117</v>
      </c>
      <c r="C27" s="1" t="s">
        <v>27</v>
      </c>
      <c r="D27" s="1" t="s">
        <v>102</v>
      </c>
      <c r="E27" s="1" t="s">
        <v>27</v>
      </c>
      <c r="F27" s="1" t="s">
        <v>118</v>
      </c>
      <c r="G27" s="1" t="s">
        <v>35</v>
      </c>
      <c r="H27" s="1"/>
      <c r="I27" s="1"/>
      <c r="J27" s="1"/>
      <c r="K27" s="1">
        <f>IF(F27="",1,IFERROR(VLOOKUP(F27,A:K,11,FALSE)+1,1))</f>
        <v>7</v>
      </c>
      <c r="L27" s="1" t="str">
        <f>IF(F27="","الأصل",IF(VLOOKUP(F27,A:L,12,FALSE)="الأصل","الفرع "&amp;K27-1,VLOOKUP(F27,A:L,12,FALSE)))</f>
        <v>الابراهيم</v>
      </c>
      <c r="M27" s="1" t="str">
        <f t="shared" si="1"/>
        <v>يزيد بن ابراهيم بن ناصر ابراهيم</v>
      </c>
      <c r="N27" s="1" t="str">
        <f t="shared" si="2"/>
        <v>يزيد bin ابراهيم bin ناصر Al-ابراهيم</v>
      </c>
      <c r="O27" s="1" t="str">
        <f t="shared" ca="1" si="3"/>
        <v/>
      </c>
      <c r="P27" s="1">
        <f t="shared" si="4"/>
        <v>0</v>
      </c>
      <c r="Q27" s="1"/>
      <c r="R27" s="1"/>
      <c r="S27" s="1" t="str">
        <f t="shared" si="5"/>
        <v>Living</v>
      </c>
    </row>
    <row r="28" spans="1:19" ht="15.75" hidden="1" customHeight="1" x14ac:dyDescent="0.2">
      <c r="A28" s="1" t="str">
        <f t="shared" si="0"/>
        <v>P027</v>
      </c>
      <c r="B28" s="1" t="s">
        <v>102</v>
      </c>
      <c r="C28" s="1" t="s">
        <v>27</v>
      </c>
      <c r="D28" s="1" t="s">
        <v>102</v>
      </c>
      <c r="E28" s="1" t="s">
        <v>27</v>
      </c>
      <c r="F28" s="1" t="s">
        <v>118</v>
      </c>
      <c r="G28" s="1" t="s">
        <v>35</v>
      </c>
      <c r="H28" s="1"/>
      <c r="I28" s="1"/>
      <c r="J28" s="1"/>
      <c r="K28" s="1">
        <f>IF(F28="",1,IFERROR(VLOOKUP(F28,A:K,11,FALSE)+1,1))</f>
        <v>7</v>
      </c>
      <c r="L28" s="1" t="str">
        <f>IF(F28="","الأصل",IF(VLOOKUP(F28,A:L,12,FALSE)="الأصل","الفرع "&amp;K28-1,VLOOKUP(F28,A:L,12,FALSE)))</f>
        <v>الابراهيم</v>
      </c>
      <c r="M28" s="1" t="str">
        <f t="shared" si="1"/>
        <v>ناصر بن ابراهيم بن ناصر ابراهيم</v>
      </c>
      <c r="N28" s="1" t="str">
        <f t="shared" si="2"/>
        <v>ناصر bin ابراهيم bin ناصر Al-ابراهيم</v>
      </c>
      <c r="O28" s="1" t="str">
        <f t="shared" ca="1" si="3"/>
        <v/>
      </c>
      <c r="P28" s="1">
        <f t="shared" si="4"/>
        <v>0</v>
      </c>
      <c r="Q28" s="1"/>
      <c r="R28" s="1"/>
      <c r="S28" s="1" t="str">
        <f t="shared" si="5"/>
        <v>Living</v>
      </c>
    </row>
    <row r="29" spans="1:19" ht="15.75" hidden="1" customHeight="1" x14ac:dyDescent="0.2">
      <c r="A29" s="1" t="str">
        <f t="shared" si="0"/>
        <v>P028</v>
      </c>
      <c r="B29" s="1" t="s">
        <v>108</v>
      </c>
      <c r="C29" s="1" t="s">
        <v>27</v>
      </c>
      <c r="D29" s="1" t="s">
        <v>102</v>
      </c>
      <c r="E29" s="1" t="s">
        <v>27</v>
      </c>
      <c r="F29" s="1" t="s">
        <v>118</v>
      </c>
      <c r="G29" s="1" t="s">
        <v>35</v>
      </c>
      <c r="H29" s="1"/>
      <c r="I29" s="1"/>
      <c r="J29" s="1"/>
      <c r="K29" s="1">
        <f>IF(F29="",1,IFERROR(VLOOKUP(F29,A:K,11,FALSE)+1,1))</f>
        <v>7</v>
      </c>
      <c r="L29" s="1" t="str">
        <f>IF(F29="","الأصل",IF(VLOOKUP(F29,A:L,12,FALSE)="الأصل","الفرع "&amp;K29-1,VLOOKUP(F29,A:L,12,FALSE)))</f>
        <v>الابراهيم</v>
      </c>
      <c r="M29" s="1" t="str">
        <f t="shared" si="1"/>
        <v>عبدالعزيز بن ابراهيم بن ناصر ابراهيم</v>
      </c>
      <c r="N29" s="1" t="str">
        <f t="shared" si="2"/>
        <v>عبدالعزيز bin ابراهيم bin ناصر Al-ابراهيم</v>
      </c>
      <c r="O29" s="1" t="str">
        <f t="shared" ca="1" si="3"/>
        <v/>
      </c>
      <c r="P29" s="1">
        <f t="shared" si="4"/>
        <v>0</v>
      </c>
      <c r="Q29" s="1"/>
      <c r="R29" s="1"/>
      <c r="S29" s="1" t="str">
        <f t="shared" si="5"/>
        <v>Living</v>
      </c>
    </row>
    <row r="30" spans="1:19" ht="15.75" hidden="1" customHeight="1" x14ac:dyDescent="0.2">
      <c r="A30" s="1" t="str">
        <f t="shared" si="0"/>
        <v>P029</v>
      </c>
      <c r="B30" s="1" t="s">
        <v>119</v>
      </c>
      <c r="C30" s="1" t="s">
        <v>27</v>
      </c>
      <c r="D30" s="1" t="s">
        <v>102</v>
      </c>
      <c r="E30" s="1" t="s">
        <v>27</v>
      </c>
      <c r="F30" s="1" t="s">
        <v>118</v>
      </c>
      <c r="G30" s="1" t="s">
        <v>35</v>
      </c>
      <c r="H30" s="1"/>
      <c r="I30" s="1"/>
      <c r="J30" s="1"/>
      <c r="K30" s="1">
        <f>IF(F30="",1,IFERROR(VLOOKUP(F30,A:K,11,FALSE)+1,1))</f>
        <v>7</v>
      </c>
      <c r="L30" s="1" t="str">
        <f>IF(F30="","الأصل",IF(VLOOKUP(F30,A:L,12,FALSE)="الأصل","الفرع "&amp;K30-1,VLOOKUP(F30,A:L,12,FALSE)))</f>
        <v>الابراهيم</v>
      </c>
      <c r="M30" s="1" t="str">
        <f t="shared" si="1"/>
        <v>عبدالله بن ابراهيم بن ناصر ابراهيم</v>
      </c>
      <c r="N30" s="1" t="str">
        <f t="shared" si="2"/>
        <v>عبدالله bin ابراهيم bin ناصر Al-ابراهيم</v>
      </c>
      <c r="O30" s="1" t="str">
        <f t="shared" ca="1" si="3"/>
        <v/>
      </c>
      <c r="P30" s="1">
        <f t="shared" si="4"/>
        <v>0</v>
      </c>
      <c r="Q30" s="1"/>
      <c r="R30" s="1"/>
      <c r="S30" s="1" t="str">
        <f t="shared" si="5"/>
        <v>Living</v>
      </c>
    </row>
    <row r="31" spans="1:19" ht="15.75" hidden="1" customHeight="1" x14ac:dyDescent="0.2">
      <c r="A31" s="1" t="str">
        <f t="shared" si="0"/>
        <v>P030</v>
      </c>
      <c r="B31" s="1" t="s">
        <v>102</v>
      </c>
      <c r="C31" s="1" t="s">
        <v>110</v>
      </c>
      <c r="D31" s="1" t="s">
        <v>102</v>
      </c>
      <c r="E31" s="1" t="s">
        <v>27</v>
      </c>
      <c r="F31" s="1" t="s">
        <v>120</v>
      </c>
      <c r="G31" s="1" t="s">
        <v>35</v>
      </c>
      <c r="H31" s="1"/>
      <c r="I31" s="1"/>
      <c r="J31" s="1"/>
      <c r="K31" s="1">
        <f>IF(F31="",1,IFERROR(VLOOKUP(F31,A:K,11,FALSE)+1,1))</f>
        <v>7</v>
      </c>
      <c r="L31" s="1" t="str">
        <f>IF(F31="","الأصل",IF(VLOOKUP(F31,A:L,12,FALSE)="الأصل","الفرع "&amp;K31-1,VLOOKUP(F31,A:L,12,FALSE)))</f>
        <v>الابراهيم</v>
      </c>
      <c r="M31" s="1" t="str">
        <f t="shared" si="1"/>
        <v>ناصر بن سعد بن ناصر ابراهيم</v>
      </c>
      <c r="N31" s="1" t="str">
        <f t="shared" si="2"/>
        <v>ناصر bin سعد bin ناصر Al-ابراهيم</v>
      </c>
      <c r="O31" s="1" t="str">
        <f t="shared" ca="1" si="3"/>
        <v/>
      </c>
      <c r="P31" s="1">
        <f t="shared" si="4"/>
        <v>0</v>
      </c>
      <c r="Q31" s="1"/>
      <c r="R31" s="1"/>
      <c r="S31" s="1" t="str">
        <f t="shared" si="5"/>
        <v>Living</v>
      </c>
    </row>
    <row r="32" spans="1:19" ht="15.75" hidden="1" customHeight="1" x14ac:dyDescent="0.2">
      <c r="A32" s="1" t="str">
        <f t="shared" si="0"/>
        <v>P031</v>
      </c>
      <c r="B32" s="1" t="s">
        <v>105</v>
      </c>
      <c r="C32" s="1" t="s">
        <v>110</v>
      </c>
      <c r="D32" s="1" t="s">
        <v>102</v>
      </c>
      <c r="E32" s="1" t="s">
        <v>27</v>
      </c>
      <c r="F32" s="1" t="s">
        <v>120</v>
      </c>
      <c r="G32" s="1" t="s">
        <v>35</v>
      </c>
      <c r="H32" s="1"/>
      <c r="I32" s="1"/>
      <c r="J32" s="1"/>
      <c r="K32" s="1">
        <f>IF(F32="",1,IFERROR(VLOOKUP(F32,A:K,11,FALSE)+1,1))</f>
        <v>7</v>
      </c>
      <c r="L32" s="1" t="str">
        <f>IF(F32="","الأصل",IF(VLOOKUP(F32,A:L,12,FALSE)="الأصل","الفرع "&amp;K32-1,VLOOKUP(F32,A:L,12,FALSE)))</f>
        <v>الابراهيم</v>
      </c>
      <c r="M32" s="1" t="str">
        <f t="shared" si="1"/>
        <v>عبدالرحمن بن سعد بن ناصر ابراهيم</v>
      </c>
      <c r="N32" s="1" t="str">
        <f t="shared" si="2"/>
        <v>عبدالرحمن bin سعد bin ناصر Al-ابراهيم</v>
      </c>
      <c r="O32" s="1" t="str">
        <f t="shared" ca="1" si="3"/>
        <v/>
      </c>
      <c r="P32" s="1">
        <f t="shared" si="4"/>
        <v>0</v>
      </c>
      <c r="Q32" s="1"/>
      <c r="R32" s="1"/>
      <c r="S32" s="1" t="str">
        <f t="shared" si="5"/>
        <v>Living</v>
      </c>
    </row>
    <row r="33" spans="1:19" ht="15.75" hidden="1" customHeight="1" x14ac:dyDescent="0.2">
      <c r="A33" s="1" t="str">
        <f t="shared" si="0"/>
        <v>P032</v>
      </c>
      <c r="B33" s="1" t="s">
        <v>121</v>
      </c>
      <c r="C33" s="1" t="s">
        <v>110</v>
      </c>
      <c r="D33" s="1" t="s">
        <v>102</v>
      </c>
      <c r="E33" s="1" t="s">
        <v>27</v>
      </c>
      <c r="F33" s="1" t="s">
        <v>120</v>
      </c>
      <c r="G33" s="1" t="s">
        <v>35</v>
      </c>
      <c r="H33" s="1"/>
      <c r="I33" s="1"/>
      <c r="J33" s="1"/>
      <c r="K33" s="1">
        <f>IF(F33="",1,IFERROR(VLOOKUP(F33,A:K,11,FALSE)+1,1))</f>
        <v>7</v>
      </c>
      <c r="L33" s="1" t="str">
        <f>IF(F33="","الأصل",IF(VLOOKUP(F33,A:L,12,FALSE)="الأصل","الفرع "&amp;K33-1,VLOOKUP(F33,A:L,12,FALSE)))</f>
        <v>الابراهيم</v>
      </c>
      <c r="M33" s="1" t="str">
        <f t="shared" si="1"/>
        <v>عبدالاله بن سعد بن ناصر ابراهيم</v>
      </c>
      <c r="N33" s="1" t="str">
        <f t="shared" si="2"/>
        <v>عبدالاله bin سعد bin ناصر Al-ابراهيم</v>
      </c>
      <c r="O33" s="1" t="str">
        <f t="shared" ca="1" si="3"/>
        <v/>
      </c>
      <c r="P33" s="1">
        <f t="shared" si="4"/>
        <v>0</v>
      </c>
      <c r="Q33" s="1"/>
      <c r="R33" s="1"/>
      <c r="S33" s="1" t="str">
        <f t="shared" si="5"/>
        <v>Living</v>
      </c>
    </row>
    <row r="34" spans="1:19" ht="15.75" hidden="1" customHeight="1" x14ac:dyDescent="0.2">
      <c r="A34" s="1" t="str">
        <f t="shared" si="0"/>
        <v>P033</v>
      </c>
      <c r="B34" s="1" t="s">
        <v>122</v>
      </c>
      <c r="C34" s="1" t="s">
        <v>111</v>
      </c>
      <c r="D34" s="1" t="s">
        <v>102</v>
      </c>
      <c r="E34" s="1" t="s">
        <v>27</v>
      </c>
      <c r="F34" s="1" t="s">
        <v>123</v>
      </c>
      <c r="G34" s="1" t="s">
        <v>35</v>
      </c>
      <c r="H34" s="1"/>
      <c r="I34" s="1"/>
      <c r="J34" s="1"/>
      <c r="K34" s="1">
        <f>IF(F34="",1,IFERROR(VLOOKUP(F34,A:K,11,FALSE)+1,1))</f>
        <v>7</v>
      </c>
      <c r="L34" s="1" t="str">
        <f>IF(F34="","الأصل",IF(VLOOKUP(F34,A:L,12,FALSE)="الأصل","الفرع "&amp;K34-1,VLOOKUP(F34,A:L,12,FALSE)))</f>
        <v>الابراهيم</v>
      </c>
      <c r="M34" s="1" t="str">
        <f t="shared" si="1"/>
        <v>ناصر  بن فهد بن ناصر ابراهيم</v>
      </c>
      <c r="N34" s="1" t="str">
        <f t="shared" si="2"/>
        <v>ناصر  bin فهد bin ناصر Al-ابراهيم</v>
      </c>
      <c r="O34" s="1" t="str">
        <f t="shared" ca="1" si="3"/>
        <v/>
      </c>
      <c r="P34" s="1">
        <f t="shared" si="4"/>
        <v>0</v>
      </c>
      <c r="Q34" s="1"/>
      <c r="R34" s="1"/>
      <c r="S34" s="1" t="str">
        <f t="shared" si="5"/>
        <v>Living</v>
      </c>
    </row>
    <row r="35" spans="1:19" ht="15.75" hidden="1" customHeight="1" x14ac:dyDescent="0.2">
      <c r="A35" s="1" t="str">
        <f t="shared" si="0"/>
        <v>P034</v>
      </c>
      <c r="B35" s="1" t="s">
        <v>105</v>
      </c>
      <c r="C35" s="1" t="s">
        <v>111</v>
      </c>
      <c r="D35" s="1" t="s">
        <v>102</v>
      </c>
      <c r="E35" s="1" t="s">
        <v>27</v>
      </c>
      <c r="F35" s="1" t="s">
        <v>123</v>
      </c>
      <c r="G35" s="1" t="s">
        <v>35</v>
      </c>
      <c r="H35" s="1"/>
      <c r="I35" s="1"/>
      <c r="J35" s="1"/>
      <c r="K35" s="1">
        <f>IF(F35="",1,IFERROR(VLOOKUP(F35,A:K,11,FALSE)+1,1))</f>
        <v>7</v>
      </c>
      <c r="L35" s="1" t="str">
        <f>IF(F35="","الأصل",IF(VLOOKUP(F35,A:L,12,FALSE)="الأصل","الفرع "&amp;K35-1,VLOOKUP(F35,A:L,12,FALSE)))</f>
        <v>الابراهيم</v>
      </c>
      <c r="M35" s="1" t="str">
        <f t="shared" si="1"/>
        <v>عبدالرحمن بن فهد بن ناصر ابراهيم</v>
      </c>
      <c r="N35" s="1" t="str">
        <f t="shared" si="2"/>
        <v>عبدالرحمن bin فهد bin ناصر Al-ابراهيم</v>
      </c>
      <c r="O35" s="1" t="str">
        <f t="shared" ca="1" si="3"/>
        <v/>
      </c>
      <c r="P35" s="1">
        <f t="shared" si="4"/>
        <v>0</v>
      </c>
      <c r="Q35" s="1"/>
      <c r="R35" s="1"/>
      <c r="S35" s="1" t="str">
        <f t="shared" si="5"/>
        <v>Living</v>
      </c>
    </row>
    <row r="36" spans="1:19" ht="15.75" hidden="1" customHeight="1" x14ac:dyDescent="0.2">
      <c r="A36" s="1" t="str">
        <f t="shared" si="0"/>
        <v>P035</v>
      </c>
      <c r="B36" s="1" t="s">
        <v>124</v>
      </c>
      <c r="C36" s="1" t="s">
        <v>111</v>
      </c>
      <c r="D36" s="1" t="s">
        <v>102</v>
      </c>
      <c r="E36" s="1" t="s">
        <v>27</v>
      </c>
      <c r="F36" s="1" t="s">
        <v>123</v>
      </c>
      <c r="G36" s="1" t="s">
        <v>35</v>
      </c>
      <c r="H36" s="1"/>
      <c r="I36" s="1"/>
      <c r="J36" s="1"/>
      <c r="K36" s="1">
        <f>IF(F36="",1,IFERROR(VLOOKUP(F36,A:K,11,FALSE)+1,1))</f>
        <v>7</v>
      </c>
      <c r="L36" s="1" t="str">
        <f>IF(F36="","الأصل",IF(VLOOKUP(F36,A:L,12,FALSE)="الأصل","الفرع "&amp;K36-1,VLOOKUP(F36,A:L,12,FALSE)))</f>
        <v>الابراهيم</v>
      </c>
      <c r="M36" s="1" t="str">
        <f t="shared" si="1"/>
        <v>البراء بن فهد بن ناصر ابراهيم</v>
      </c>
      <c r="N36" s="1" t="str">
        <f t="shared" si="2"/>
        <v>البراء bin فهد bin ناصر Al-ابراهيم</v>
      </c>
      <c r="O36" s="1" t="str">
        <f t="shared" ca="1" si="3"/>
        <v/>
      </c>
      <c r="P36" s="1">
        <f t="shared" si="4"/>
        <v>0</v>
      </c>
      <c r="Q36" s="1"/>
      <c r="R36" s="1"/>
      <c r="S36" s="1" t="str">
        <f t="shared" si="5"/>
        <v>Living</v>
      </c>
    </row>
    <row r="37" spans="1:19" ht="15.75" hidden="1" customHeight="1" x14ac:dyDescent="0.2">
      <c r="A37" s="1" t="str">
        <f t="shared" si="0"/>
        <v>P036</v>
      </c>
      <c r="B37" s="1" t="s">
        <v>102</v>
      </c>
      <c r="C37" s="1" t="s">
        <v>112</v>
      </c>
      <c r="D37" s="1" t="s">
        <v>102</v>
      </c>
      <c r="E37" s="1" t="s">
        <v>27</v>
      </c>
      <c r="F37" s="1" t="s">
        <v>125</v>
      </c>
      <c r="G37" s="1" t="s">
        <v>35</v>
      </c>
      <c r="H37" s="1"/>
      <c r="I37" s="1"/>
      <c r="J37" s="1"/>
      <c r="K37" s="1">
        <f>IF(F37="",1,IFERROR(VLOOKUP(F37,A:K,11,FALSE)+1,1))</f>
        <v>7</v>
      </c>
      <c r="L37" s="1" t="str">
        <f>IF(F37="","الأصل",IF(VLOOKUP(F37,A:L,12,FALSE)="الأصل","الفرع "&amp;K37-1,VLOOKUP(F37,A:L,12,FALSE)))</f>
        <v>الابراهيم</v>
      </c>
      <c r="M37" s="1" t="str">
        <f t="shared" si="1"/>
        <v>ناصر بن خالد بن ناصر ابراهيم</v>
      </c>
      <c r="N37" s="1" t="str">
        <f t="shared" si="2"/>
        <v>ناصر bin خالد bin ناصر Al-ابراهيم</v>
      </c>
      <c r="O37" s="1" t="str">
        <f t="shared" ca="1" si="3"/>
        <v/>
      </c>
      <c r="P37" s="1">
        <f t="shared" si="4"/>
        <v>0</v>
      </c>
      <c r="Q37" s="1"/>
      <c r="R37" s="1"/>
      <c r="S37" s="1" t="str">
        <f t="shared" si="5"/>
        <v>Living</v>
      </c>
    </row>
    <row r="38" spans="1:19" ht="15.75" hidden="1" customHeight="1" x14ac:dyDescent="0.2">
      <c r="A38" s="1" t="str">
        <f t="shared" si="0"/>
        <v>P037</v>
      </c>
      <c r="B38" s="1" t="s">
        <v>122</v>
      </c>
      <c r="C38" s="1" t="s">
        <v>113</v>
      </c>
      <c r="D38" s="1" t="s">
        <v>102</v>
      </c>
      <c r="E38" s="1" t="s">
        <v>27</v>
      </c>
      <c r="F38" s="1" t="s">
        <v>126</v>
      </c>
      <c r="G38" s="1" t="s">
        <v>35</v>
      </c>
      <c r="H38" s="1"/>
      <c r="I38" s="1"/>
      <c r="J38" s="1"/>
      <c r="K38" s="1">
        <f>IF(F38="",1,IFERROR(VLOOKUP(F38,A:K,11,FALSE)+1,1))</f>
        <v>7</v>
      </c>
      <c r="L38" s="1" t="str">
        <f>IF(F38="","الأصل",IF(VLOOKUP(F38,A:L,12,FALSE)="الأصل","الفرع "&amp;K38-1,VLOOKUP(F38,A:L,12,FALSE)))</f>
        <v>الابراهيم</v>
      </c>
      <c r="M38" s="1" t="str">
        <f t="shared" si="1"/>
        <v>ناصر  بن شايع بن ناصر ابراهيم</v>
      </c>
      <c r="N38" s="1" t="str">
        <f t="shared" si="2"/>
        <v>ناصر  bin شايع bin ناصر Al-ابراهيم</v>
      </c>
      <c r="O38" s="1" t="str">
        <f t="shared" ca="1" si="3"/>
        <v/>
      </c>
      <c r="P38" s="1">
        <f t="shared" si="4"/>
        <v>0</v>
      </c>
      <c r="Q38" s="1"/>
      <c r="R38" s="1"/>
      <c r="S38" s="1" t="str">
        <f t="shared" si="5"/>
        <v>Living</v>
      </c>
    </row>
    <row r="39" spans="1:19" ht="15.75" hidden="1" customHeight="1" x14ac:dyDescent="0.2">
      <c r="A39" s="1" t="str">
        <f t="shared" si="0"/>
        <v>P038</v>
      </c>
      <c r="B39" s="1" t="s">
        <v>27</v>
      </c>
      <c r="C39" s="21" t="s">
        <v>105</v>
      </c>
      <c r="D39" s="21" t="s">
        <v>27</v>
      </c>
      <c r="E39" s="1" t="s">
        <v>102</v>
      </c>
      <c r="F39" s="1" t="s">
        <v>127</v>
      </c>
      <c r="G39" s="1" t="s">
        <v>35</v>
      </c>
      <c r="H39" s="1"/>
      <c r="I39" s="1"/>
      <c r="J39" s="1"/>
      <c r="K39" s="1">
        <f>IF(F39="",1,IFERROR(VLOOKUP(F39,A:K,11,FALSE)+1,1))</f>
        <v>6</v>
      </c>
      <c r="L39" s="1" t="str">
        <f>IF(F39="","الأصل",IF(VLOOKUP(F39,A:L,12,FALSE)="الأصل","الفرع "&amp;K39-1,VLOOKUP(F39,A:L,12,FALSE)))</f>
        <v>الابراهيم</v>
      </c>
      <c r="M39" s="1" t="str">
        <f t="shared" si="1"/>
        <v>ابراهيم بن عبدالرحمن بن ابراهيم ناصر</v>
      </c>
      <c r="N39" s="1" t="str">
        <f t="shared" si="2"/>
        <v>ابراهيم bin عبدالرحمن bin ابراهيم Al-ناصر</v>
      </c>
      <c r="O39" s="1" t="str">
        <f t="shared" ca="1" si="3"/>
        <v/>
      </c>
      <c r="P39" s="1">
        <f t="shared" si="4"/>
        <v>0</v>
      </c>
      <c r="Q39" s="1"/>
      <c r="R39" s="1"/>
      <c r="S39" s="1" t="str">
        <f t="shared" si="5"/>
        <v>Living</v>
      </c>
    </row>
    <row r="40" spans="1:19" ht="15.75" hidden="1" customHeight="1" x14ac:dyDescent="0.2">
      <c r="A40" s="1" t="str">
        <f t="shared" si="0"/>
        <v>P039</v>
      </c>
      <c r="B40" s="1" t="s">
        <v>119</v>
      </c>
      <c r="C40" s="21" t="s">
        <v>105</v>
      </c>
      <c r="D40" s="21" t="s">
        <v>27</v>
      </c>
      <c r="E40" s="1" t="s">
        <v>102</v>
      </c>
      <c r="F40" s="1" t="s">
        <v>127</v>
      </c>
      <c r="G40" s="1" t="s">
        <v>35</v>
      </c>
      <c r="H40" s="1"/>
      <c r="I40" s="1"/>
      <c r="J40" s="1"/>
      <c r="K40" s="1">
        <f>IF(F40="",1,IFERROR(VLOOKUP(F40,A:K,11,FALSE)+1,1))</f>
        <v>6</v>
      </c>
      <c r="L40" s="1" t="str">
        <f>IF(F40="","الأصل",IF(VLOOKUP(F40,A:L,12,FALSE)="الأصل","الفرع "&amp;K40-1,VLOOKUP(F40,A:L,12,FALSE)))</f>
        <v>الابراهيم</v>
      </c>
      <c r="M40" s="1" t="str">
        <f t="shared" si="1"/>
        <v>عبدالله بن عبدالرحمن بن ابراهيم ناصر</v>
      </c>
      <c r="N40" s="1" t="str">
        <f t="shared" si="2"/>
        <v>عبدالله bin عبدالرحمن bin ابراهيم Al-ناصر</v>
      </c>
      <c r="O40" s="1" t="str">
        <f t="shared" ca="1" si="3"/>
        <v/>
      </c>
      <c r="P40" s="1">
        <f t="shared" si="4"/>
        <v>0</v>
      </c>
      <c r="Q40" s="1"/>
      <c r="R40" s="1"/>
      <c r="S40" s="1" t="str">
        <f t="shared" si="5"/>
        <v>Living</v>
      </c>
    </row>
    <row r="41" spans="1:19" ht="15.75" hidden="1" customHeight="1" x14ac:dyDescent="0.2">
      <c r="A41" s="1" t="str">
        <f t="shared" si="0"/>
        <v>P040</v>
      </c>
      <c r="B41" s="1" t="s">
        <v>100</v>
      </c>
      <c r="C41" s="21" t="s">
        <v>105</v>
      </c>
      <c r="D41" s="21" t="s">
        <v>27</v>
      </c>
      <c r="E41" s="1" t="s">
        <v>102</v>
      </c>
      <c r="F41" s="1" t="s">
        <v>127</v>
      </c>
      <c r="G41" s="1" t="s">
        <v>35</v>
      </c>
      <c r="H41" s="1"/>
      <c r="I41" s="1"/>
      <c r="J41" s="1"/>
      <c r="K41" s="1">
        <f>IF(F41="",1,IFERROR(VLOOKUP(F41,A:K,11,FALSE)+1,1))</f>
        <v>6</v>
      </c>
      <c r="L41" s="1" t="str">
        <f>IF(F41="","الأصل",IF(VLOOKUP(F41,A:L,12,FALSE)="الأصل","الفرع "&amp;K41-1,VLOOKUP(F41,A:L,12,FALSE)))</f>
        <v>الابراهيم</v>
      </c>
      <c r="M41" s="1" t="str">
        <f t="shared" si="1"/>
        <v>محمد بن عبدالرحمن بن ابراهيم ناصر</v>
      </c>
      <c r="N41" s="1" t="str">
        <f t="shared" si="2"/>
        <v>محمد bin عبدالرحمن bin ابراهيم Al-ناصر</v>
      </c>
      <c r="O41" s="1" t="str">
        <f t="shared" ca="1" si="3"/>
        <v/>
      </c>
      <c r="P41" s="1">
        <f t="shared" si="4"/>
        <v>0</v>
      </c>
      <c r="Q41" s="1"/>
      <c r="R41" s="1"/>
      <c r="S41" s="1" t="str">
        <f t="shared" si="5"/>
        <v>Living</v>
      </c>
    </row>
    <row r="42" spans="1:19" ht="15.75" hidden="1" customHeight="1" x14ac:dyDescent="0.2">
      <c r="A42" s="1" t="str">
        <f t="shared" si="0"/>
        <v>P041</v>
      </c>
      <c r="B42" s="1" t="s">
        <v>128</v>
      </c>
      <c r="C42" s="21" t="s">
        <v>105</v>
      </c>
      <c r="D42" s="21" t="s">
        <v>27</v>
      </c>
      <c r="E42" s="1" t="s">
        <v>102</v>
      </c>
      <c r="F42" s="1" t="s">
        <v>127</v>
      </c>
      <c r="G42" s="1" t="s">
        <v>35</v>
      </c>
      <c r="H42" s="1"/>
      <c r="I42" s="1"/>
      <c r="J42" s="1"/>
      <c r="K42" s="1">
        <f>IF(F42="",1,IFERROR(VLOOKUP(F42,A:K,11,FALSE)+1,1))</f>
        <v>6</v>
      </c>
      <c r="L42" s="1" t="str">
        <f>IF(F42="","الأصل",IF(VLOOKUP(F42,A:L,12,FALSE)="الأصل","الفرع "&amp;K42-1,VLOOKUP(F42,A:L,12,FALSE)))</f>
        <v>الابراهيم</v>
      </c>
      <c r="M42" s="1" t="str">
        <f t="shared" si="1"/>
        <v>أحمد بن عبدالرحمن بن ابراهيم ناصر</v>
      </c>
      <c r="N42" s="1" t="str">
        <f t="shared" si="2"/>
        <v>أحمد bin عبدالرحمن bin ابراهيم Al-ناصر</v>
      </c>
      <c r="O42" s="1" t="str">
        <f t="shared" ca="1" si="3"/>
        <v/>
      </c>
      <c r="P42" s="1">
        <f t="shared" si="4"/>
        <v>0</v>
      </c>
      <c r="Q42" s="1"/>
      <c r="R42" s="1"/>
      <c r="S42" s="1" t="str">
        <f t="shared" si="5"/>
        <v>Living</v>
      </c>
    </row>
    <row r="43" spans="1:19" ht="15.75" hidden="1" customHeight="1" x14ac:dyDescent="0.2">
      <c r="A43" s="1" t="str">
        <f t="shared" si="0"/>
        <v>P042</v>
      </c>
      <c r="B43" s="1" t="s">
        <v>129</v>
      </c>
      <c r="C43" s="1" t="s">
        <v>27</v>
      </c>
      <c r="D43" s="21" t="s">
        <v>105</v>
      </c>
      <c r="E43" s="21" t="s">
        <v>27</v>
      </c>
      <c r="F43" s="1" t="s">
        <v>130</v>
      </c>
      <c r="G43" s="1" t="s">
        <v>35</v>
      </c>
      <c r="H43" s="1"/>
      <c r="I43" s="1"/>
      <c r="J43" s="1"/>
      <c r="K43" s="1">
        <f>IF(F43="",1,IFERROR(VLOOKUP(F43,A:K,11,FALSE)+1,1))</f>
        <v>7</v>
      </c>
      <c r="L43" s="1" t="str">
        <f>IF(F43="","الأصل",IF(VLOOKUP(F43,A:L,12,FALSE)="الأصل","الفرع "&amp;K43-1,VLOOKUP(F43,A:L,12,FALSE)))</f>
        <v>الابراهيم</v>
      </c>
      <c r="M43" s="1" t="str">
        <f t="shared" si="1"/>
        <v>عادل بن ابراهيم بن عبدالرحمن ابراهيم</v>
      </c>
      <c r="N43" s="1" t="str">
        <f t="shared" si="2"/>
        <v>عادل bin ابراهيم bin عبدالرحمن Al-ابراهيم</v>
      </c>
      <c r="O43" s="1" t="str">
        <f t="shared" ca="1" si="3"/>
        <v/>
      </c>
      <c r="P43" s="1">
        <f t="shared" si="4"/>
        <v>0</v>
      </c>
      <c r="Q43" s="1"/>
      <c r="R43" s="1"/>
      <c r="S43" s="1" t="str">
        <f t="shared" si="5"/>
        <v>Living</v>
      </c>
    </row>
    <row r="44" spans="1:19" ht="15.75" hidden="1" customHeight="1" x14ac:dyDescent="0.2">
      <c r="A44" s="1" t="str">
        <f t="shared" si="0"/>
        <v>P043</v>
      </c>
      <c r="B44" s="1" t="s">
        <v>105</v>
      </c>
      <c r="C44" s="1" t="s">
        <v>27</v>
      </c>
      <c r="D44" s="21" t="s">
        <v>105</v>
      </c>
      <c r="E44" s="21" t="s">
        <v>27</v>
      </c>
      <c r="F44" s="1" t="s">
        <v>130</v>
      </c>
      <c r="G44" s="1" t="s">
        <v>35</v>
      </c>
      <c r="H44" s="1"/>
      <c r="I44" s="1"/>
      <c r="J44" s="1"/>
      <c r="K44" s="1">
        <f>IF(F44="",1,IFERROR(VLOOKUP(F44,A:K,11,FALSE)+1,1))</f>
        <v>7</v>
      </c>
      <c r="L44" s="1" t="str">
        <f>IF(F44="","الأصل",IF(VLOOKUP(F44,A:L,12,FALSE)="الأصل","الفرع "&amp;K44-1,VLOOKUP(F44,A:L,12,FALSE)))</f>
        <v>الابراهيم</v>
      </c>
      <c r="M44" s="1" t="str">
        <f t="shared" si="1"/>
        <v>عبدالرحمن بن ابراهيم بن عبدالرحمن ابراهيم</v>
      </c>
      <c r="N44" s="1" t="str">
        <f t="shared" si="2"/>
        <v>عبدالرحمن bin ابراهيم bin عبدالرحمن Al-ابراهيم</v>
      </c>
      <c r="O44" s="1" t="str">
        <f t="shared" ca="1" si="3"/>
        <v/>
      </c>
      <c r="P44" s="1">
        <f t="shared" si="4"/>
        <v>0</v>
      </c>
      <c r="Q44" s="1"/>
      <c r="R44" s="1"/>
      <c r="S44" s="1" t="str">
        <f t="shared" si="5"/>
        <v>Living</v>
      </c>
    </row>
    <row r="45" spans="1:19" ht="15.75" hidden="1" customHeight="1" x14ac:dyDescent="0.2">
      <c r="A45" s="1" t="str">
        <f t="shared" si="0"/>
        <v>P044</v>
      </c>
      <c r="B45" s="1" t="s">
        <v>119</v>
      </c>
      <c r="C45" s="1" t="s">
        <v>27</v>
      </c>
      <c r="D45" s="21" t="s">
        <v>105</v>
      </c>
      <c r="E45" s="21" t="s">
        <v>27</v>
      </c>
      <c r="F45" s="1" t="s">
        <v>130</v>
      </c>
      <c r="G45" s="1" t="s">
        <v>35</v>
      </c>
      <c r="H45" s="1"/>
      <c r="I45" s="1"/>
      <c r="J45" s="1"/>
      <c r="K45" s="1">
        <f>IF(F45="",1,IFERROR(VLOOKUP(F45,A:K,11,FALSE)+1,1))</f>
        <v>7</v>
      </c>
      <c r="L45" s="1" t="str">
        <f>IF(F45="","الأصل",IF(VLOOKUP(F45,A:L,12,FALSE)="الأصل","الفرع "&amp;K45-1,VLOOKUP(F45,A:L,12,FALSE)))</f>
        <v>الابراهيم</v>
      </c>
      <c r="M45" s="1" t="str">
        <f t="shared" si="1"/>
        <v>عبدالله بن ابراهيم بن عبدالرحمن ابراهيم</v>
      </c>
      <c r="N45" s="1" t="str">
        <f t="shared" si="2"/>
        <v>عبدالله bin ابراهيم bin عبدالرحمن Al-ابراهيم</v>
      </c>
      <c r="O45" s="1" t="str">
        <f t="shared" ca="1" si="3"/>
        <v/>
      </c>
      <c r="P45" s="1">
        <f t="shared" si="4"/>
        <v>0</v>
      </c>
      <c r="Q45" s="1"/>
      <c r="R45" s="1"/>
      <c r="S45" s="1" t="str">
        <f t="shared" si="5"/>
        <v>Living</v>
      </c>
    </row>
    <row r="46" spans="1:19" ht="15.75" hidden="1" customHeight="1" x14ac:dyDescent="0.2">
      <c r="A46" s="1" t="str">
        <f t="shared" si="0"/>
        <v>P045</v>
      </c>
      <c r="B46" s="1" t="s">
        <v>131</v>
      </c>
      <c r="C46" s="1" t="s">
        <v>27</v>
      </c>
      <c r="D46" s="21" t="s">
        <v>105</v>
      </c>
      <c r="E46" s="21" t="s">
        <v>27</v>
      </c>
      <c r="F46" s="1" t="s">
        <v>130</v>
      </c>
      <c r="G46" s="1" t="s">
        <v>132</v>
      </c>
      <c r="H46" s="1"/>
      <c r="I46" s="1"/>
      <c r="J46" s="1"/>
      <c r="K46" s="1">
        <f>IF(F46="",1,IFERROR(VLOOKUP(F46,A:K,11,FALSE)+1,1))</f>
        <v>7</v>
      </c>
      <c r="L46" s="1" t="str">
        <f>IF(F46="","الأصل",IF(VLOOKUP(F46,A:L,12,FALSE)="الأصل","الفرع "&amp;K46-1,VLOOKUP(F46,A:L,12,FALSE)))</f>
        <v>الابراهيم</v>
      </c>
      <c r="M46" s="1" t="str">
        <f t="shared" si="1"/>
        <v>حنان بن ابراهيم بن عبدالرحمن ابراهيم</v>
      </c>
      <c r="N46" s="1" t="str">
        <f t="shared" si="2"/>
        <v>حنان bin ابراهيم bin عبدالرحمن Al-ابراهيم</v>
      </c>
      <c r="O46" s="1" t="str">
        <f t="shared" ca="1" si="3"/>
        <v/>
      </c>
      <c r="P46" s="1">
        <f t="shared" si="4"/>
        <v>0</v>
      </c>
      <c r="Q46" s="1"/>
      <c r="R46" s="1"/>
      <c r="S46" s="1" t="str">
        <f t="shared" si="5"/>
        <v>Living</v>
      </c>
    </row>
    <row r="47" spans="1:19" ht="15.75" hidden="1" customHeight="1" x14ac:dyDescent="0.2">
      <c r="A47" s="1" t="str">
        <f t="shared" si="0"/>
        <v>P046</v>
      </c>
      <c r="B47" s="1" t="s">
        <v>133</v>
      </c>
      <c r="C47" s="1" t="s">
        <v>27</v>
      </c>
      <c r="D47" s="21" t="s">
        <v>105</v>
      </c>
      <c r="E47" s="21" t="s">
        <v>27</v>
      </c>
      <c r="F47" s="1" t="s">
        <v>130</v>
      </c>
      <c r="G47" s="1" t="s">
        <v>132</v>
      </c>
      <c r="H47" s="1"/>
      <c r="I47" s="1"/>
      <c r="J47" s="1"/>
      <c r="K47" s="1">
        <f>IF(F47="",1,IFERROR(VLOOKUP(F47,A:K,11,FALSE)+1,1))</f>
        <v>7</v>
      </c>
      <c r="L47" s="1" t="str">
        <f>IF(F47="","الأصل",IF(VLOOKUP(F47,A:L,12,FALSE)="الأصل","الفرع "&amp;K47-1,VLOOKUP(F47,A:L,12,FALSE)))</f>
        <v>الابراهيم</v>
      </c>
      <c r="M47" s="1" t="str">
        <f t="shared" si="1"/>
        <v>هنا بن ابراهيم بن عبدالرحمن ابراهيم</v>
      </c>
      <c r="N47" s="1" t="str">
        <f t="shared" si="2"/>
        <v>هنا bin ابراهيم bin عبدالرحمن Al-ابراهيم</v>
      </c>
      <c r="O47" s="1" t="str">
        <f t="shared" ca="1" si="3"/>
        <v/>
      </c>
      <c r="P47" s="1">
        <f t="shared" si="4"/>
        <v>0</v>
      </c>
      <c r="Q47" s="1"/>
      <c r="R47" s="1"/>
      <c r="S47" s="1" t="str">
        <f t="shared" si="5"/>
        <v>Living</v>
      </c>
    </row>
    <row r="48" spans="1:19" ht="15.75" hidden="1" customHeight="1" x14ac:dyDescent="0.2">
      <c r="A48" s="1" t="str">
        <f t="shared" si="0"/>
        <v>P047</v>
      </c>
      <c r="B48" s="1" t="s">
        <v>105</v>
      </c>
      <c r="C48" s="21" t="s">
        <v>119</v>
      </c>
      <c r="D48" s="21" t="s">
        <v>105</v>
      </c>
      <c r="E48" s="21" t="s">
        <v>27</v>
      </c>
      <c r="F48" s="1" t="s">
        <v>134</v>
      </c>
      <c r="G48" s="1" t="s">
        <v>35</v>
      </c>
      <c r="H48" s="1"/>
      <c r="I48" s="1"/>
      <c r="J48" s="1"/>
      <c r="K48" s="1">
        <f>IF(F48="",1,IFERROR(VLOOKUP(F48,A:K,11,FALSE)+1,1))</f>
        <v>7</v>
      </c>
      <c r="L48" s="1" t="str">
        <f>IF(F48="","الأصل",IF(VLOOKUP(F48,A:L,12,FALSE)="الأصل","الفرع "&amp;K48-1,VLOOKUP(F48,A:L,12,FALSE)))</f>
        <v>الابراهيم</v>
      </c>
      <c r="M48" s="1" t="str">
        <f t="shared" si="1"/>
        <v>عبدالرحمن بن عبدالله بن عبدالرحمن ابراهيم</v>
      </c>
      <c r="N48" s="1" t="str">
        <f t="shared" si="2"/>
        <v>عبدالرحمن bin عبدالله bin عبدالرحمن Al-ابراهيم</v>
      </c>
      <c r="O48" s="1" t="str">
        <f t="shared" ca="1" si="3"/>
        <v/>
      </c>
      <c r="P48" s="1">
        <f t="shared" si="4"/>
        <v>0</v>
      </c>
      <c r="Q48" s="1"/>
      <c r="R48" s="1"/>
      <c r="S48" s="1" t="str">
        <f t="shared" si="5"/>
        <v>Living</v>
      </c>
    </row>
    <row r="49" spans="1:19" ht="15.75" hidden="1" customHeight="1" x14ac:dyDescent="0.2">
      <c r="A49" s="1" t="str">
        <f t="shared" si="0"/>
        <v>P048</v>
      </c>
      <c r="B49" s="1" t="s">
        <v>100</v>
      </c>
      <c r="C49" s="21" t="s">
        <v>119</v>
      </c>
      <c r="D49" s="21" t="s">
        <v>105</v>
      </c>
      <c r="E49" s="21" t="s">
        <v>27</v>
      </c>
      <c r="F49" s="1" t="s">
        <v>134</v>
      </c>
      <c r="G49" s="1" t="s">
        <v>35</v>
      </c>
      <c r="H49" s="1"/>
      <c r="I49" s="1"/>
      <c r="J49" s="1"/>
      <c r="K49" s="1">
        <f>IF(F49="",1,IFERROR(VLOOKUP(F49,A:K,11,FALSE)+1,1))</f>
        <v>7</v>
      </c>
      <c r="L49" s="1" t="str">
        <f>IF(F49="","الأصل",IF(VLOOKUP(F49,A:L,12,FALSE)="الأصل","الفرع "&amp;K49-1,VLOOKUP(F49,A:L,12,FALSE)))</f>
        <v>الابراهيم</v>
      </c>
      <c r="M49" s="1" t="str">
        <f t="shared" si="1"/>
        <v>محمد بن عبدالله بن عبدالرحمن ابراهيم</v>
      </c>
      <c r="N49" s="1" t="str">
        <f t="shared" si="2"/>
        <v>محمد bin عبدالله bin عبدالرحمن Al-ابراهيم</v>
      </c>
      <c r="O49" s="1" t="str">
        <f t="shared" ca="1" si="3"/>
        <v/>
      </c>
      <c r="P49" s="1">
        <f t="shared" si="4"/>
        <v>0</v>
      </c>
      <c r="Q49" s="1"/>
      <c r="R49" s="1"/>
      <c r="S49" s="1" t="str">
        <f t="shared" si="5"/>
        <v>Living</v>
      </c>
    </row>
    <row r="50" spans="1:19" ht="15.75" hidden="1" customHeight="1" x14ac:dyDescent="0.2">
      <c r="A50" s="1" t="str">
        <f t="shared" si="0"/>
        <v>P049</v>
      </c>
      <c r="B50" s="1" t="s">
        <v>135</v>
      </c>
      <c r="C50" s="21" t="s">
        <v>119</v>
      </c>
      <c r="D50" s="21" t="s">
        <v>105</v>
      </c>
      <c r="E50" s="21" t="s">
        <v>27</v>
      </c>
      <c r="F50" s="1" t="s">
        <v>134</v>
      </c>
      <c r="G50" s="1" t="s">
        <v>35</v>
      </c>
      <c r="H50" s="1"/>
      <c r="I50" s="1"/>
      <c r="J50" s="1"/>
      <c r="K50" s="1">
        <f>IF(F50="",1,IFERROR(VLOOKUP(F50,A:K,11,FALSE)+1,1))</f>
        <v>7</v>
      </c>
      <c r="L50" s="1" t="str">
        <f>IF(F50="","الأصل",IF(VLOOKUP(F50,A:L,12,FALSE)="الأصل","الفرع "&amp;K50-1,VLOOKUP(F50,A:L,12,FALSE)))</f>
        <v>الابراهيم</v>
      </c>
      <c r="M50" s="1" t="str">
        <f t="shared" si="1"/>
        <v>مساعد بن عبدالله بن عبدالرحمن ابراهيم</v>
      </c>
      <c r="N50" s="1" t="str">
        <f t="shared" si="2"/>
        <v>مساعد bin عبدالله bin عبدالرحمن Al-ابراهيم</v>
      </c>
      <c r="O50" s="1" t="str">
        <f t="shared" ca="1" si="3"/>
        <v/>
      </c>
      <c r="P50" s="1">
        <f t="shared" si="4"/>
        <v>0</v>
      </c>
      <c r="Q50" s="1"/>
      <c r="R50" s="1"/>
      <c r="S50" s="1" t="str">
        <f t="shared" si="5"/>
        <v>Living</v>
      </c>
    </row>
    <row r="51" spans="1:19" ht="15.75" hidden="1" customHeight="1" x14ac:dyDescent="0.2">
      <c r="A51" s="1" t="str">
        <f t="shared" si="0"/>
        <v>P050</v>
      </c>
      <c r="B51" s="1" t="s">
        <v>136</v>
      </c>
      <c r="C51" s="21" t="s">
        <v>119</v>
      </c>
      <c r="D51" s="21" t="s">
        <v>105</v>
      </c>
      <c r="E51" s="21" t="s">
        <v>27</v>
      </c>
      <c r="F51" s="1" t="s">
        <v>134</v>
      </c>
      <c r="G51" s="1" t="s">
        <v>132</v>
      </c>
      <c r="H51" s="1"/>
      <c r="I51" s="1"/>
      <c r="J51" s="1"/>
      <c r="K51" s="1">
        <f>IF(F51="",1,IFERROR(VLOOKUP(F51,A:K,11,FALSE)+1,1))</f>
        <v>7</v>
      </c>
      <c r="L51" s="1" t="str">
        <f>IF(F51="","الأصل",IF(VLOOKUP(F51,A:L,12,FALSE)="الأصل","الفرع "&amp;K51-1,VLOOKUP(F51,A:L,12,FALSE)))</f>
        <v>الابراهيم</v>
      </c>
      <c r="M51" s="1" t="str">
        <f t="shared" si="1"/>
        <v>نجد بن عبدالله بن عبدالرحمن ابراهيم</v>
      </c>
      <c r="N51" s="1" t="str">
        <f t="shared" si="2"/>
        <v>نجد bin عبدالله bin عبدالرحمن Al-ابراهيم</v>
      </c>
      <c r="O51" s="1" t="str">
        <f t="shared" ca="1" si="3"/>
        <v/>
      </c>
      <c r="P51" s="1">
        <f t="shared" si="4"/>
        <v>0</v>
      </c>
      <c r="Q51" s="1"/>
      <c r="R51" s="1"/>
      <c r="S51" s="1" t="str">
        <f t="shared" si="5"/>
        <v>Living</v>
      </c>
    </row>
    <row r="52" spans="1:19" ht="15.75" hidden="1" customHeight="1" x14ac:dyDescent="0.2">
      <c r="A52" s="1" t="str">
        <f t="shared" si="0"/>
        <v>P051</v>
      </c>
      <c r="B52" s="1" t="s">
        <v>137</v>
      </c>
      <c r="C52" s="21" t="s">
        <v>119</v>
      </c>
      <c r="D52" s="21" t="s">
        <v>105</v>
      </c>
      <c r="E52" s="21" t="s">
        <v>27</v>
      </c>
      <c r="F52" s="1" t="s">
        <v>134</v>
      </c>
      <c r="G52" s="1" t="s">
        <v>132</v>
      </c>
      <c r="H52" s="1"/>
      <c r="I52" s="1"/>
      <c r="J52" s="1"/>
      <c r="K52" s="1">
        <f>IF(F52="",1,IFERROR(VLOOKUP(F52,A:K,11,FALSE)+1,1))</f>
        <v>7</v>
      </c>
      <c r="L52" s="1" t="str">
        <f>IF(F52="","الأصل",IF(VLOOKUP(F52,A:L,12,FALSE)="الأصل","الفرع "&amp;K52-1,VLOOKUP(F52,A:L,12,FALSE)))</f>
        <v>الابراهيم</v>
      </c>
      <c r="M52" s="1" t="str">
        <f t="shared" si="1"/>
        <v>نوف بن عبدالله بن عبدالرحمن ابراهيم</v>
      </c>
      <c r="N52" s="1" t="str">
        <f t="shared" si="2"/>
        <v>نوف bin عبدالله bin عبدالرحمن Al-ابراهيم</v>
      </c>
      <c r="O52" s="1" t="str">
        <f t="shared" ca="1" si="3"/>
        <v/>
      </c>
      <c r="P52" s="1">
        <f t="shared" si="4"/>
        <v>0</v>
      </c>
      <c r="Q52" s="1"/>
      <c r="R52" s="1"/>
      <c r="S52" s="1" t="str">
        <f t="shared" si="5"/>
        <v>Living</v>
      </c>
    </row>
    <row r="53" spans="1:19" ht="15.75" hidden="1" customHeight="1" x14ac:dyDescent="0.2">
      <c r="A53" s="1" t="str">
        <f t="shared" si="0"/>
        <v>P052</v>
      </c>
      <c r="B53" s="1" t="s">
        <v>138</v>
      </c>
      <c r="C53" s="21" t="s">
        <v>100</v>
      </c>
      <c r="D53" s="21" t="s">
        <v>105</v>
      </c>
      <c r="E53" s="21" t="s">
        <v>27</v>
      </c>
      <c r="F53" s="1" t="s">
        <v>139</v>
      </c>
      <c r="G53" s="1" t="s">
        <v>35</v>
      </c>
      <c r="H53" s="1"/>
      <c r="I53" s="1"/>
      <c r="J53" s="1"/>
      <c r="K53" s="1">
        <f>IF(F53="",1,IFERROR(VLOOKUP(F53,A:K,11,FALSE)+1,1))</f>
        <v>7</v>
      </c>
      <c r="L53" s="1" t="str">
        <f>IF(F53="","الأصل",IF(VLOOKUP(F53,A:L,12,FALSE)="الأصل","الفرع "&amp;K53-1,VLOOKUP(F53,A:L,12,FALSE)))</f>
        <v>الابراهيم</v>
      </c>
      <c r="M53" s="1" t="str">
        <f t="shared" si="1"/>
        <v>أنس بن محمد بن عبدالرحمن ابراهيم</v>
      </c>
      <c r="N53" s="1" t="str">
        <f t="shared" si="2"/>
        <v>أنس bin محمد bin عبدالرحمن Al-ابراهيم</v>
      </c>
      <c r="O53" s="1" t="str">
        <f t="shared" ca="1" si="3"/>
        <v/>
      </c>
      <c r="P53" s="1">
        <f t="shared" si="4"/>
        <v>0</v>
      </c>
      <c r="Q53" s="1"/>
      <c r="R53" s="1"/>
      <c r="S53" s="1" t="str">
        <f t="shared" si="5"/>
        <v>Living</v>
      </c>
    </row>
    <row r="54" spans="1:19" ht="15.75" hidden="1" customHeight="1" x14ac:dyDescent="0.2">
      <c r="A54" s="1" t="str">
        <f t="shared" si="0"/>
        <v>P053</v>
      </c>
      <c r="B54" s="1" t="s">
        <v>140</v>
      </c>
      <c r="C54" s="21" t="s">
        <v>100</v>
      </c>
      <c r="D54" s="21" t="s">
        <v>105</v>
      </c>
      <c r="E54" s="21" t="s">
        <v>27</v>
      </c>
      <c r="F54" s="1" t="s">
        <v>139</v>
      </c>
      <c r="G54" s="1" t="s">
        <v>35</v>
      </c>
      <c r="H54" s="1"/>
      <c r="I54" s="1"/>
      <c r="J54" s="1"/>
      <c r="K54" s="1">
        <f>IF(F54="",1,IFERROR(VLOOKUP(F54,A:K,11,FALSE)+1,1))</f>
        <v>7</v>
      </c>
      <c r="L54" s="1" t="str">
        <f>IF(F54="","الأصل",IF(VLOOKUP(F54,A:L,12,FALSE)="الأصل","الفرع "&amp;K54-1,VLOOKUP(F54,A:L,12,FALSE)))</f>
        <v>الابراهيم</v>
      </c>
      <c r="M54" s="1" t="str">
        <f t="shared" si="1"/>
        <v>عبدالمجيد بن محمد بن عبدالرحمن ابراهيم</v>
      </c>
      <c r="N54" s="1" t="str">
        <f t="shared" si="2"/>
        <v>عبدالمجيد bin محمد bin عبدالرحمن Al-ابراهيم</v>
      </c>
      <c r="O54" s="1" t="str">
        <f t="shared" ca="1" si="3"/>
        <v/>
      </c>
      <c r="P54" s="1">
        <f t="shared" si="4"/>
        <v>0</v>
      </c>
      <c r="Q54" s="1"/>
      <c r="R54" s="1"/>
      <c r="S54" s="1" t="str">
        <f t="shared" si="5"/>
        <v>Living</v>
      </c>
    </row>
    <row r="55" spans="1:19" ht="15.75" hidden="1" customHeight="1" x14ac:dyDescent="0.2">
      <c r="A55" s="1" t="str">
        <f t="shared" si="0"/>
        <v>P054</v>
      </c>
      <c r="B55" s="1" t="s">
        <v>141</v>
      </c>
      <c r="C55" s="21" t="s">
        <v>100</v>
      </c>
      <c r="D55" s="21" t="s">
        <v>105</v>
      </c>
      <c r="E55" s="21" t="s">
        <v>27</v>
      </c>
      <c r="F55" s="1" t="s">
        <v>139</v>
      </c>
      <c r="G55" s="1" t="s">
        <v>35</v>
      </c>
      <c r="H55" s="1"/>
      <c r="I55" s="1"/>
      <c r="J55" s="1"/>
      <c r="K55" s="1">
        <f>IF(F55="",1,IFERROR(VLOOKUP(F55,A:K,11,FALSE)+1,1))</f>
        <v>7</v>
      </c>
      <c r="L55" s="1" t="str">
        <f>IF(F55="","الأصل",IF(VLOOKUP(F55,A:L,12,FALSE)="الأصل","الفرع "&amp;K55-1,VLOOKUP(F55,A:L,12,FALSE)))</f>
        <v>الابراهيم</v>
      </c>
      <c r="M55" s="1" t="str">
        <f t="shared" si="1"/>
        <v>معاذ بن محمد بن عبدالرحمن ابراهيم</v>
      </c>
      <c r="N55" s="1" t="str">
        <f t="shared" si="2"/>
        <v>معاذ bin محمد bin عبدالرحمن Al-ابراهيم</v>
      </c>
      <c r="O55" s="1" t="str">
        <f t="shared" ca="1" si="3"/>
        <v/>
      </c>
      <c r="P55" s="1">
        <f t="shared" si="4"/>
        <v>0</v>
      </c>
      <c r="Q55" s="1"/>
      <c r="R55" s="1"/>
      <c r="S55" s="1" t="str">
        <f t="shared" si="5"/>
        <v>Living</v>
      </c>
    </row>
    <row r="56" spans="1:19" ht="15.75" hidden="1" customHeight="1" x14ac:dyDescent="0.2">
      <c r="A56" s="1" t="str">
        <f t="shared" si="0"/>
        <v>P055</v>
      </c>
      <c r="B56" s="1" t="s">
        <v>142</v>
      </c>
      <c r="C56" s="21" t="s">
        <v>100</v>
      </c>
      <c r="D56" s="21" t="s">
        <v>105</v>
      </c>
      <c r="E56" s="21" t="s">
        <v>27</v>
      </c>
      <c r="F56" s="1" t="s">
        <v>139</v>
      </c>
      <c r="G56" s="1" t="s">
        <v>35</v>
      </c>
      <c r="H56" s="1"/>
      <c r="I56" s="1"/>
      <c r="J56" s="1"/>
      <c r="K56" s="1">
        <f>IF(F56="",1,IFERROR(VLOOKUP(F56,A:K,11,FALSE)+1,1))</f>
        <v>7</v>
      </c>
      <c r="L56" s="1" t="str">
        <f>IF(F56="","الأصل",IF(VLOOKUP(F56,A:L,12,FALSE)="الأصل","الفرع "&amp;K56-1,VLOOKUP(F56,A:L,12,FALSE)))</f>
        <v>الابراهيم</v>
      </c>
      <c r="M56" s="1" t="str">
        <f t="shared" si="1"/>
        <v>تميم بن محمد بن عبدالرحمن ابراهيم</v>
      </c>
      <c r="N56" s="1" t="str">
        <f t="shared" si="2"/>
        <v>تميم bin محمد bin عبدالرحمن Al-ابراهيم</v>
      </c>
      <c r="O56" s="1" t="str">
        <f t="shared" ca="1" si="3"/>
        <v/>
      </c>
      <c r="P56" s="1">
        <f t="shared" si="4"/>
        <v>0</v>
      </c>
      <c r="Q56" s="1"/>
      <c r="R56" s="1"/>
      <c r="S56" s="1" t="str">
        <f t="shared" si="5"/>
        <v>Living</v>
      </c>
    </row>
    <row r="57" spans="1:19" ht="15.75" hidden="1" customHeight="1" x14ac:dyDescent="0.2">
      <c r="A57" s="1" t="str">
        <f t="shared" si="0"/>
        <v>P056</v>
      </c>
      <c r="B57" s="1" t="s">
        <v>143</v>
      </c>
      <c r="C57" s="21" t="s">
        <v>100</v>
      </c>
      <c r="D57" s="21" t="s">
        <v>105</v>
      </c>
      <c r="E57" s="21" t="s">
        <v>27</v>
      </c>
      <c r="F57" s="1" t="s">
        <v>139</v>
      </c>
      <c r="G57" s="1" t="s">
        <v>132</v>
      </c>
      <c r="H57" s="1"/>
      <c r="I57" s="1"/>
      <c r="J57" s="1"/>
      <c r="K57" s="1">
        <f>IF(F57="",1,IFERROR(VLOOKUP(F57,A:K,11,FALSE)+1,1))</f>
        <v>7</v>
      </c>
      <c r="L57" s="1" t="str">
        <f>IF(F57="","الأصل",IF(VLOOKUP(F57,A:L,12,FALSE)="الأصل","الفرع "&amp;K57-1,VLOOKUP(F57,A:L,12,FALSE)))</f>
        <v>الابراهيم</v>
      </c>
      <c r="M57" s="1" t="str">
        <f t="shared" si="1"/>
        <v>بسمة بن محمد بن عبدالرحمن ابراهيم</v>
      </c>
      <c r="N57" s="1" t="str">
        <f t="shared" si="2"/>
        <v>بسمة bin محمد bin عبدالرحمن Al-ابراهيم</v>
      </c>
      <c r="O57" s="1" t="str">
        <f t="shared" ca="1" si="3"/>
        <v/>
      </c>
      <c r="P57" s="1">
        <f t="shared" si="4"/>
        <v>0</v>
      </c>
      <c r="Q57" s="1"/>
      <c r="R57" s="1"/>
      <c r="S57" s="1" t="str">
        <f t="shared" si="5"/>
        <v>Living</v>
      </c>
    </row>
    <row r="58" spans="1:19" ht="15.75" hidden="1" customHeight="1" x14ac:dyDescent="0.2">
      <c r="A58" s="1" t="str">
        <f t="shared" si="0"/>
        <v>P057</v>
      </c>
      <c r="B58" s="1" t="s">
        <v>144</v>
      </c>
      <c r="C58" s="21" t="s">
        <v>100</v>
      </c>
      <c r="D58" s="21" t="s">
        <v>105</v>
      </c>
      <c r="E58" s="21" t="s">
        <v>27</v>
      </c>
      <c r="F58" s="1" t="s">
        <v>139</v>
      </c>
      <c r="G58" s="1" t="s">
        <v>132</v>
      </c>
      <c r="H58" s="1"/>
      <c r="I58" s="1"/>
      <c r="J58" s="1"/>
      <c r="K58" s="1">
        <f>IF(F58="",1,IFERROR(VLOOKUP(F58,A:K,11,FALSE)+1,1))</f>
        <v>7</v>
      </c>
      <c r="L58" s="1" t="str">
        <f>IF(F58="","الأصل",IF(VLOOKUP(F58,A:L,12,FALSE)="الأصل","الفرع "&amp;K58-1,VLOOKUP(F58,A:L,12,FALSE)))</f>
        <v>الابراهيم</v>
      </c>
      <c r="M58" s="1" t="str">
        <f t="shared" si="1"/>
        <v>ريم بن محمد بن عبدالرحمن ابراهيم</v>
      </c>
      <c r="N58" s="1" t="str">
        <f t="shared" si="2"/>
        <v>ريم bin محمد bin عبدالرحمن Al-ابراهيم</v>
      </c>
      <c r="O58" s="1" t="str">
        <f t="shared" ca="1" si="3"/>
        <v/>
      </c>
      <c r="P58" s="1">
        <f t="shared" si="4"/>
        <v>0</v>
      </c>
      <c r="Q58" s="1"/>
      <c r="R58" s="1"/>
      <c r="S58" s="1" t="str">
        <f t="shared" si="5"/>
        <v>Living</v>
      </c>
    </row>
    <row r="59" spans="1:19" ht="15.75" hidden="1" customHeight="1" x14ac:dyDescent="0.2">
      <c r="A59" s="1" t="str">
        <f t="shared" si="0"/>
        <v>P058</v>
      </c>
      <c r="B59" s="1" t="s">
        <v>145</v>
      </c>
      <c r="C59" s="21" t="s">
        <v>100</v>
      </c>
      <c r="D59" s="21" t="s">
        <v>105</v>
      </c>
      <c r="E59" s="21" t="s">
        <v>27</v>
      </c>
      <c r="F59" s="1" t="s">
        <v>139</v>
      </c>
      <c r="G59" s="1" t="s">
        <v>132</v>
      </c>
      <c r="H59" s="1"/>
      <c r="I59" s="1"/>
      <c r="J59" s="1"/>
      <c r="K59" s="1">
        <f>IF(F59="",1,IFERROR(VLOOKUP(F59,A:K,11,FALSE)+1,1))</f>
        <v>7</v>
      </c>
      <c r="L59" s="1" t="str">
        <f>IF(F59="","الأصل",IF(VLOOKUP(F59,A:L,12,FALSE)="الأصل","الفرع "&amp;K59-1,VLOOKUP(F59,A:L,12,FALSE)))</f>
        <v>الابراهيم</v>
      </c>
      <c r="M59" s="1" t="str">
        <f t="shared" si="1"/>
        <v>كندا بن محمد بن عبدالرحمن ابراهيم</v>
      </c>
      <c r="N59" s="1" t="str">
        <f t="shared" si="2"/>
        <v>كندا bin محمد bin عبدالرحمن Al-ابراهيم</v>
      </c>
      <c r="O59" s="1" t="str">
        <f t="shared" ca="1" si="3"/>
        <v/>
      </c>
      <c r="P59" s="1">
        <f t="shared" si="4"/>
        <v>0</v>
      </c>
      <c r="Q59" s="1"/>
      <c r="R59" s="1"/>
      <c r="S59" s="1" t="str">
        <f t="shared" si="5"/>
        <v>Living</v>
      </c>
    </row>
    <row r="60" spans="1:19" ht="15.75" hidden="1" customHeight="1" x14ac:dyDescent="0.2">
      <c r="A60" s="1" t="str">
        <f t="shared" si="0"/>
        <v>P059</v>
      </c>
      <c r="B60" s="1" t="s">
        <v>146</v>
      </c>
      <c r="C60" s="21" t="s">
        <v>128</v>
      </c>
      <c r="D60" s="21" t="s">
        <v>105</v>
      </c>
      <c r="E60" s="21" t="s">
        <v>27</v>
      </c>
      <c r="F60" s="1" t="s">
        <v>147</v>
      </c>
      <c r="G60" s="1" t="s">
        <v>35</v>
      </c>
      <c r="H60" s="1"/>
      <c r="I60" s="1"/>
      <c r="J60" s="1"/>
      <c r="K60" s="1">
        <f>IF(F60="",1,IFERROR(VLOOKUP(F60,A:K,11,FALSE)+1,1))</f>
        <v>7</v>
      </c>
      <c r="L60" s="1" t="str">
        <f>IF(F60="","الأصل",IF(VLOOKUP(F60,A:L,12,FALSE)="الأصل","الفرع "&amp;K60-1,VLOOKUP(F60,A:L,12,FALSE)))</f>
        <v>الابراهيم</v>
      </c>
      <c r="M60" s="1" t="str">
        <f t="shared" si="1"/>
        <v>بدر بن أحمد بن عبدالرحمن ابراهيم</v>
      </c>
      <c r="N60" s="1" t="str">
        <f t="shared" si="2"/>
        <v>بدر bin أحمد bin عبدالرحمن Al-ابراهيم</v>
      </c>
      <c r="O60" s="1" t="str">
        <f t="shared" ca="1" si="3"/>
        <v/>
      </c>
      <c r="P60" s="1">
        <f t="shared" si="4"/>
        <v>0</v>
      </c>
      <c r="Q60" s="1"/>
      <c r="R60" s="1"/>
      <c r="S60" s="1" t="str">
        <f t="shared" si="5"/>
        <v>Living</v>
      </c>
    </row>
    <row r="61" spans="1:19" ht="15.75" hidden="1" customHeight="1" x14ac:dyDescent="0.2">
      <c r="A61" s="1" t="str">
        <f t="shared" si="0"/>
        <v>P060</v>
      </c>
      <c r="B61" s="1" t="s">
        <v>148</v>
      </c>
      <c r="C61" s="21" t="s">
        <v>128</v>
      </c>
      <c r="D61" s="21" t="s">
        <v>105</v>
      </c>
      <c r="E61" s="21" t="s">
        <v>27</v>
      </c>
      <c r="F61" s="1" t="s">
        <v>147</v>
      </c>
      <c r="G61" s="1" t="s">
        <v>35</v>
      </c>
      <c r="H61" s="1"/>
      <c r="I61" s="1"/>
      <c r="J61" s="1"/>
      <c r="K61" s="1">
        <f>IF(F61="",1,IFERROR(VLOOKUP(F61,A:K,11,FALSE)+1,1))</f>
        <v>7</v>
      </c>
      <c r="L61" s="1" t="str">
        <f>IF(F61="","الأصل",IF(VLOOKUP(F61,A:L,12,FALSE)="الأصل","الفرع "&amp;K61-1,VLOOKUP(F61,A:L,12,FALSE)))</f>
        <v>الابراهيم</v>
      </c>
      <c r="M61" s="1" t="str">
        <f t="shared" si="1"/>
        <v>زياد بن أحمد بن عبدالرحمن ابراهيم</v>
      </c>
      <c r="N61" s="1" t="str">
        <f t="shared" si="2"/>
        <v>زياد bin أحمد bin عبدالرحمن Al-ابراهيم</v>
      </c>
      <c r="O61" s="1" t="str">
        <f t="shared" ca="1" si="3"/>
        <v/>
      </c>
      <c r="P61" s="1">
        <f t="shared" si="4"/>
        <v>0</v>
      </c>
      <c r="Q61" s="1"/>
      <c r="R61" s="1"/>
      <c r="S61" s="1" t="str">
        <f t="shared" si="5"/>
        <v>Living</v>
      </c>
    </row>
    <row r="62" spans="1:19" ht="15.75" hidden="1" customHeight="1" x14ac:dyDescent="0.2">
      <c r="A62" s="1" t="str">
        <f t="shared" si="0"/>
        <v>P061</v>
      </c>
      <c r="B62" s="1" t="s">
        <v>149</v>
      </c>
      <c r="C62" s="21" t="s">
        <v>128</v>
      </c>
      <c r="D62" s="21" t="s">
        <v>105</v>
      </c>
      <c r="E62" s="21" t="s">
        <v>27</v>
      </c>
      <c r="F62" s="1" t="s">
        <v>147</v>
      </c>
      <c r="G62" s="1" t="s">
        <v>35</v>
      </c>
      <c r="H62" s="1"/>
      <c r="I62" s="1"/>
      <c r="J62" s="1"/>
      <c r="K62" s="1">
        <f>IF(F62="",1,IFERROR(VLOOKUP(F62,A:K,11,FALSE)+1,1))</f>
        <v>7</v>
      </c>
      <c r="L62" s="1" t="str">
        <f>IF(F62="","الأصل",IF(VLOOKUP(F62,A:L,12,FALSE)="الأصل","الفرع "&amp;K62-1,VLOOKUP(F62,A:L,12,FALSE)))</f>
        <v>الابراهيم</v>
      </c>
      <c r="M62" s="1" t="str">
        <f t="shared" si="1"/>
        <v>ريان بن أحمد بن عبدالرحمن ابراهيم</v>
      </c>
      <c r="N62" s="1" t="str">
        <f t="shared" si="2"/>
        <v>ريان bin أحمد bin عبدالرحمن Al-ابراهيم</v>
      </c>
      <c r="O62" s="1" t="str">
        <f t="shared" ca="1" si="3"/>
        <v/>
      </c>
      <c r="P62" s="1">
        <f t="shared" si="4"/>
        <v>0</v>
      </c>
      <c r="Q62" s="1"/>
      <c r="R62" s="1"/>
      <c r="S62" s="1" t="str">
        <f t="shared" si="5"/>
        <v>Living</v>
      </c>
    </row>
    <row r="63" spans="1:19" ht="15.75" hidden="1" customHeight="1" x14ac:dyDescent="0.2">
      <c r="A63" s="1" t="str">
        <f t="shared" si="0"/>
        <v>P062</v>
      </c>
      <c r="B63" s="1" t="s">
        <v>150</v>
      </c>
      <c r="C63" s="21" t="s">
        <v>128</v>
      </c>
      <c r="D63" s="21" t="s">
        <v>105</v>
      </c>
      <c r="E63" s="21" t="s">
        <v>27</v>
      </c>
      <c r="F63" s="1" t="s">
        <v>147</v>
      </c>
      <c r="G63" s="1" t="s">
        <v>35</v>
      </c>
      <c r="H63" s="1"/>
      <c r="I63" s="1"/>
      <c r="J63" s="1"/>
      <c r="K63" s="1">
        <f>IF(F63="",1,IFERROR(VLOOKUP(F63,A:K,11,FALSE)+1,1))</f>
        <v>7</v>
      </c>
      <c r="L63" s="1" t="str">
        <f>IF(F63="","الأصل",IF(VLOOKUP(F63,A:L,12,FALSE)="الأصل","الفرع "&amp;K63-1,VLOOKUP(F63,A:L,12,FALSE)))</f>
        <v>الابراهيم</v>
      </c>
      <c r="M63" s="1" t="str">
        <f t="shared" si="1"/>
        <v>مؤيد بن أحمد بن عبدالرحمن ابراهيم</v>
      </c>
      <c r="N63" s="1" t="str">
        <f t="shared" si="2"/>
        <v>مؤيد bin أحمد bin عبدالرحمن Al-ابراهيم</v>
      </c>
      <c r="O63" s="1" t="str">
        <f t="shared" ca="1" si="3"/>
        <v/>
      </c>
      <c r="P63" s="1">
        <f t="shared" si="4"/>
        <v>0</v>
      </c>
      <c r="Q63" s="1"/>
      <c r="R63" s="1"/>
      <c r="S63" s="1" t="str">
        <f t="shared" si="5"/>
        <v>Living</v>
      </c>
    </row>
    <row r="64" spans="1:19" ht="15.75" hidden="1" customHeight="1" x14ac:dyDescent="0.2">
      <c r="A64" s="1" t="str">
        <f t="shared" si="0"/>
        <v>P063</v>
      </c>
      <c r="B64" s="1" t="s">
        <v>151</v>
      </c>
      <c r="C64" s="21" t="s">
        <v>128</v>
      </c>
      <c r="D64" s="21" t="s">
        <v>105</v>
      </c>
      <c r="E64" s="21" t="s">
        <v>27</v>
      </c>
      <c r="F64" s="1" t="s">
        <v>147</v>
      </c>
      <c r="G64" s="1" t="s">
        <v>35</v>
      </c>
      <c r="H64" s="1"/>
      <c r="I64" s="1"/>
      <c r="J64" s="1"/>
      <c r="K64" s="1">
        <f>IF(F64="",1,IFERROR(VLOOKUP(F64,A:K,11,FALSE)+1,1))</f>
        <v>7</v>
      </c>
      <c r="L64" s="1" t="str">
        <f>IF(F64="","الأصل",IF(VLOOKUP(F64,A:L,12,FALSE)="الأصل","الفرع "&amp;K64-1,VLOOKUP(F64,A:L,12,FALSE)))</f>
        <v>الابراهيم</v>
      </c>
      <c r="M64" s="1" t="str">
        <f t="shared" si="1"/>
        <v>عزام بن أحمد بن عبدالرحمن ابراهيم</v>
      </c>
      <c r="N64" s="1" t="str">
        <f t="shared" si="2"/>
        <v>عزام bin أحمد bin عبدالرحمن Al-ابراهيم</v>
      </c>
      <c r="O64" s="1" t="str">
        <f t="shared" ca="1" si="3"/>
        <v/>
      </c>
      <c r="P64" s="1">
        <f t="shared" si="4"/>
        <v>0</v>
      </c>
      <c r="Q64" s="1"/>
      <c r="R64" s="1"/>
      <c r="S64" s="1" t="str">
        <f t="shared" si="5"/>
        <v>Living</v>
      </c>
    </row>
    <row r="65" spans="1:19" ht="15.75" hidden="1" customHeight="1" x14ac:dyDescent="0.2">
      <c r="A65" s="1" t="str">
        <f t="shared" si="0"/>
        <v>P064</v>
      </c>
      <c r="B65" s="1" t="s">
        <v>152</v>
      </c>
      <c r="C65" s="21" t="s">
        <v>128</v>
      </c>
      <c r="D65" s="21" t="s">
        <v>105</v>
      </c>
      <c r="E65" s="21" t="s">
        <v>27</v>
      </c>
      <c r="F65" s="1" t="s">
        <v>147</v>
      </c>
      <c r="G65" s="1" t="s">
        <v>35</v>
      </c>
      <c r="H65" s="1"/>
      <c r="I65" s="1"/>
      <c r="J65" s="1"/>
      <c r="K65" s="1">
        <f>IF(F65="",1,IFERROR(VLOOKUP(F65,A:K,11,FALSE)+1,1))</f>
        <v>7</v>
      </c>
      <c r="L65" s="1" t="str">
        <f>IF(F65="","الأصل",IF(VLOOKUP(F65,A:L,12,FALSE)="الأصل","الفرع "&amp;K65-1,VLOOKUP(F65,A:L,12,FALSE)))</f>
        <v>الابراهيم</v>
      </c>
      <c r="M65" s="1" t="str">
        <f t="shared" si="1"/>
        <v>بتال بن أحمد بن عبدالرحمن ابراهيم</v>
      </c>
      <c r="N65" s="1" t="str">
        <f t="shared" si="2"/>
        <v>بتال bin أحمد bin عبدالرحمن Al-ابراهيم</v>
      </c>
      <c r="O65" s="1" t="str">
        <f t="shared" ca="1" si="3"/>
        <v/>
      </c>
      <c r="P65" s="1">
        <f t="shared" si="4"/>
        <v>0</v>
      </c>
      <c r="Q65" s="1"/>
      <c r="R65" s="1"/>
      <c r="S65" s="1" t="str">
        <f t="shared" si="5"/>
        <v>Living</v>
      </c>
    </row>
    <row r="66" spans="1:19" ht="15.75" hidden="1" customHeight="1" x14ac:dyDescent="0.2">
      <c r="A66" s="1" t="str">
        <f t="shared" si="0"/>
        <v>P065</v>
      </c>
      <c r="B66" s="1" t="s">
        <v>153</v>
      </c>
      <c r="C66" s="21" t="s">
        <v>128</v>
      </c>
      <c r="D66" s="21" t="s">
        <v>105</v>
      </c>
      <c r="E66" s="21" t="s">
        <v>27</v>
      </c>
      <c r="F66" s="1" t="s">
        <v>147</v>
      </c>
      <c r="G66" s="1" t="s">
        <v>132</v>
      </c>
      <c r="H66" s="1"/>
      <c r="I66" s="1"/>
      <c r="J66" s="1"/>
      <c r="K66" s="1">
        <f>IF(F66="",1,IFERROR(VLOOKUP(F66,A:K,11,FALSE)+1,1))</f>
        <v>7</v>
      </c>
      <c r="L66" s="1" t="str">
        <f>IF(F66="","الأصل",IF(VLOOKUP(F66,A:L,12,FALSE)="الأصل","الفرع "&amp;K66-1,VLOOKUP(F66,A:L,12,FALSE)))</f>
        <v>الابراهيم</v>
      </c>
      <c r="M66" s="1" t="str">
        <f t="shared" si="1"/>
        <v>شهد بن أحمد بن عبدالرحمن ابراهيم</v>
      </c>
      <c r="N66" s="1" t="str">
        <f t="shared" si="2"/>
        <v>شهد bin أحمد bin عبدالرحمن Al-ابراهيم</v>
      </c>
      <c r="O66" s="1" t="str">
        <f t="shared" ca="1" si="3"/>
        <v/>
      </c>
      <c r="P66" s="1">
        <f t="shared" si="4"/>
        <v>0</v>
      </c>
      <c r="Q66" s="1"/>
      <c r="R66" s="1"/>
      <c r="S66" s="1" t="str">
        <f t="shared" si="5"/>
        <v>Living</v>
      </c>
    </row>
    <row r="67" spans="1:19" ht="15.75" hidden="1" customHeight="1" x14ac:dyDescent="0.2">
      <c r="A67" s="1" t="str">
        <f t="shared" si="0"/>
        <v>P066</v>
      </c>
      <c r="B67" s="1" t="s">
        <v>154</v>
      </c>
      <c r="C67" s="21" t="s">
        <v>105</v>
      </c>
      <c r="D67" s="21" t="s">
        <v>27</v>
      </c>
      <c r="E67" s="21" t="s">
        <v>105</v>
      </c>
      <c r="F67" s="1" t="s">
        <v>155</v>
      </c>
      <c r="G67" s="1" t="s">
        <v>132</v>
      </c>
      <c r="H67" s="1"/>
      <c r="I67" s="1"/>
      <c r="J67" s="1"/>
      <c r="K67" s="1">
        <f>IF(F67="",1,IFERROR(VLOOKUP(F67,A:K,11,FALSE)+1,1))</f>
        <v>8</v>
      </c>
      <c r="L67" s="1" t="str">
        <f>IF(F67="","الأصل",IF(VLOOKUP(F67,A:L,12,FALSE)="الأصل","الفرع "&amp;K67-1,VLOOKUP(F67,A:L,12,FALSE)))</f>
        <v>الابراهيم</v>
      </c>
      <c r="M67" s="1" t="str">
        <f t="shared" si="1"/>
        <v>ريما بن عبدالرحمن بن ابراهيم عبدالرحمن</v>
      </c>
      <c r="N67" s="1" t="str">
        <f t="shared" si="2"/>
        <v>ريما bin عبدالرحمن bin ابراهيم Al-عبدالرحمن</v>
      </c>
      <c r="O67" s="1" t="str">
        <f t="shared" ca="1" si="3"/>
        <v/>
      </c>
      <c r="P67" s="1">
        <f t="shared" si="4"/>
        <v>0</v>
      </c>
      <c r="Q67" s="1"/>
      <c r="R67" s="1"/>
      <c r="S67" s="1" t="str">
        <f t="shared" si="5"/>
        <v>Living</v>
      </c>
    </row>
    <row r="68" spans="1:19" ht="15.75" hidden="1" customHeight="1" x14ac:dyDescent="0.2">
      <c r="A68" s="1" t="str">
        <f t="shared" si="0"/>
        <v>P067</v>
      </c>
      <c r="B68" s="1" t="s">
        <v>156</v>
      </c>
      <c r="C68" s="21" t="s">
        <v>100</v>
      </c>
      <c r="D68" s="21" t="s">
        <v>102</v>
      </c>
      <c r="E68" s="21" t="s">
        <v>27</v>
      </c>
      <c r="F68" s="1" t="s">
        <v>114</v>
      </c>
      <c r="G68" s="1" t="s">
        <v>132</v>
      </c>
      <c r="H68" s="1"/>
      <c r="I68" s="1"/>
      <c r="J68" s="1"/>
      <c r="K68" s="1">
        <f>IF(F68="",1,IFERROR(VLOOKUP(F68,A:K,11,FALSE)+1,1))</f>
        <v>7</v>
      </c>
      <c r="L68" s="1" t="str">
        <f>IF(F68="","الأصل",IF(VLOOKUP(F68,A:L,12,FALSE)="الأصل","الفرع "&amp;K68-1,VLOOKUP(F68,A:L,12,FALSE)))</f>
        <v>الابراهيم</v>
      </c>
      <c r="M68" s="1" t="str">
        <f t="shared" si="1"/>
        <v>خلود بن محمد بن ناصر ابراهيم</v>
      </c>
      <c r="N68" s="1" t="str">
        <f t="shared" si="2"/>
        <v>خلود bin محمد bin ناصر Al-ابراهيم</v>
      </c>
      <c r="O68" s="1" t="str">
        <f t="shared" ca="1" si="3"/>
        <v/>
      </c>
      <c r="P68" s="1">
        <f t="shared" si="4"/>
        <v>0</v>
      </c>
      <c r="Q68" s="1"/>
      <c r="R68" s="1"/>
      <c r="S68" s="1" t="str">
        <f t="shared" si="5"/>
        <v>Living</v>
      </c>
    </row>
    <row r="69" spans="1:19" ht="15.75" hidden="1" customHeight="1" x14ac:dyDescent="0.2">
      <c r="A69" s="1" t="str">
        <f t="shared" si="0"/>
        <v>P068</v>
      </c>
      <c r="B69" s="1" t="s">
        <v>157</v>
      </c>
      <c r="C69" s="21" t="s">
        <v>100</v>
      </c>
      <c r="D69" s="21" t="s">
        <v>102</v>
      </c>
      <c r="E69" s="21" t="s">
        <v>27</v>
      </c>
      <c r="F69" s="1" t="s">
        <v>114</v>
      </c>
      <c r="G69" s="1" t="s">
        <v>132</v>
      </c>
      <c r="H69" s="1"/>
      <c r="I69" s="1"/>
      <c r="J69" s="1"/>
      <c r="K69" s="1">
        <f>IF(F69="",1,IFERROR(VLOOKUP(F69,A:K,11,FALSE)+1,1))</f>
        <v>7</v>
      </c>
      <c r="L69" s="1" t="str">
        <f>IF(F69="","الأصل",IF(VLOOKUP(F69,A:L,12,FALSE)="الأصل","الفرع "&amp;K69-1,VLOOKUP(F69,A:L,12,FALSE)))</f>
        <v>الابراهيم</v>
      </c>
      <c r="M69" s="1" t="str">
        <f t="shared" si="1"/>
        <v>عبير بن محمد بن ناصر ابراهيم</v>
      </c>
      <c r="N69" s="1" t="str">
        <f t="shared" si="2"/>
        <v>عبير bin محمد bin ناصر Al-ابراهيم</v>
      </c>
      <c r="O69" s="1" t="str">
        <f t="shared" ca="1" si="3"/>
        <v/>
      </c>
      <c r="P69" s="1">
        <f t="shared" si="4"/>
        <v>0</v>
      </c>
      <c r="Q69" s="1"/>
      <c r="R69" s="1"/>
      <c r="S69" s="1" t="str">
        <f t="shared" si="5"/>
        <v>Living</v>
      </c>
    </row>
    <row r="70" spans="1:19" ht="15.75" hidden="1" customHeight="1" x14ac:dyDescent="0.2">
      <c r="A70" s="1" t="str">
        <f t="shared" si="0"/>
        <v>P069</v>
      </c>
      <c r="B70" s="1" t="s">
        <v>158</v>
      </c>
      <c r="C70" s="21" t="s">
        <v>100</v>
      </c>
      <c r="D70" s="21" t="s">
        <v>102</v>
      </c>
      <c r="E70" s="21" t="s">
        <v>27</v>
      </c>
      <c r="F70" s="1" t="s">
        <v>114</v>
      </c>
      <c r="G70" s="1" t="s">
        <v>132</v>
      </c>
      <c r="H70" s="1"/>
      <c r="I70" s="1"/>
      <c r="J70" s="1"/>
      <c r="K70" s="1">
        <f>IF(F70="",1,IFERROR(VLOOKUP(F70,A:K,11,FALSE)+1,1))</f>
        <v>7</v>
      </c>
      <c r="L70" s="1" t="str">
        <f>IF(F70="","الأصل",IF(VLOOKUP(F70,A:L,12,FALSE)="الأصل","الفرع "&amp;K70-1,VLOOKUP(F70,A:L,12,FALSE)))</f>
        <v>الابراهيم</v>
      </c>
      <c r="M70" s="1" t="str">
        <f t="shared" si="1"/>
        <v>أمل بن محمد بن ناصر ابراهيم</v>
      </c>
      <c r="N70" s="1" t="str">
        <f t="shared" si="2"/>
        <v>أمل bin محمد bin ناصر Al-ابراهيم</v>
      </c>
      <c r="O70" s="1" t="str">
        <f t="shared" ca="1" si="3"/>
        <v/>
      </c>
      <c r="P70" s="1">
        <f t="shared" si="4"/>
        <v>0</v>
      </c>
      <c r="Q70" s="1"/>
      <c r="R70" s="1"/>
      <c r="S70" s="1" t="str">
        <f t="shared" si="5"/>
        <v>Living</v>
      </c>
    </row>
    <row r="71" spans="1:19" ht="15.75" hidden="1" customHeight="1" x14ac:dyDescent="0.2">
      <c r="A71" s="1" t="str">
        <f t="shared" si="0"/>
        <v>P070</v>
      </c>
      <c r="B71" s="1" t="s">
        <v>159</v>
      </c>
      <c r="C71" s="21" t="s">
        <v>100</v>
      </c>
      <c r="D71" s="21" t="s">
        <v>102</v>
      </c>
      <c r="E71" s="21" t="s">
        <v>27</v>
      </c>
      <c r="F71" s="1" t="s">
        <v>114</v>
      </c>
      <c r="G71" s="1" t="s">
        <v>132</v>
      </c>
      <c r="H71" s="1"/>
      <c r="I71" s="1"/>
      <c r="J71" s="1"/>
      <c r="K71" s="1">
        <f>IF(F71="",1,IFERROR(VLOOKUP(F71,A:K,11,FALSE)+1,1))</f>
        <v>7</v>
      </c>
      <c r="L71" s="1" t="str">
        <f>IF(F71="","الأصل",IF(VLOOKUP(F71,A:L,12,FALSE)="الأصل","الفرع "&amp;K71-1,VLOOKUP(F71,A:L,12,FALSE)))</f>
        <v>الابراهيم</v>
      </c>
      <c r="M71" s="1" t="str">
        <f t="shared" si="1"/>
        <v>شروق بن محمد بن ناصر ابراهيم</v>
      </c>
      <c r="N71" s="1" t="str">
        <f t="shared" si="2"/>
        <v>شروق bin محمد bin ناصر Al-ابراهيم</v>
      </c>
      <c r="O71" s="1" t="str">
        <f t="shared" ca="1" si="3"/>
        <v/>
      </c>
      <c r="P71" s="1">
        <f t="shared" si="4"/>
        <v>0</v>
      </c>
      <c r="Q71" s="1"/>
      <c r="R71" s="1"/>
      <c r="S71" s="1" t="str">
        <f t="shared" si="5"/>
        <v>Living</v>
      </c>
    </row>
    <row r="72" spans="1:19" ht="15.75" hidden="1" customHeight="1" x14ac:dyDescent="0.2">
      <c r="A72" s="1" t="str">
        <f t="shared" si="0"/>
        <v>P071</v>
      </c>
      <c r="B72" s="1" t="s">
        <v>160</v>
      </c>
      <c r="C72" s="21" t="s">
        <v>100</v>
      </c>
      <c r="D72" s="21" t="s">
        <v>102</v>
      </c>
      <c r="E72" s="21" t="s">
        <v>27</v>
      </c>
      <c r="F72" s="1" t="s">
        <v>114</v>
      </c>
      <c r="G72" s="1" t="s">
        <v>132</v>
      </c>
      <c r="H72" s="1"/>
      <c r="I72" s="1"/>
      <c r="J72" s="1"/>
      <c r="K72" s="1">
        <f>IF(F72="",1,IFERROR(VLOOKUP(F72,A:K,11,FALSE)+1,1))</f>
        <v>7</v>
      </c>
      <c r="L72" s="1" t="str">
        <f>IF(F72="","الأصل",IF(VLOOKUP(F72,A:L,12,FALSE)="الأصل","الفرع "&amp;K72-1,VLOOKUP(F72,A:L,12,FALSE)))</f>
        <v>الابراهيم</v>
      </c>
      <c r="M72" s="1" t="str">
        <f t="shared" si="1"/>
        <v>فاتن بن محمد بن ناصر ابراهيم</v>
      </c>
      <c r="N72" s="1" t="str">
        <f t="shared" si="2"/>
        <v>فاتن bin محمد bin ناصر Al-ابراهيم</v>
      </c>
      <c r="O72" s="1" t="str">
        <f t="shared" ca="1" si="3"/>
        <v/>
      </c>
      <c r="P72" s="1">
        <f t="shared" si="4"/>
        <v>0</v>
      </c>
      <c r="Q72" s="1"/>
      <c r="R72" s="1"/>
      <c r="S72" s="1" t="str">
        <f t="shared" si="5"/>
        <v>Living</v>
      </c>
    </row>
    <row r="73" spans="1:19" ht="15.75" hidden="1" customHeight="1" x14ac:dyDescent="0.2">
      <c r="A73" s="1" t="str">
        <f t="shared" si="0"/>
        <v>P072</v>
      </c>
      <c r="B73" s="1" t="s">
        <v>161</v>
      </c>
      <c r="C73" s="21" t="s">
        <v>100</v>
      </c>
      <c r="D73" s="21" t="s">
        <v>102</v>
      </c>
      <c r="E73" s="21" t="s">
        <v>27</v>
      </c>
      <c r="F73" s="1" t="s">
        <v>114</v>
      </c>
      <c r="G73" s="1" t="s">
        <v>132</v>
      </c>
      <c r="H73" s="1"/>
      <c r="I73" s="1"/>
      <c r="J73" s="1"/>
      <c r="K73" s="1">
        <f>IF(F73="",1,IFERROR(VLOOKUP(F73,A:K,11,FALSE)+1,1))</f>
        <v>7</v>
      </c>
      <c r="L73" s="1" t="str">
        <f>IF(F73="","الأصل",IF(VLOOKUP(F73,A:L,12,FALSE)="الأصل","الفرع "&amp;K73-1,VLOOKUP(F73,A:L,12,FALSE)))</f>
        <v>الابراهيم</v>
      </c>
      <c r="M73" s="1" t="str">
        <f t="shared" si="1"/>
        <v>لمياء بن محمد بن ناصر ابراهيم</v>
      </c>
      <c r="N73" s="1" t="str">
        <f t="shared" si="2"/>
        <v>لمياء bin محمد bin ناصر Al-ابراهيم</v>
      </c>
      <c r="O73" s="1" t="str">
        <f t="shared" ca="1" si="3"/>
        <v/>
      </c>
      <c r="P73" s="1">
        <f t="shared" si="4"/>
        <v>0</v>
      </c>
      <c r="Q73" s="1"/>
      <c r="R73" s="1"/>
      <c r="S73" s="1" t="str">
        <f t="shared" si="5"/>
        <v>Living</v>
      </c>
    </row>
    <row r="74" spans="1:19" ht="15.75" hidden="1" customHeight="1" x14ac:dyDescent="0.2">
      <c r="A74" s="1" t="str">
        <f t="shared" si="0"/>
        <v>P073</v>
      </c>
      <c r="B74" s="1" t="s">
        <v>162</v>
      </c>
      <c r="C74" s="21" t="s">
        <v>27</v>
      </c>
      <c r="D74" s="21" t="s">
        <v>102</v>
      </c>
      <c r="E74" s="21" t="s">
        <v>27</v>
      </c>
      <c r="F74" s="1" t="s">
        <v>118</v>
      </c>
      <c r="G74" s="1" t="s">
        <v>132</v>
      </c>
      <c r="H74" s="1"/>
      <c r="I74" s="1"/>
      <c r="J74" s="1"/>
      <c r="K74" s="1">
        <f>IF(F74="",1,IFERROR(VLOOKUP(F74,A:K,11,FALSE)+1,1))</f>
        <v>7</v>
      </c>
      <c r="L74" s="1" t="str">
        <f>IF(F74="","الأصل",IF(VLOOKUP(F74,A:L,12,FALSE)="الأصل","الفرع "&amp;K74-1,VLOOKUP(F74,A:L,12,FALSE)))</f>
        <v>الابراهيم</v>
      </c>
      <c r="M74" s="1" t="str">
        <f t="shared" si="1"/>
        <v>تغريد بن ابراهيم بن ناصر ابراهيم</v>
      </c>
      <c r="N74" s="1" t="str">
        <f t="shared" si="2"/>
        <v>تغريد bin ابراهيم bin ناصر Al-ابراهيم</v>
      </c>
      <c r="O74" s="1" t="str">
        <f t="shared" ca="1" si="3"/>
        <v/>
      </c>
      <c r="P74" s="1">
        <f t="shared" si="4"/>
        <v>0</v>
      </c>
      <c r="Q74" s="1"/>
      <c r="R74" s="1"/>
      <c r="S74" s="1" t="str">
        <f t="shared" si="5"/>
        <v>Living</v>
      </c>
    </row>
    <row r="75" spans="1:19" ht="15.75" hidden="1" customHeight="1" x14ac:dyDescent="0.2">
      <c r="A75" s="1" t="str">
        <f t="shared" si="0"/>
        <v>P074</v>
      </c>
      <c r="B75" s="1" t="s">
        <v>163</v>
      </c>
      <c r="C75" s="21" t="s">
        <v>27</v>
      </c>
      <c r="D75" s="21" t="s">
        <v>102</v>
      </c>
      <c r="E75" s="21" t="s">
        <v>27</v>
      </c>
      <c r="F75" s="1" t="s">
        <v>118</v>
      </c>
      <c r="G75" s="1" t="s">
        <v>132</v>
      </c>
      <c r="H75" s="1"/>
      <c r="I75" s="1"/>
      <c r="J75" s="1"/>
      <c r="K75" s="1">
        <f>IF(F75="",1,IFERROR(VLOOKUP(F75,A:K,11,FALSE)+1,1))</f>
        <v>7</v>
      </c>
      <c r="L75" s="1" t="str">
        <f>IF(F75="","الأصل",IF(VLOOKUP(F75,A:L,12,FALSE)="الأصل","الفرع "&amp;K75-1,VLOOKUP(F75,A:L,12,FALSE)))</f>
        <v>الابراهيم</v>
      </c>
      <c r="M75" s="1" t="str">
        <f t="shared" si="1"/>
        <v>العنود بن ابراهيم بن ناصر ابراهيم</v>
      </c>
      <c r="N75" s="1" t="str">
        <f t="shared" si="2"/>
        <v>العنود bin ابراهيم bin ناصر Al-ابراهيم</v>
      </c>
      <c r="O75" s="1" t="str">
        <f t="shared" ca="1" si="3"/>
        <v/>
      </c>
      <c r="P75" s="1">
        <f t="shared" si="4"/>
        <v>0</v>
      </c>
      <c r="Q75" s="1"/>
      <c r="R75" s="1"/>
      <c r="S75" s="1" t="str">
        <f t="shared" si="5"/>
        <v>Living</v>
      </c>
    </row>
    <row r="76" spans="1:19" ht="15.75" hidden="1" customHeight="1" x14ac:dyDescent="0.2">
      <c r="A76" s="1" t="str">
        <f t="shared" si="0"/>
        <v>P075</v>
      </c>
      <c r="B76" s="1" t="s">
        <v>164</v>
      </c>
      <c r="C76" s="21" t="s">
        <v>27</v>
      </c>
      <c r="D76" s="21" t="s">
        <v>102</v>
      </c>
      <c r="E76" s="21" t="s">
        <v>27</v>
      </c>
      <c r="F76" s="1" t="s">
        <v>118</v>
      </c>
      <c r="G76" s="1" t="s">
        <v>132</v>
      </c>
      <c r="H76" s="1"/>
      <c r="I76" s="1"/>
      <c r="J76" s="1"/>
      <c r="K76" s="1">
        <f>IF(F76="",1,IFERROR(VLOOKUP(F76,A:K,11,FALSE)+1,1))</f>
        <v>7</v>
      </c>
      <c r="L76" s="1" t="str">
        <f>IF(F76="","الأصل",IF(VLOOKUP(F76,A:L,12,FALSE)="الأصل","الفرع "&amp;K76-1,VLOOKUP(F76,A:L,12,FALSE)))</f>
        <v>الابراهيم</v>
      </c>
      <c r="M76" s="1" t="str">
        <f t="shared" si="1"/>
        <v>أسماء بن ابراهيم بن ناصر ابراهيم</v>
      </c>
      <c r="N76" s="1" t="str">
        <f t="shared" si="2"/>
        <v>أسماء bin ابراهيم bin ناصر Al-ابراهيم</v>
      </c>
      <c r="O76" s="1" t="str">
        <f t="shared" ca="1" si="3"/>
        <v/>
      </c>
      <c r="P76" s="1">
        <f t="shared" si="4"/>
        <v>0</v>
      </c>
      <c r="Q76" s="1"/>
      <c r="R76" s="1"/>
      <c r="S76" s="1" t="str">
        <f t="shared" si="5"/>
        <v>Living</v>
      </c>
    </row>
    <row r="77" spans="1:19" ht="15.75" hidden="1" customHeight="1" x14ac:dyDescent="0.2">
      <c r="A77" s="1" t="str">
        <f t="shared" si="0"/>
        <v>P076</v>
      </c>
      <c r="B77" s="1" t="s">
        <v>165</v>
      </c>
      <c r="C77" s="21" t="s">
        <v>27</v>
      </c>
      <c r="D77" s="21" t="s">
        <v>102</v>
      </c>
      <c r="E77" s="21" t="s">
        <v>27</v>
      </c>
      <c r="F77" s="1" t="s">
        <v>118</v>
      </c>
      <c r="G77" s="1" t="s">
        <v>132</v>
      </c>
      <c r="H77" s="1"/>
      <c r="I77" s="1"/>
      <c r="J77" s="1"/>
      <c r="K77" s="1">
        <f>IF(F77="",1,IFERROR(VLOOKUP(F77,A:K,11,FALSE)+1,1))</f>
        <v>7</v>
      </c>
      <c r="L77" s="1" t="str">
        <f>IF(F77="","الأصل",IF(VLOOKUP(F77,A:L,12,FALSE)="الأصل","الفرع "&amp;K77-1,VLOOKUP(F77,A:L,12,FALSE)))</f>
        <v>الابراهيم</v>
      </c>
      <c r="M77" s="1" t="str">
        <f t="shared" si="1"/>
        <v>أروى بن ابراهيم بن ناصر ابراهيم</v>
      </c>
      <c r="N77" s="1" t="str">
        <f t="shared" si="2"/>
        <v>أروى bin ابراهيم bin ناصر Al-ابراهيم</v>
      </c>
      <c r="O77" s="1" t="str">
        <f t="shared" ca="1" si="3"/>
        <v/>
      </c>
      <c r="P77" s="1">
        <f t="shared" si="4"/>
        <v>0</v>
      </c>
      <c r="Q77" s="1"/>
      <c r="R77" s="1"/>
      <c r="S77" s="1" t="str">
        <f t="shared" si="5"/>
        <v>Living</v>
      </c>
    </row>
    <row r="78" spans="1:19" ht="15.75" hidden="1" customHeight="1" x14ac:dyDescent="0.2">
      <c r="A78" s="1" t="str">
        <f t="shared" si="0"/>
        <v>P077</v>
      </c>
      <c r="B78" s="1" t="s">
        <v>166</v>
      </c>
      <c r="C78" s="21" t="s">
        <v>27</v>
      </c>
      <c r="D78" s="21" t="s">
        <v>102</v>
      </c>
      <c r="E78" s="21" t="s">
        <v>27</v>
      </c>
      <c r="F78" s="1" t="s">
        <v>118</v>
      </c>
      <c r="G78" s="1" t="s">
        <v>132</v>
      </c>
      <c r="H78" s="1"/>
      <c r="I78" s="1"/>
      <c r="J78" s="1"/>
      <c r="K78" s="1">
        <f>IF(F78="",1,IFERROR(VLOOKUP(F78,A:K,11,FALSE)+1,1))</f>
        <v>7</v>
      </c>
      <c r="L78" s="1" t="str">
        <f>IF(F78="","الأصل",IF(VLOOKUP(F78,A:L,12,FALSE)="الأصل","الفرع "&amp;K78-1,VLOOKUP(F78,A:L,12,FALSE)))</f>
        <v>الابراهيم</v>
      </c>
      <c r="M78" s="1" t="str">
        <f t="shared" si="1"/>
        <v>موضي بن ابراهيم بن ناصر ابراهيم</v>
      </c>
      <c r="N78" s="1" t="str">
        <f t="shared" si="2"/>
        <v>موضي bin ابراهيم bin ناصر Al-ابراهيم</v>
      </c>
      <c r="O78" s="1" t="str">
        <f t="shared" ca="1" si="3"/>
        <v/>
      </c>
      <c r="P78" s="1">
        <f t="shared" si="4"/>
        <v>0</v>
      </c>
      <c r="Q78" s="1"/>
      <c r="R78" s="1"/>
      <c r="S78" s="1" t="str">
        <f t="shared" si="5"/>
        <v>Living</v>
      </c>
    </row>
    <row r="79" spans="1:19" ht="15.75" hidden="1" customHeight="1" x14ac:dyDescent="0.2">
      <c r="A79" s="1" t="str">
        <f t="shared" si="0"/>
        <v>P078</v>
      </c>
      <c r="B79" s="1" t="s">
        <v>167</v>
      </c>
      <c r="C79" s="1" t="s">
        <v>110</v>
      </c>
      <c r="D79" s="1" t="s">
        <v>102</v>
      </c>
      <c r="E79" s="1" t="s">
        <v>27</v>
      </c>
      <c r="F79" s="1" t="s">
        <v>120</v>
      </c>
      <c r="G79" s="1" t="s">
        <v>132</v>
      </c>
      <c r="H79" s="1"/>
      <c r="I79" s="1"/>
      <c r="J79" s="1"/>
      <c r="K79" s="1">
        <f>IF(F79="",1,IFERROR(VLOOKUP(F79,A:K,11,FALSE)+1,1))</f>
        <v>7</v>
      </c>
      <c r="L79" s="1" t="str">
        <f>IF(F79="","الأصل",IF(VLOOKUP(F79,A:L,12,FALSE)="الأصل","الفرع "&amp;K79-1,VLOOKUP(F79,A:L,12,FALSE)))</f>
        <v>الابراهيم</v>
      </c>
      <c r="M79" s="1" t="str">
        <f t="shared" si="1"/>
        <v>مدى بن سعد بن ناصر ابراهيم</v>
      </c>
      <c r="N79" s="1" t="str">
        <f t="shared" si="2"/>
        <v>مدى bin سعد bin ناصر Al-ابراهيم</v>
      </c>
      <c r="O79" s="1" t="str">
        <f t="shared" ca="1" si="3"/>
        <v/>
      </c>
      <c r="P79" s="1">
        <f t="shared" si="4"/>
        <v>0</v>
      </c>
      <c r="Q79" s="1"/>
      <c r="R79" s="1"/>
      <c r="S79" s="1" t="str">
        <f t="shared" si="5"/>
        <v>Living</v>
      </c>
    </row>
    <row r="80" spans="1:19" ht="15.75" hidden="1" customHeight="1" x14ac:dyDescent="0.2">
      <c r="A80" s="1" t="str">
        <f t="shared" si="0"/>
        <v>P079</v>
      </c>
      <c r="B80" s="1" t="s">
        <v>168</v>
      </c>
      <c r="C80" s="1" t="s">
        <v>110</v>
      </c>
      <c r="D80" s="1" t="s">
        <v>102</v>
      </c>
      <c r="E80" s="1" t="s">
        <v>27</v>
      </c>
      <c r="F80" s="1" t="s">
        <v>120</v>
      </c>
      <c r="G80" s="1" t="s">
        <v>132</v>
      </c>
      <c r="H80" s="1"/>
      <c r="I80" s="1"/>
      <c r="J80" s="1"/>
      <c r="K80" s="1">
        <f>IF(F80="",1,IFERROR(VLOOKUP(F80,A:K,11,FALSE)+1,1))</f>
        <v>7</v>
      </c>
      <c r="L80" s="1" t="str">
        <f>IF(F80="","الأصل",IF(VLOOKUP(F80,A:L,12,FALSE)="الأصل","الفرع "&amp;K80-1,VLOOKUP(F80,A:L,12,FALSE)))</f>
        <v>الابراهيم</v>
      </c>
      <c r="M80" s="1" t="str">
        <f t="shared" si="1"/>
        <v>مشاعل بن سعد بن ناصر ابراهيم</v>
      </c>
      <c r="N80" s="1" t="str">
        <f t="shared" si="2"/>
        <v>مشاعل bin سعد bin ناصر Al-ابراهيم</v>
      </c>
      <c r="O80" s="1" t="str">
        <f t="shared" ca="1" si="3"/>
        <v/>
      </c>
      <c r="P80" s="1">
        <f t="shared" si="4"/>
        <v>0</v>
      </c>
      <c r="Q80" s="1"/>
      <c r="R80" s="1"/>
      <c r="S80" s="1" t="str">
        <f t="shared" si="5"/>
        <v>Living</v>
      </c>
    </row>
    <row r="81" spans="1:19" ht="15.75" hidden="1" customHeight="1" x14ac:dyDescent="0.2">
      <c r="A81" s="1" t="str">
        <f t="shared" si="0"/>
        <v>P080</v>
      </c>
      <c r="B81" s="1" t="s">
        <v>169</v>
      </c>
      <c r="C81" s="1" t="s">
        <v>110</v>
      </c>
      <c r="D81" s="1" t="s">
        <v>102</v>
      </c>
      <c r="E81" s="1" t="s">
        <v>27</v>
      </c>
      <c r="F81" s="1" t="s">
        <v>120</v>
      </c>
      <c r="G81" s="1" t="s">
        <v>132</v>
      </c>
      <c r="H81" s="1"/>
      <c r="I81" s="1"/>
      <c r="J81" s="1"/>
      <c r="K81" s="1">
        <f>IF(F81="",1,IFERROR(VLOOKUP(F81,A:K,11,FALSE)+1,1))</f>
        <v>7</v>
      </c>
      <c r="L81" s="1" t="str">
        <f>IF(F81="","الأصل",IF(VLOOKUP(F81,A:L,12,FALSE)="الأصل","الفرع "&amp;K81-1,VLOOKUP(F81,A:L,12,FALSE)))</f>
        <v>الابراهيم</v>
      </c>
      <c r="M81" s="1" t="str">
        <f t="shared" si="1"/>
        <v>حصة بن سعد بن ناصر ابراهيم</v>
      </c>
      <c r="N81" s="1" t="str">
        <f t="shared" si="2"/>
        <v>حصة bin سعد bin ناصر Al-ابراهيم</v>
      </c>
      <c r="O81" s="1" t="str">
        <f t="shared" ca="1" si="3"/>
        <v/>
      </c>
      <c r="P81" s="1">
        <f t="shared" si="4"/>
        <v>0</v>
      </c>
      <c r="Q81" s="1"/>
      <c r="R81" s="1"/>
      <c r="S81" s="1" t="str">
        <f t="shared" si="5"/>
        <v>Living</v>
      </c>
    </row>
    <row r="82" spans="1:19" ht="15.75" hidden="1" customHeight="1" x14ac:dyDescent="0.2">
      <c r="A82" s="1" t="str">
        <f t="shared" si="0"/>
        <v>P081</v>
      </c>
      <c r="B82" s="1" t="s">
        <v>170</v>
      </c>
      <c r="C82" s="1" t="s">
        <v>110</v>
      </c>
      <c r="D82" s="1" t="s">
        <v>102</v>
      </c>
      <c r="E82" s="1" t="s">
        <v>27</v>
      </c>
      <c r="F82" s="1" t="s">
        <v>120</v>
      </c>
      <c r="G82" s="1" t="s">
        <v>132</v>
      </c>
      <c r="H82" s="1"/>
      <c r="I82" s="1"/>
      <c r="J82" s="1"/>
      <c r="K82" s="1">
        <f>IF(F82="",1,IFERROR(VLOOKUP(F82,A:K,11,FALSE)+1,1))</f>
        <v>7</v>
      </c>
      <c r="L82" s="1" t="str">
        <f>IF(F82="","الأصل",IF(VLOOKUP(F82,A:L,12,FALSE)="الأصل","الفرع "&amp;K82-1,VLOOKUP(F82,A:L,12,FALSE)))</f>
        <v>الابراهيم</v>
      </c>
      <c r="M82" s="1" t="str">
        <f t="shared" si="1"/>
        <v>نورة بن سعد بن ناصر ابراهيم</v>
      </c>
      <c r="N82" s="1" t="str">
        <f t="shared" si="2"/>
        <v>نورة bin سعد bin ناصر Al-ابراهيم</v>
      </c>
      <c r="O82" s="1" t="str">
        <f t="shared" ca="1" si="3"/>
        <v/>
      </c>
      <c r="P82" s="1">
        <f t="shared" si="4"/>
        <v>0</v>
      </c>
      <c r="Q82" s="1"/>
      <c r="R82" s="1"/>
      <c r="S82" s="1" t="str">
        <f t="shared" si="5"/>
        <v>Living</v>
      </c>
    </row>
    <row r="83" spans="1:19" ht="15.75" hidden="1" customHeight="1" x14ac:dyDescent="0.2">
      <c r="A83" s="1" t="str">
        <f t="shared" si="0"/>
        <v>P082</v>
      </c>
      <c r="B83" s="1" t="s">
        <v>171</v>
      </c>
      <c r="C83" s="1" t="s">
        <v>111</v>
      </c>
      <c r="D83" s="1" t="s">
        <v>102</v>
      </c>
      <c r="E83" s="1" t="s">
        <v>27</v>
      </c>
      <c r="F83" s="1" t="s">
        <v>123</v>
      </c>
      <c r="G83" s="1" t="s">
        <v>132</v>
      </c>
      <c r="H83" s="1"/>
      <c r="I83" s="1"/>
      <c r="J83" s="1"/>
      <c r="K83" s="1">
        <f>IF(F83="",1,IFERROR(VLOOKUP(F83,A:K,11,FALSE)+1,1))</f>
        <v>7</v>
      </c>
      <c r="L83" s="1" t="str">
        <f>IF(F83="","الأصل",IF(VLOOKUP(F83,A:L,12,FALSE)="الأصل","الفرع "&amp;K83-1,VLOOKUP(F83,A:L,12,FALSE)))</f>
        <v>الابراهيم</v>
      </c>
      <c r="M83" s="1" t="str">
        <f t="shared" si="1"/>
        <v>مها بن فهد بن ناصر ابراهيم</v>
      </c>
      <c r="N83" s="1" t="str">
        <f t="shared" si="2"/>
        <v>مها bin فهد bin ناصر Al-ابراهيم</v>
      </c>
      <c r="O83" s="1" t="str">
        <f t="shared" ca="1" si="3"/>
        <v/>
      </c>
      <c r="P83" s="1">
        <f t="shared" si="4"/>
        <v>0</v>
      </c>
      <c r="Q83" s="1"/>
      <c r="R83" s="1"/>
      <c r="S83" s="1" t="str">
        <f t="shared" si="5"/>
        <v>Living</v>
      </c>
    </row>
    <row r="84" spans="1:19" ht="15.75" hidden="1" customHeight="1" x14ac:dyDescent="0.2">
      <c r="A84" s="1" t="str">
        <f t="shared" si="0"/>
        <v>P083</v>
      </c>
      <c r="B84" s="1" t="s">
        <v>169</v>
      </c>
      <c r="C84" s="1" t="s">
        <v>111</v>
      </c>
      <c r="D84" s="1" t="s">
        <v>102</v>
      </c>
      <c r="E84" s="1" t="s">
        <v>27</v>
      </c>
      <c r="F84" s="1" t="s">
        <v>123</v>
      </c>
      <c r="G84" s="1" t="s">
        <v>132</v>
      </c>
      <c r="H84" s="1"/>
      <c r="I84" s="1"/>
      <c r="J84" s="1"/>
      <c r="K84" s="1">
        <f>IF(F84="",1,IFERROR(VLOOKUP(F84,A:K,11,FALSE)+1,1))</f>
        <v>7</v>
      </c>
      <c r="L84" s="1" t="str">
        <f>IF(F84="","الأصل",IF(VLOOKUP(F84,A:L,12,FALSE)="الأصل","الفرع "&amp;K84-1,VLOOKUP(F84,A:L,12,FALSE)))</f>
        <v>الابراهيم</v>
      </c>
      <c r="M84" s="1" t="str">
        <f t="shared" si="1"/>
        <v>حصة بن فهد بن ناصر ابراهيم</v>
      </c>
      <c r="N84" s="1" t="str">
        <f t="shared" si="2"/>
        <v>حصة bin فهد bin ناصر Al-ابراهيم</v>
      </c>
      <c r="O84" s="1" t="str">
        <f t="shared" ca="1" si="3"/>
        <v/>
      </c>
      <c r="P84" s="1">
        <f t="shared" si="4"/>
        <v>0</v>
      </c>
      <c r="Q84" s="1"/>
      <c r="R84" s="1"/>
      <c r="S84" s="1" t="str">
        <f t="shared" si="5"/>
        <v>Living</v>
      </c>
    </row>
    <row r="85" spans="1:19" ht="15.75" hidden="1" customHeight="1" x14ac:dyDescent="0.2">
      <c r="A85" s="1" t="str">
        <f t="shared" si="0"/>
        <v>P084</v>
      </c>
      <c r="B85" s="1" t="s">
        <v>172</v>
      </c>
      <c r="C85" s="1" t="s">
        <v>112</v>
      </c>
      <c r="D85" s="1" t="s">
        <v>102</v>
      </c>
      <c r="E85" s="1" t="s">
        <v>27</v>
      </c>
      <c r="F85" s="1" t="s">
        <v>125</v>
      </c>
      <c r="G85" s="1" t="s">
        <v>132</v>
      </c>
      <c r="H85" s="1"/>
      <c r="I85" s="1"/>
      <c r="J85" s="1"/>
      <c r="K85" s="1">
        <f>IF(F85="",1,IFERROR(VLOOKUP(F85,A:K,11,FALSE)+1,1))</f>
        <v>7</v>
      </c>
      <c r="L85" s="1" t="str">
        <f>IF(F85="","الأصل",IF(VLOOKUP(F85,A:L,12,FALSE)="الأصل","الفرع "&amp;K85-1,VLOOKUP(F85,A:L,12,FALSE)))</f>
        <v>الابراهيم</v>
      </c>
      <c r="M85" s="1" t="str">
        <f t="shared" si="1"/>
        <v>نجلاء بن خالد بن ناصر ابراهيم</v>
      </c>
      <c r="N85" s="1" t="str">
        <f t="shared" si="2"/>
        <v>نجلاء bin خالد bin ناصر Al-ابراهيم</v>
      </c>
      <c r="O85" s="1" t="str">
        <f t="shared" ca="1" si="3"/>
        <v/>
      </c>
      <c r="P85" s="1">
        <f t="shared" si="4"/>
        <v>0</v>
      </c>
      <c r="Q85" s="1"/>
      <c r="R85" s="1"/>
      <c r="S85" s="1" t="str">
        <f t="shared" si="5"/>
        <v>Living</v>
      </c>
    </row>
    <row r="86" spans="1:19" ht="15.75" hidden="1" customHeight="1" x14ac:dyDescent="0.2">
      <c r="A86" s="1" t="str">
        <f t="shared" si="0"/>
        <v>P085</v>
      </c>
      <c r="B86" s="1" t="s">
        <v>173</v>
      </c>
      <c r="C86" s="1" t="s">
        <v>112</v>
      </c>
      <c r="D86" s="1" t="s">
        <v>102</v>
      </c>
      <c r="E86" s="1" t="s">
        <v>27</v>
      </c>
      <c r="F86" s="1" t="s">
        <v>125</v>
      </c>
      <c r="G86" s="1" t="s">
        <v>132</v>
      </c>
      <c r="H86" s="1"/>
      <c r="I86" s="1"/>
      <c r="J86" s="1"/>
      <c r="K86" s="1">
        <f>IF(F86="",1,IFERROR(VLOOKUP(F86,A:K,11,FALSE)+1,1))</f>
        <v>7</v>
      </c>
      <c r="L86" s="1" t="str">
        <f>IF(F86="","الأصل",IF(VLOOKUP(F86,A:L,12,FALSE)="الأصل","الفرع "&amp;K86-1,VLOOKUP(F86,A:L,12,FALSE)))</f>
        <v>الابراهيم</v>
      </c>
      <c r="M86" s="1" t="str">
        <f t="shared" si="1"/>
        <v>دانة بن خالد بن ناصر ابراهيم</v>
      </c>
      <c r="N86" s="1" t="str">
        <f t="shared" si="2"/>
        <v>دانة bin خالد bin ناصر Al-ابراهيم</v>
      </c>
      <c r="O86" s="1" t="str">
        <f t="shared" ca="1" si="3"/>
        <v/>
      </c>
      <c r="P86" s="1">
        <f t="shared" si="4"/>
        <v>0</v>
      </c>
      <c r="Q86" s="1"/>
      <c r="R86" s="1"/>
      <c r="S86" s="1" t="str">
        <f t="shared" si="5"/>
        <v>Living</v>
      </c>
    </row>
    <row r="87" spans="1:19" ht="15.75" hidden="1" customHeight="1" x14ac:dyDescent="0.2">
      <c r="A87" s="1" t="str">
        <f t="shared" si="0"/>
        <v>P086</v>
      </c>
      <c r="B87" s="1" t="s">
        <v>174</v>
      </c>
      <c r="C87" s="1" t="s">
        <v>112</v>
      </c>
      <c r="D87" s="1" t="s">
        <v>102</v>
      </c>
      <c r="E87" s="1" t="s">
        <v>27</v>
      </c>
      <c r="F87" s="1" t="s">
        <v>125</v>
      </c>
      <c r="G87" s="1" t="s">
        <v>132</v>
      </c>
      <c r="H87" s="1"/>
      <c r="I87" s="1"/>
      <c r="J87" s="1"/>
      <c r="K87" s="1">
        <f>IF(F87="",1,IFERROR(VLOOKUP(F87,A:K,11,FALSE)+1,1))</f>
        <v>7</v>
      </c>
      <c r="L87" s="1" t="str">
        <f>IF(F87="","الأصل",IF(VLOOKUP(F87,A:L,12,FALSE)="الأصل","الفرع "&amp;K87-1,VLOOKUP(F87,A:L,12,FALSE)))</f>
        <v>الابراهيم</v>
      </c>
      <c r="M87" s="1" t="str">
        <f t="shared" si="1"/>
        <v>ديمة بن خالد بن ناصر ابراهيم</v>
      </c>
      <c r="N87" s="1" t="str">
        <f t="shared" si="2"/>
        <v>ديمة bin خالد bin ناصر Al-ابراهيم</v>
      </c>
      <c r="O87" s="1" t="str">
        <f t="shared" ca="1" si="3"/>
        <v/>
      </c>
      <c r="P87" s="1">
        <f t="shared" si="4"/>
        <v>0</v>
      </c>
      <c r="Q87" s="1"/>
      <c r="R87" s="1"/>
      <c r="S87" s="1" t="str">
        <f t="shared" si="5"/>
        <v>Living</v>
      </c>
    </row>
    <row r="88" spans="1:19" ht="15.75" hidden="1" customHeight="1" x14ac:dyDescent="0.2">
      <c r="A88" s="1" t="str">
        <f t="shared" si="0"/>
        <v>P087</v>
      </c>
      <c r="B88" s="1" t="s">
        <v>175</v>
      </c>
      <c r="C88" s="1" t="s">
        <v>112</v>
      </c>
      <c r="D88" s="1" t="s">
        <v>102</v>
      </c>
      <c r="E88" s="1" t="s">
        <v>27</v>
      </c>
      <c r="F88" s="1" t="s">
        <v>125</v>
      </c>
      <c r="G88" s="1" t="s">
        <v>132</v>
      </c>
      <c r="H88" s="1"/>
      <c r="I88" s="1"/>
      <c r="J88" s="1"/>
      <c r="K88" s="1">
        <f>IF(F88="",1,IFERROR(VLOOKUP(F88,A:K,11,FALSE)+1,1))</f>
        <v>7</v>
      </c>
      <c r="L88" s="1" t="str">
        <f>IF(F88="","الأصل",IF(VLOOKUP(F88,A:L,12,FALSE)="الأصل","الفرع "&amp;K88-1,VLOOKUP(F88,A:L,12,FALSE)))</f>
        <v>الابراهيم</v>
      </c>
      <c r="M88" s="1" t="str">
        <f t="shared" si="1"/>
        <v>في بن خالد بن ناصر ابراهيم</v>
      </c>
      <c r="N88" s="1" t="str">
        <f t="shared" si="2"/>
        <v>في bin خالد bin ناصر Al-ابراهيم</v>
      </c>
      <c r="O88" s="1" t="str">
        <f t="shared" ca="1" si="3"/>
        <v/>
      </c>
      <c r="P88" s="1">
        <f t="shared" si="4"/>
        <v>0</v>
      </c>
      <c r="Q88" s="1"/>
      <c r="R88" s="1"/>
      <c r="S88" s="1" t="str">
        <f t="shared" si="5"/>
        <v>Living</v>
      </c>
    </row>
    <row r="89" spans="1:19" ht="15.75" hidden="1" customHeight="1" x14ac:dyDescent="0.2">
      <c r="A89" s="1" t="str">
        <f t="shared" si="0"/>
        <v>P088</v>
      </c>
      <c r="B89" s="1" t="s">
        <v>176</v>
      </c>
      <c r="C89" s="1" t="s">
        <v>112</v>
      </c>
      <c r="D89" s="1" t="s">
        <v>102</v>
      </c>
      <c r="E89" s="1" t="s">
        <v>27</v>
      </c>
      <c r="F89" s="1" t="s">
        <v>125</v>
      </c>
      <c r="G89" s="1" t="s">
        <v>132</v>
      </c>
      <c r="H89" s="1"/>
      <c r="I89" s="1"/>
      <c r="J89" s="1"/>
      <c r="K89" s="1">
        <f>IF(F89="",1,IFERROR(VLOOKUP(F89,A:K,11,FALSE)+1,1))</f>
        <v>7</v>
      </c>
      <c r="L89" s="1" t="str">
        <f>IF(F89="","الأصل",IF(VLOOKUP(F89,A:L,12,FALSE)="الأصل","الفرع "&amp;K89-1,VLOOKUP(F89,A:L,12,FALSE)))</f>
        <v>الابراهيم</v>
      </c>
      <c r="M89" s="1" t="str">
        <f t="shared" si="1"/>
        <v>هيا بن خالد بن ناصر ابراهيم</v>
      </c>
      <c r="N89" s="1" t="str">
        <f t="shared" si="2"/>
        <v>هيا bin خالد bin ناصر Al-ابراهيم</v>
      </c>
      <c r="O89" s="1" t="str">
        <f t="shared" ca="1" si="3"/>
        <v/>
      </c>
      <c r="P89" s="1">
        <f t="shared" si="4"/>
        <v>0</v>
      </c>
      <c r="Q89" s="1"/>
      <c r="R89" s="1"/>
      <c r="S89" s="1" t="str">
        <f t="shared" si="5"/>
        <v>Living</v>
      </c>
    </row>
    <row r="90" spans="1:19" ht="15.75" hidden="1" customHeight="1" x14ac:dyDescent="0.2">
      <c r="A90" s="1" t="str">
        <f t="shared" si="0"/>
        <v>P089</v>
      </c>
      <c r="B90" s="1" t="s">
        <v>169</v>
      </c>
      <c r="C90" s="1" t="s">
        <v>112</v>
      </c>
      <c r="D90" s="1" t="s">
        <v>102</v>
      </c>
      <c r="E90" s="1" t="s">
        <v>27</v>
      </c>
      <c r="F90" s="1" t="s">
        <v>125</v>
      </c>
      <c r="G90" s="1" t="s">
        <v>132</v>
      </c>
      <c r="H90" s="1"/>
      <c r="I90" s="1"/>
      <c r="J90" s="1"/>
      <c r="K90" s="1">
        <f>IF(F90="",1,IFERROR(VLOOKUP(F90,A:K,11,FALSE)+1,1))</f>
        <v>7</v>
      </c>
      <c r="L90" s="1" t="str">
        <f>IF(F90="","الأصل",IF(VLOOKUP(F90,A:L,12,FALSE)="الأصل","الفرع "&amp;K90-1,VLOOKUP(F90,A:L,12,FALSE)))</f>
        <v>الابراهيم</v>
      </c>
      <c r="M90" s="1" t="str">
        <f t="shared" si="1"/>
        <v>حصة بن خالد بن ناصر ابراهيم</v>
      </c>
      <c r="N90" s="1" t="str">
        <f t="shared" si="2"/>
        <v>حصة bin خالد bin ناصر Al-ابراهيم</v>
      </c>
      <c r="O90" s="1" t="str">
        <f t="shared" ca="1" si="3"/>
        <v/>
      </c>
      <c r="P90" s="1">
        <f t="shared" si="4"/>
        <v>0</v>
      </c>
      <c r="Q90" s="1"/>
      <c r="R90" s="1"/>
      <c r="S90" s="1" t="str">
        <f t="shared" si="5"/>
        <v>Living</v>
      </c>
    </row>
    <row r="91" spans="1:19" ht="15.75" hidden="1" customHeight="1" x14ac:dyDescent="0.2">
      <c r="A91" s="1" t="str">
        <f t="shared" si="0"/>
        <v>P090</v>
      </c>
      <c r="B91" s="1" t="s">
        <v>170</v>
      </c>
      <c r="C91" s="1" t="s">
        <v>102</v>
      </c>
      <c r="D91" s="1" t="s">
        <v>27</v>
      </c>
      <c r="E91" s="1" t="s">
        <v>102</v>
      </c>
      <c r="F91" s="1" t="s">
        <v>109</v>
      </c>
      <c r="G91" s="1" t="s">
        <v>132</v>
      </c>
      <c r="H91" s="1"/>
      <c r="I91" s="1"/>
      <c r="J91" s="1"/>
      <c r="K91" s="1">
        <f>IF(F91="",1,IFERROR(VLOOKUP(F91,A:K,11,FALSE)+1,1))</f>
        <v>6</v>
      </c>
      <c r="L91" s="1" t="str">
        <f>IF(F91="","الأصل",IF(VLOOKUP(F91,A:L,12,FALSE)="الأصل","الفرع "&amp;K91-1,VLOOKUP(F91,A:L,12,FALSE)))</f>
        <v>الابراهيم</v>
      </c>
      <c r="M91" s="1" t="str">
        <f t="shared" si="1"/>
        <v>نورة بن ناصر بن ابراهيم ناصر</v>
      </c>
      <c r="N91" s="1" t="str">
        <f t="shared" si="2"/>
        <v>نورة bin ناصر bin ابراهيم Al-ناصر</v>
      </c>
      <c r="O91" s="1" t="str">
        <f t="shared" ca="1" si="3"/>
        <v/>
      </c>
      <c r="P91" s="1">
        <f t="shared" si="4"/>
        <v>0</v>
      </c>
      <c r="Q91" s="1"/>
      <c r="R91" s="1"/>
      <c r="S91" s="1" t="str">
        <f t="shared" si="5"/>
        <v>Living</v>
      </c>
    </row>
    <row r="92" spans="1:19" ht="15.75" hidden="1" customHeight="1" x14ac:dyDescent="0.2">
      <c r="A92" s="1" t="str">
        <f t="shared" si="0"/>
        <v>P091</v>
      </c>
      <c r="B92" s="1" t="s">
        <v>177</v>
      </c>
      <c r="C92" s="1" t="s">
        <v>102</v>
      </c>
      <c r="D92" s="1" t="s">
        <v>27</v>
      </c>
      <c r="E92" s="1" t="s">
        <v>102</v>
      </c>
      <c r="F92" s="1" t="s">
        <v>109</v>
      </c>
      <c r="G92" s="1" t="s">
        <v>132</v>
      </c>
      <c r="H92" s="1"/>
      <c r="I92" s="1"/>
      <c r="J92" s="1"/>
      <c r="K92" s="1">
        <f>IF(F92="",1,IFERROR(VLOOKUP(F92,A:K,11,FALSE)+1,1))</f>
        <v>6</v>
      </c>
      <c r="L92" s="1" t="str">
        <f>IF(F92="","الأصل",IF(VLOOKUP(F92,A:L,12,FALSE)="الأصل","الفرع "&amp;K92-1,VLOOKUP(F92,A:L,12,FALSE)))</f>
        <v>الابراهيم</v>
      </c>
      <c r="M92" s="1" t="str">
        <f t="shared" si="1"/>
        <v>جواهر بن ناصر بن ابراهيم ناصر</v>
      </c>
      <c r="N92" s="1" t="str">
        <f t="shared" si="2"/>
        <v>جواهر bin ناصر bin ابراهيم Al-ناصر</v>
      </c>
      <c r="O92" s="1" t="str">
        <f t="shared" ca="1" si="3"/>
        <v/>
      </c>
      <c r="P92" s="1">
        <f t="shared" si="4"/>
        <v>0</v>
      </c>
      <c r="Q92" s="1"/>
      <c r="R92" s="1"/>
      <c r="S92" s="1" t="str">
        <f t="shared" si="5"/>
        <v>Living</v>
      </c>
    </row>
    <row r="93" spans="1:19" ht="15.75" hidden="1" customHeight="1" x14ac:dyDescent="0.2">
      <c r="A93" s="1" t="str">
        <f t="shared" si="0"/>
        <v>P092</v>
      </c>
      <c r="B93" s="1" t="s">
        <v>169</v>
      </c>
      <c r="C93" s="1" t="s">
        <v>113</v>
      </c>
      <c r="D93" s="1" t="s">
        <v>102</v>
      </c>
      <c r="E93" s="1" t="s">
        <v>27</v>
      </c>
      <c r="F93" s="1" t="s">
        <v>126</v>
      </c>
      <c r="G93" s="1" t="s">
        <v>132</v>
      </c>
      <c r="H93" s="1"/>
      <c r="I93" s="1"/>
      <c r="J93" s="1"/>
      <c r="K93" s="1">
        <f>IF(F93="",1,IFERROR(VLOOKUP(F93,A:K,11,FALSE)+1,1))</f>
        <v>7</v>
      </c>
      <c r="L93" s="1" t="str">
        <f>IF(F93="","الأصل",IF(VLOOKUP(F93,A:L,12,FALSE)="الأصل","الفرع "&amp;K93-1,VLOOKUP(F93,A:L,12,FALSE)))</f>
        <v>الابراهيم</v>
      </c>
      <c r="M93" s="1" t="str">
        <f t="shared" si="1"/>
        <v>حصة بن شايع بن ناصر ابراهيم</v>
      </c>
      <c r="N93" s="1" t="str">
        <f t="shared" si="2"/>
        <v>حصة bin شايع bin ناصر Al-ابراهيم</v>
      </c>
      <c r="O93" s="1" t="str">
        <f t="shared" ca="1" si="3"/>
        <v/>
      </c>
      <c r="P93" s="1">
        <f t="shared" si="4"/>
        <v>0</v>
      </c>
      <c r="Q93" s="1"/>
      <c r="R93" s="1"/>
      <c r="S93" s="1" t="str">
        <f t="shared" si="5"/>
        <v>Living</v>
      </c>
    </row>
    <row r="94" spans="1:19" ht="15.75" hidden="1" customHeight="1" x14ac:dyDescent="0.2">
      <c r="A94" s="1" t="str">
        <f t="shared" si="0"/>
        <v>P093</v>
      </c>
      <c r="B94" s="1" t="s">
        <v>178</v>
      </c>
      <c r="C94" s="1" t="s">
        <v>113</v>
      </c>
      <c r="D94" s="1" t="s">
        <v>102</v>
      </c>
      <c r="E94" s="1" t="s">
        <v>27</v>
      </c>
      <c r="F94" s="1" t="s">
        <v>126</v>
      </c>
      <c r="G94" s="1" t="s">
        <v>132</v>
      </c>
      <c r="H94" s="1"/>
      <c r="I94" s="1"/>
      <c r="J94" s="1"/>
      <c r="K94" s="1">
        <f>IF(F94="",1,IFERROR(VLOOKUP(F94,A:K,11,FALSE)+1,1))</f>
        <v>7</v>
      </c>
      <c r="L94" s="1" t="str">
        <f>IF(F94="","الأصل",IF(VLOOKUP(F94,A:L,12,FALSE)="الأصل","الفرع "&amp;K94-1,VLOOKUP(F94,A:L,12,FALSE)))</f>
        <v>الابراهيم</v>
      </c>
      <c r="M94" s="1" t="str">
        <f t="shared" si="1"/>
        <v>جمانه بن شايع بن ناصر ابراهيم</v>
      </c>
      <c r="N94" s="1" t="str">
        <f t="shared" si="2"/>
        <v>جمانه bin شايع bin ناصر Al-ابراهيم</v>
      </c>
      <c r="O94" s="1" t="str">
        <f t="shared" ca="1" si="3"/>
        <v/>
      </c>
      <c r="P94" s="1">
        <f t="shared" si="4"/>
        <v>0</v>
      </c>
      <c r="Q94" s="1"/>
      <c r="R94" s="1"/>
      <c r="S94" s="1" t="str">
        <f t="shared" si="5"/>
        <v>Living</v>
      </c>
    </row>
    <row r="95" spans="1:19" ht="15.75" hidden="1" customHeight="1" x14ac:dyDescent="0.2">
      <c r="A95" s="1" t="str">
        <f t="shared" si="0"/>
        <v>P094</v>
      </c>
      <c r="B95" s="1" t="s">
        <v>179</v>
      </c>
      <c r="C95" s="1" t="s">
        <v>113</v>
      </c>
      <c r="D95" s="1" t="s">
        <v>102</v>
      </c>
      <c r="E95" s="1" t="s">
        <v>27</v>
      </c>
      <c r="F95" s="1" t="s">
        <v>126</v>
      </c>
      <c r="G95" s="1" t="s">
        <v>132</v>
      </c>
      <c r="H95" s="1"/>
      <c r="I95" s="1"/>
      <c r="J95" s="1"/>
      <c r="K95" s="1">
        <f>IF(F95="",1,IFERROR(VLOOKUP(F95,A:K,11,FALSE)+1,1))</f>
        <v>7</v>
      </c>
      <c r="L95" s="1" t="str">
        <f>IF(F95="","الأصل",IF(VLOOKUP(F95,A:L,12,FALSE)="الأصل","الفرع "&amp;K95-1,VLOOKUP(F95,A:L,12,FALSE)))</f>
        <v>الابراهيم</v>
      </c>
      <c r="M95" s="1" t="str">
        <f t="shared" si="1"/>
        <v>سفانة بن شايع بن ناصر ابراهيم</v>
      </c>
      <c r="N95" s="1" t="str">
        <f t="shared" si="2"/>
        <v>سفانة bin شايع bin ناصر Al-ابراهيم</v>
      </c>
      <c r="O95" s="1" t="str">
        <f t="shared" ca="1" si="3"/>
        <v/>
      </c>
      <c r="P95" s="1">
        <f t="shared" si="4"/>
        <v>0</v>
      </c>
      <c r="Q95" s="1"/>
      <c r="R95" s="1"/>
      <c r="S95" s="1" t="str">
        <f t="shared" si="5"/>
        <v>Living</v>
      </c>
    </row>
    <row r="96" spans="1:19" ht="15.75" hidden="1" customHeight="1" x14ac:dyDescent="0.2">
      <c r="A96" s="1" t="str">
        <f t="shared" si="0"/>
        <v>P095</v>
      </c>
      <c r="B96" s="1" t="s">
        <v>180</v>
      </c>
      <c r="C96" s="1" t="s">
        <v>113</v>
      </c>
      <c r="D96" s="1" t="s">
        <v>102</v>
      </c>
      <c r="E96" s="1" t="s">
        <v>27</v>
      </c>
      <c r="F96" s="1" t="s">
        <v>126</v>
      </c>
      <c r="G96" s="1" t="s">
        <v>132</v>
      </c>
      <c r="H96" s="1"/>
      <c r="I96" s="1"/>
      <c r="J96" s="1"/>
      <c r="K96" s="1">
        <f>IF(F96="",1,IFERROR(VLOOKUP(F96,A:K,11,FALSE)+1,1))</f>
        <v>7</v>
      </c>
      <c r="L96" s="1" t="str">
        <f>IF(F96="","الأصل",IF(VLOOKUP(F96,A:L,12,FALSE)="الأصل","الفرع "&amp;K96-1,VLOOKUP(F96,A:L,12,FALSE)))</f>
        <v>الابراهيم</v>
      </c>
      <c r="M96" s="1" t="str">
        <f t="shared" si="1"/>
        <v>سلاف بن شايع بن ناصر ابراهيم</v>
      </c>
      <c r="N96" s="1" t="str">
        <f t="shared" si="2"/>
        <v>سلاف bin شايع bin ناصر Al-ابراهيم</v>
      </c>
      <c r="O96" s="1" t="str">
        <f t="shared" ca="1" si="3"/>
        <v/>
      </c>
      <c r="P96" s="1">
        <f t="shared" si="4"/>
        <v>0</v>
      </c>
      <c r="Q96" s="1"/>
      <c r="R96" s="1"/>
      <c r="S96" s="1" t="str">
        <f t="shared" si="5"/>
        <v>Living</v>
      </c>
    </row>
    <row r="97" spans="1:26" ht="15.75" hidden="1" customHeight="1" x14ac:dyDescent="0.2">
      <c r="A97" s="1" t="str">
        <f t="shared" si="0"/>
        <v>P096</v>
      </c>
      <c r="B97" s="1" t="s">
        <v>181</v>
      </c>
      <c r="C97" s="1" t="s">
        <v>113</v>
      </c>
      <c r="D97" s="1" t="s">
        <v>102</v>
      </c>
      <c r="E97" s="1" t="s">
        <v>27</v>
      </c>
      <c r="F97" s="1" t="s">
        <v>126</v>
      </c>
      <c r="G97" s="1" t="s">
        <v>132</v>
      </c>
      <c r="H97" s="1"/>
      <c r="I97" s="1"/>
      <c r="J97" s="1"/>
      <c r="K97" s="1">
        <f>IF(F97="",1,IFERROR(VLOOKUP(F97,A:K,11,FALSE)+1,1))</f>
        <v>7</v>
      </c>
      <c r="L97" s="1" t="str">
        <f>IF(F97="","الأصل",IF(VLOOKUP(F97,A:L,12,FALSE)="الأصل","الفرع "&amp;K97-1,VLOOKUP(F97,A:L,12,FALSE)))</f>
        <v>الابراهيم</v>
      </c>
      <c r="M97" s="1" t="str">
        <f t="shared" si="1"/>
        <v>شموخ بن شايع بن ناصر ابراهيم</v>
      </c>
      <c r="N97" s="1" t="str">
        <f t="shared" si="2"/>
        <v>شموخ bin شايع bin ناصر Al-ابراهيم</v>
      </c>
      <c r="O97" s="1" t="str">
        <f t="shared" ca="1" si="3"/>
        <v/>
      </c>
      <c r="P97" s="1">
        <f t="shared" si="4"/>
        <v>0</v>
      </c>
      <c r="Q97" s="1"/>
      <c r="R97" s="1"/>
      <c r="S97" s="1" t="str">
        <f t="shared" si="5"/>
        <v>Living</v>
      </c>
    </row>
    <row r="98" spans="1:26" ht="15.75" hidden="1" customHeight="1" x14ac:dyDescent="0.2">
      <c r="A98" s="1" t="str">
        <f t="shared" si="0"/>
        <v>P097</v>
      </c>
      <c r="B98" s="1" t="s">
        <v>182</v>
      </c>
      <c r="C98" s="1" t="s">
        <v>117</v>
      </c>
      <c r="D98" s="1" t="s">
        <v>27</v>
      </c>
      <c r="E98" s="1" t="s">
        <v>102</v>
      </c>
      <c r="F98" s="1" t="s">
        <v>183</v>
      </c>
      <c r="G98" s="1" t="s">
        <v>132</v>
      </c>
      <c r="H98" s="1"/>
      <c r="I98" s="1"/>
      <c r="J98" s="1"/>
      <c r="K98" s="1">
        <f>IF(F98="",1,IFERROR(VLOOKUP(F98,A:K,11,FALSE)+1,1))</f>
        <v>8</v>
      </c>
      <c r="L98" s="1" t="str">
        <f>IF(F98="","الأصل",IF(VLOOKUP(F98,A:L,12,FALSE)="الأصل","الفرع "&amp;K98-1,VLOOKUP(F98,A:L,12,FALSE)))</f>
        <v>الابراهيم</v>
      </c>
      <c r="M98" s="1" t="str">
        <f t="shared" si="1"/>
        <v>أضواء بن يزيد بن ابراهيم ناصر</v>
      </c>
      <c r="N98" s="1" t="str">
        <f t="shared" si="2"/>
        <v>أضواء bin يزيد bin ابراهيم Al-ناصر</v>
      </c>
      <c r="O98" s="1" t="str">
        <f t="shared" ca="1" si="3"/>
        <v/>
      </c>
      <c r="P98" s="1">
        <f t="shared" si="4"/>
        <v>0</v>
      </c>
      <c r="Q98" s="1"/>
      <c r="R98" s="1"/>
      <c r="S98" s="1" t="str">
        <f t="shared" si="5"/>
        <v>Living</v>
      </c>
    </row>
    <row r="99" spans="1:26" ht="15.75" hidden="1" customHeight="1" x14ac:dyDescent="0.2">
      <c r="A99" s="1" t="str">
        <f t="shared" si="0"/>
        <v>P098</v>
      </c>
      <c r="B99" s="1" t="s">
        <v>27</v>
      </c>
      <c r="C99" s="1" t="s">
        <v>117</v>
      </c>
      <c r="D99" s="1" t="s">
        <v>27</v>
      </c>
      <c r="E99" s="1" t="s">
        <v>102</v>
      </c>
      <c r="F99" s="1" t="s">
        <v>183</v>
      </c>
      <c r="G99" s="1" t="s">
        <v>35</v>
      </c>
      <c r="H99" s="1"/>
      <c r="I99" s="1"/>
      <c r="J99" s="1"/>
      <c r="K99" s="1">
        <f>IF(F99="",1,IFERROR(VLOOKUP(F99,A:K,11,FALSE)+1,1))</f>
        <v>8</v>
      </c>
      <c r="L99" s="1" t="str">
        <f>IF(F99="","الأصل",IF(VLOOKUP(F99,A:L,12,FALSE)="الأصل","الفرع "&amp;K99-1,VLOOKUP(F99,A:L,12,FALSE)))</f>
        <v>الابراهيم</v>
      </c>
      <c r="M99" s="1" t="str">
        <f t="shared" si="1"/>
        <v>ابراهيم بن يزيد بن ابراهيم ناصر</v>
      </c>
      <c r="N99" s="1" t="str">
        <f t="shared" si="2"/>
        <v>ابراهيم bin يزيد bin ابراهيم Al-ناصر</v>
      </c>
      <c r="O99" s="1" t="str">
        <f t="shared" ca="1" si="3"/>
        <v/>
      </c>
      <c r="P99" s="1">
        <f t="shared" si="4"/>
        <v>0</v>
      </c>
      <c r="Q99" s="1"/>
      <c r="R99" s="1"/>
      <c r="S99" s="1" t="str">
        <f t="shared" si="5"/>
        <v>Living</v>
      </c>
    </row>
    <row r="100" spans="1:26" ht="15.75" hidden="1" customHeight="1" x14ac:dyDescent="0.2">
      <c r="A100" s="1" t="str">
        <f t="shared" si="0"/>
        <v>P099</v>
      </c>
      <c r="B100" s="1" t="s">
        <v>105</v>
      </c>
      <c r="C100" s="1" t="s">
        <v>117</v>
      </c>
      <c r="D100" s="1" t="s">
        <v>27</v>
      </c>
      <c r="E100" s="1" t="s">
        <v>102</v>
      </c>
      <c r="F100" s="1" t="s">
        <v>183</v>
      </c>
      <c r="G100" s="1" t="s">
        <v>35</v>
      </c>
      <c r="H100" s="1"/>
      <c r="I100" s="1"/>
      <c r="J100" s="1"/>
      <c r="K100" s="1">
        <f>IF(F100="",1,IFERROR(VLOOKUP(F100,A:K,11,FALSE)+1,1))</f>
        <v>8</v>
      </c>
      <c r="L100" s="1" t="str">
        <f>IF(F100="","الأصل",IF(VLOOKUP(F100,A:L,12,FALSE)="الأصل","الفرع "&amp;K100-1,VLOOKUP(F100,A:L,12,FALSE)))</f>
        <v>الابراهيم</v>
      </c>
      <c r="M100" s="1" t="str">
        <f t="shared" si="1"/>
        <v>عبدالرحمن بن يزيد بن ابراهيم ناصر</v>
      </c>
      <c r="N100" s="1" t="str">
        <f t="shared" si="2"/>
        <v>عبدالرحمن bin يزيد bin ابراهيم Al-ناصر</v>
      </c>
      <c r="O100" s="1" t="str">
        <f t="shared" ca="1" si="3"/>
        <v/>
      </c>
      <c r="P100" s="1">
        <f t="shared" si="4"/>
        <v>0</v>
      </c>
      <c r="Q100" s="1"/>
      <c r="R100" s="1"/>
      <c r="S100" s="1" t="str">
        <f t="shared" si="5"/>
        <v>Living</v>
      </c>
    </row>
    <row r="101" spans="1:26" ht="15.75" hidden="1" customHeight="1" x14ac:dyDescent="0.2">
      <c r="A101" s="1" t="str">
        <f t="shared" si="0"/>
        <v>P100</v>
      </c>
      <c r="B101" s="1" t="s">
        <v>184</v>
      </c>
      <c r="C101" s="1" t="s">
        <v>117</v>
      </c>
      <c r="D101" s="1" t="s">
        <v>27</v>
      </c>
      <c r="E101" s="1" t="s">
        <v>102</v>
      </c>
      <c r="F101" s="1" t="s">
        <v>183</v>
      </c>
      <c r="G101" s="1" t="s">
        <v>132</v>
      </c>
      <c r="H101" s="1"/>
      <c r="I101" s="1"/>
      <c r="J101" s="1"/>
      <c r="K101" s="1">
        <f>IF(F101="",1,IFERROR(VLOOKUP(F101,A:K,11,FALSE)+1,1))</f>
        <v>8</v>
      </c>
      <c r="L101" s="1" t="str">
        <f>IF(F101="","الأصل",IF(VLOOKUP(F101,A:L,12,FALSE)="الأصل","الفرع "&amp;K101-1,VLOOKUP(F101,A:L,12,FALSE)))</f>
        <v>الابراهيم</v>
      </c>
      <c r="M101" s="1" t="str">
        <f t="shared" si="1"/>
        <v>صبا بن يزيد بن ابراهيم ناصر</v>
      </c>
      <c r="N101" s="1" t="str">
        <f t="shared" si="2"/>
        <v>صبا bin يزيد bin ابراهيم Al-ناصر</v>
      </c>
      <c r="O101" s="1" t="str">
        <f t="shared" ca="1" si="3"/>
        <v/>
      </c>
      <c r="P101" s="1">
        <f t="shared" si="4"/>
        <v>0</v>
      </c>
      <c r="Q101" s="1"/>
      <c r="R101" s="1"/>
      <c r="S101" s="1" t="str">
        <f t="shared" si="5"/>
        <v>Living</v>
      </c>
    </row>
    <row r="102" spans="1:26" ht="15.75" hidden="1" customHeight="1" x14ac:dyDescent="0.2">
      <c r="A102" s="1" t="str">
        <f t="shared" si="0"/>
        <v>P101</v>
      </c>
      <c r="B102" s="1" t="s">
        <v>185</v>
      </c>
      <c r="C102" s="1" t="s">
        <v>102</v>
      </c>
      <c r="D102" s="1" t="s">
        <v>27</v>
      </c>
      <c r="E102" s="1" t="s">
        <v>102</v>
      </c>
      <c r="F102" s="1" t="s">
        <v>186</v>
      </c>
      <c r="G102" s="1" t="s">
        <v>132</v>
      </c>
      <c r="H102" s="1"/>
      <c r="I102" s="1"/>
      <c r="J102" s="1"/>
      <c r="K102" s="1">
        <f>IF(F102="",1,IFERROR(VLOOKUP(F102,A:K,11,FALSE)+1,1))</f>
        <v>8</v>
      </c>
      <c r="L102" s="1" t="str">
        <f>IF(F102="","الأصل",IF(VLOOKUP(F102,A:L,12,FALSE)="الأصل","الفرع "&amp;K102-1,VLOOKUP(F102,A:L,12,FALSE)))</f>
        <v>الابراهيم</v>
      </c>
      <c r="M102" s="1" t="str">
        <f t="shared" si="1"/>
        <v>فرح بن ناصر بن ابراهيم ناصر</v>
      </c>
      <c r="N102" s="1" t="str">
        <f t="shared" si="2"/>
        <v>فرح bin ناصر bin ابراهيم Al-ناصر</v>
      </c>
      <c r="O102" s="1" t="str">
        <f t="shared" ca="1" si="3"/>
        <v/>
      </c>
      <c r="P102" s="1">
        <f t="shared" si="4"/>
        <v>0</v>
      </c>
      <c r="Q102" s="1"/>
      <c r="R102" s="1"/>
      <c r="S102" s="1" t="str">
        <f t="shared" si="5"/>
        <v>Living</v>
      </c>
    </row>
    <row r="103" spans="1:26" ht="15.75" hidden="1" customHeight="1" x14ac:dyDescent="0.2">
      <c r="A103" s="1" t="str">
        <f t="shared" si="0"/>
        <v>P102</v>
      </c>
      <c r="B103" s="1" t="s">
        <v>27</v>
      </c>
      <c r="C103" s="1" t="s">
        <v>102</v>
      </c>
      <c r="D103" s="1" t="s">
        <v>27</v>
      </c>
      <c r="E103" s="1" t="s">
        <v>102</v>
      </c>
      <c r="F103" s="1" t="s">
        <v>186</v>
      </c>
      <c r="G103" s="1" t="s">
        <v>35</v>
      </c>
      <c r="H103" s="1"/>
      <c r="I103" s="1"/>
      <c r="J103" s="1"/>
      <c r="K103" s="1">
        <f>IF(F103="",1,IFERROR(VLOOKUP(F103,A:K,11,FALSE)+1,1))</f>
        <v>8</v>
      </c>
      <c r="L103" s="1" t="str">
        <f>IF(F103="","الأصل",IF(VLOOKUP(F103,A:L,12,FALSE)="الأصل","الفرع "&amp;K103-1,VLOOKUP(F103,A:L,12,FALSE)))</f>
        <v>الابراهيم</v>
      </c>
      <c r="M103" s="1" t="str">
        <f t="shared" si="1"/>
        <v>ابراهيم بن ناصر بن ابراهيم ناصر</v>
      </c>
      <c r="N103" s="1" t="str">
        <f t="shared" si="2"/>
        <v>ابراهيم bin ناصر bin ابراهيم Al-ناصر</v>
      </c>
      <c r="O103" s="1" t="str">
        <f t="shared" ca="1" si="3"/>
        <v/>
      </c>
      <c r="P103" s="1">
        <f t="shared" si="4"/>
        <v>0</v>
      </c>
      <c r="Q103" s="1"/>
      <c r="R103" s="1"/>
      <c r="S103" s="1" t="str">
        <f t="shared" si="5"/>
        <v>Living</v>
      </c>
    </row>
    <row r="104" spans="1:26" ht="15.75" hidden="1" customHeight="1" x14ac:dyDescent="0.2">
      <c r="A104" s="1" t="str">
        <f t="shared" si="0"/>
        <v>P103</v>
      </c>
      <c r="B104" s="1" t="s">
        <v>187</v>
      </c>
      <c r="C104" s="1" t="s">
        <v>108</v>
      </c>
      <c r="D104" s="1" t="s">
        <v>27</v>
      </c>
      <c r="E104" s="1" t="s">
        <v>102</v>
      </c>
      <c r="F104" s="1" t="s">
        <v>188</v>
      </c>
      <c r="G104" s="1" t="s">
        <v>132</v>
      </c>
      <c r="H104" s="1"/>
      <c r="I104" s="1"/>
      <c r="J104" s="1"/>
      <c r="K104" s="1">
        <f>IF(F104="",1,IFERROR(VLOOKUP(F104,A:K,11,FALSE)+1,1))</f>
        <v>8</v>
      </c>
      <c r="L104" s="1" t="str">
        <f>IF(F104="","الأصل",IF(VLOOKUP(F104,A:L,12,FALSE)="الأصل","الفرع "&amp;K104-1,VLOOKUP(F104,A:L,12,FALSE)))</f>
        <v>الابراهيم</v>
      </c>
      <c r="M104" s="1" t="str">
        <f t="shared" si="1"/>
        <v>لمى بن عبدالعزيز بن ابراهيم ناصر</v>
      </c>
      <c r="N104" s="1" t="str">
        <f t="shared" si="2"/>
        <v>لمى bin عبدالعزيز bin ابراهيم Al-ناصر</v>
      </c>
      <c r="O104" s="1" t="str">
        <f t="shared" ca="1" si="3"/>
        <v/>
      </c>
      <c r="P104" s="1">
        <f t="shared" si="4"/>
        <v>0</v>
      </c>
      <c r="Q104" s="1"/>
      <c r="R104" s="1"/>
      <c r="S104" s="1" t="str">
        <f t="shared" si="5"/>
        <v>Living</v>
      </c>
    </row>
    <row r="105" spans="1:26" ht="15.75" hidden="1" customHeight="1" x14ac:dyDescent="0.2">
      <c r="A105" s="1" t="str">
        <f t="shared" si="0"/>
        <v>P104</v>
      </c>
      <c r="B105" s="1" t="s">
        <v>27</v>
      </c>
      <c r="C105" s="1" t="s">
        <v>108</v>
      </c>
      <c r="D105" s="1" t="s">
        <v>27</v>
      </c>
      <c r="E105" s="1" t="s">
        <v>102</v>
      </c>
      <c r="F105" s="1" t="s">
        <v>188</v>
      </c>
      <c r="G105" s="1" t="s">
        <v>35</v>
      </c>
      <c r="H105" s="1"/>
      <c r="I105" s="1"/>
      <c r="J105" s="1"/>
      <c r="K105" s="1">
        <f>IF(F105="",1,IFERROR(VLOOKUP(F105,A:K,11,FALSE)+1,1))</f>
        <v>8</v>
      </c>
      <c r="L105" s="1" t="str">
        <f>IF(F105="","الأصل",IF(VLOOKUP(F105,A:L,12,FALSE)="الأصل","الفرع "&amp;K105-1,VLOOKUP(F105,A:L,12,FALSE)))</f>
        <v>الابراهيم</v>
      </c>
      <c r="M105" s="1" t="str">
        <f t="shared" si="1"/>
        <v>ابراهيم بن عبدالعزيز بن ابراهيم ناصر</v>
      </c>
      <c r="N105" s="1" t="str">
        <f t="shared" si="2"/>
        <v>ابراهيم bin عبدالعزيز bin ابراهيم Al-ناصر</v>
      </c>
      <c r="O105" s="1" t="str">
        <f t="shared" ca="1" si="3"/>
        <v/>
      </c>
      <c r="P105" s="1">
        <f t="shared" si="4"/>
        <v>0</v>
      </c>
      <c r="Q105" s="1"/>
      <c r="R105" s="1"/>
      <c r="S105" s="1" t="str">
        <f t="shared" si="5"/>
        <v>Living</v>
      </c>
    </row>
    <row r="106" spans="1:26" ht="15.75" hidden="1" customHeight="1" x14ac:dyDescent="0.2">
      <c r="A106" s="1" t="str">
        <f t="shared" si="0"/>
        <v>P105</v>
      </c>
      <c r="B106" s="1" t="s">
        <v>174</v>
      </c>
      <c r="C106" s="1" t="s">
        <v>108</v>
      </c>
      <c r="D106" s="1" t="s">
        <v>27</v>
      </c>
      <c r="E106" s="1" t="s">
        <v>102</v>
      </c>
      <c r="F106" s="1" t="s">
        <v>188</v>
      </c>
      <c r="G106" s="1" t="s">
        <v>132</v>
      </c>
      <c r="H106" s="1"/>
      <c r="I106" s="1"/>
      <c r="J106" s="1"/>
      <c r="K106" s="1">
        <f>IF(F106="",1,IFERROR(VLOOKUP(F106,A:K,11,FALSE)+1,1))</f>
        <v>8</v>
      </c>
      <c r="L106" s="1" t="str">
        <f>IF(F106="","الأصل",IF(VLOOKUP(F106,A:L,12,FALSE)="الأصل","الفرع "&amp;K106-1,VLOOKUP(F106,A:L,12,FALSE)))</f>
        <v>الابراهيم</v>
      </c>
      <c r="M106" s="1" t="str">
        <f t="shared" si="1"/>
        <v>ديمة بن عبدالعزيز بن ابراهيم ناصر</v>
      </c>
      <c r="N106" s="1" t="str">
        <f t="shared" si="2"/>
        <v>ديمة bin عبدالعزيز bin ابراهيم Al-ناصر</v>
      </c>
      <c r="O106" s="1" t="str">
        <f t="shared" ca="1" si="3"/>
        <v/>
      </c>
      <c r="P106" s="1">
        <f t="shared" si="4"/>
        <v>0</v>
      </c>
      <c r="Q106" s="1"/>
      <c r="R106" s="1"/>
      <c r="S106" s="1" t="str">
        <f t="shared" si="5"/>
        <v>Living</v>
      </c>
    </row>
    <row r="107" spans="1:26" ht="15.75" hidden="1" customHeight="1" x14ac:dyDescent="0.2">
      <c r="A107" s="1" t="str">
        <f t="shared" si="0"/>
        <v>P106</v>
      </c>
      <c r="B107" s="1" t="s">
        <v>119</v>
      </c>
      <c r="C107" s="1" t="s">
        <v>112</v>
      </c>
      <c r="D107" s="1" t="s">
        <v>100</v>
      </c>
      <c r="E107" s="1" t="s">
        <v>102</v>
      </c>
      <c r="F107" s="1" t="s">
        <v>189</v>
      </c>
      <c r="G107" s="1" t="s">
        <v>35</v>
      </c>
      <c r="H107" s="1"/>
      <c r="I107" s="1"/>
      <c r="J107" s="1"/>
      <c r="K107" s="1">
        <f>IF(F107="",1,IFERROR(VLOOKUP(F107,A:K,11,FALSE)+1,1))</f>
        <v>8</v>
      </c>
      <c r="L107" s="1" t="str">
        <f>IF(F107="","الأصل",IF(VLOOKUP(F107,A:L,12,FALSE)="الأصل","الفرع "&amp;K107-1,VLOOKUP(F107,A:L,12,FALSE)))</f>
        <v>الابراهيم</v>
      </c>
      <c r="M107" s="1" t="str">
        <f t="shared" si="1"/>
        <v>عبدالله بن خالد بن محمد ناصر</v>
      </c>
      <c r="N107" s="1" t="str">
        <f t="shared" si="2"/>
        <v>عبدالله bin خالد bin محمد Al-ناصر</v>
      </c>
      <c r="O107" s="1" t="str">
        <f t="shared" ca="1" si="3"/>
        <v/>
      </c>
      <c r="P107" s="1">
        <f t="shared" si="4"/>
        <v>0</v>
      </c>
      <c r="Q107" s="1"/>
      <c r="R107" s="1"/>
      <c r="S107" s="1" t="str">
        <f t="shared" si="5"/>
        <v>Living</v>
      </c>
    </row>
    <row r="108" spans="1:26" ht="15.75" hidden="1" customHeight="1" x14ac:dyDescent="0.2">
      <c r="A108" s="1" t="str">
        <f t="shared" si="0"/>
        <v>P107</v>
      </c>
      <c r="B108" s="21" t="s">
        <v>190</v>
      </c>
      <c r="C108" s="1" t="s">
        <v>112</v>
      </c>
      <c r="D108" s="1" t="s">
        <v>100</v>
      </c>
      <c r="E108" s="1" t="s">
        <v>102</v>
      </c>
      <c r="F108" s="1" t="s">
        <v>189</v>
      </c>
      <c r="G108" s="1" t="s">
        <v>132</v>
      </c>
      <c r="H108" s="1"/>
      <c r="I108" s="1"/>
      <c r="J108" s="1"/>
      <c r="K108" s="1">
        <f>IF(F108="",1,IFERROR(VLOOKUP(F108,A:K,11,FALSE)+1,1))</f>
        <v>8</v>
      </c>
      <c r="L108" s="1" t="str">
        <f>IF(F108="","الأصل",IF(VLOOKUP(F108,A:L,12,FALSE)="الأصل","الفرع "&amp;K108-1,VLOOKUP(F108,A:L,12,FALSE)))</f>
        <v>الابراهيم</v>
      </c>
      <c r="M108" s="1" t="str">
        <f t="shared" si="1"/>
        <v>الجوهرة بن خالد بن محمد ناصر</v>
      </c>
      <c r="N108" s="1" t="str">
        <f t="shared" si="2"/>
        <v>الجوهرة bin خالد bin محمد Al-ناصر</v>
      </c>
      <c r="O108" s="1" t="str">
        <f t="shared" ca="1" si="3"/>
        <v/>
      </c>
      <c r="P108" s="1">
        <f t="shared" si="4"/>
        <v>0</v>
      </c>
      <c r="Q108" s="1"/>
      <c r="R108" s="1"/>
      <c r="S108" s="1" t="str">
        <f t="shared" si="5"/>
        <v>Living</v>
      </c>
    </row>
    <row r="109" spans="1:26" ht="15.75" hidden="1" customHeight="1" x14ac:dyDescent="0.2">
      <c r="A109" s="1" t="str">
        <f t="shared" si="0"/>
        <v>P108</v>
      </c>
      <c r="B109" s="1" t="s">
        <v>100</v>
      </c>
      <c r="C109" s="1" t="s">
        <v>112</v>
      </c>
      <c r="D109" s="1" t="s">
        <v>100</v>
      </c>
      <c r="E109" s="1" t="s">
        <v>102</v>
      </c>
      <c r="F109" s="1" t="s">
        <v>189</v>
      </c>
      <c r="G109" s="1" t="s">
        <v>35</v>
      </c>
      <c r="H109" s="1"/>
      <c r="I109" s="1"/>
      <c r="J109" s="1"/>
      <c r="K109" s="1">
        <f>IF(F109="",1,IFERROR(VLOOKUP(F109,A:K,11,FALSE)+1,1))</f>
        <v>8</v>
      </c>
      <c r="L109" s="1" t="str">
        <f>IF(F109="","الأصل",IF(VLOOKUP(F109,A:L,12,FALSE)="الأصل","الفرع "&amp;K109-1,VLOOKUP(F109,A:L,12,FALSE)))</f>
        <v>الابراهيم</v>
      </c>
      <c r="M109" s="1" t="str">
        <f t="shared" si="1"/>
        <v>محمد بن خالد بن محمد ناصر</v>
      </c>
      <c r="N109" s="1" t="str">
        <f t="shared" si="2"/>
        <v>محمد bin خالد bin محمد Al-ناصر</v>
      </c>
      <c r="O109" s="1" t="str">
        <f t="shared" ca="1" si="3"/>
        <v/>
      </c>
      <c r="P109" s="1">
        <f t="shared" si="4"/>
        <v>0</v>
      </c>
      <c r="Q109" s="1"/>
      <c r="R109" s="1"/>
      <c r="S109" s="1" t="str">
        <f t="shared" si="5"/>
        <v>Living</v>
      </c>
    </row>
    <row r="110" spans="1:26" ht="15.75" hidden="1" customHeight="1" x14ac:dyDescent="0.2">
      <c r="A110" s="1" t="str">
        <f t="shared" si="0"/>
        <v>P109</v>
      </c>
      <c r="B110" s="1" t="s">
        <v>110</v>
      </c>
      <c r="C110" s="1" t="s">
        <v>102</v>
      </c>
      <c r="D110" s="1" t="s">
        <v>110</v>
      </c>
      <c r="E110" s="1" t="s">
        <v>102</v>
      </c>
      <c r="F110" s="1" t="s">
        <v>191</v>
      </c>
      <c r="G110" s="1" t="s">
        <v>35</v>
      </c>
      <c r="H110" s="1"/>
      <c r="I110" s="1"/>
      <c r="J110" s="1"/>
      <c r="K110" s="1">
        <f>IF(F110="",1,IFERROR(VLOOKUP(F110,A:K,11,FALSE)+1,1))</f>
        <v>8</v>
      </c>
      <c r="L110" s="1" t="str">
        <f>IF(F110="","الأصل",IF(VLOOKUP(F110,A:L,12,FALSE)="الأصل","الفرع "&amp;K110-1,VLOOKUP(F110,A:L,12,FALSE)))</f>
        <v>الابراهيم</v>
      </c>
      <c r="M110" s="1" t="str">
        <f t="shared" si="1"/>
        <v>سعد بن ناصر بن سعد ناصر</v>
      </c>
      <c r="N110" s="1" t="str">
        <f t="shared" si="2"/>
        <v>سعد bin ناصر bin سعد Al-ناصر</v>
      </c>
      <c r="O110" s="1" t="str">
        <f t="shared" ca="1" si="3"/>
        <v/>
      </c>
      <c r="P110" s="1">
        <f t="shared" si="4"/>
        <v>0</v>
      </c>
      <c r="Q110" s="1"/>
      <c r="R110" s="1"/>
      <c r="S110" s="1" t="str">
        <f t="shared" si="5"/>
        <v>Living</v>
      </c>
    </row>
    <row r="111" spans="1:26" ht="15.75" hidden="1" customHeight="1" x14ac:dyDescent="0.2">
      <c r="A111" s="22" t="str">
        <f t="shared" si="0"/>
        <v>P110</v>
      </c>
      <c r="B111" s="22" t="s">
        <v>192</v>
      </c>
      <c r="C111" s="22" t="s">
        <v>102</v>
      </c>
      <c r="D111" s="22" t="s">
        <v>110</v>
      </c>
      <c r="E111" s="22" t="s">
        <v>102</v>
      </c>
      <c r="F111" s="22" t="s">
        <v>191</v>
      </c>
      <c r="G111" s="1" t="s">
        <v>35</v>
      </c>
      <c r="H111" s="22"/>
      <c r="I111" s="22"/>
      <c r="J111" s="22"/>
      <c r="K111" s="22">
        <f>IF(F111="",1,IFERROR(VLOOKUP(F111,A:K,11,FALSE)+1,1))</f>
        <v>8</v>
      </c>
      <c r="L111" s="22" t="str">
        <f>IF(F111="","الأصل",IF(VLOOKUP(F111,A:L,12,FALSE)="الأصل","الفرع "&amp;K111-1,VLOOKUP(F111,A:L,12,FALSE)))</f>
        <v>الابراهيم</v>
      </c>
      <c r="M111" s="22" t="str">
        <f t="shared" si="1"/>
        <v>سلطان بن ناصر بن سعد ناصر</v>
      </c>
      <c r="N111" s="22" t="str">
        <f t="shared" si="2"/>
        <v>سلطان bin ناصر bin سعد Al-ناصر</v>
      </c>
      <c r="O111" s="22" t="str">
        <f t="shared" ca="1" si="3"/>
        <v/>
      </c>
      <c r="P111" s="22">
        <f t="shared" si="4"/>
        <v>0</v>
      </c>
      <c r="Q111" s="22"/>
      <c r="R111" s="22"/>
      <c r="S111" s="22" t="str">
        <f t="shared" si="5"/>
        <v>Living</v>
      </c>
      <c r="T111" s="22"/>
      <c r="U111" s="22"/>
      <c r="V111" s="22"/>
      <c r="W111" s="22"/>
      <c r="X111" s="22"/>
      <c r="Y111" s="22"/>
      <c r="Z111" s="22"/>
    </row>
    <row r="112" spans="1:26" ht="15.75" hidden="1" customHeight="1" x14ac:dyDescent="0.2">
      <c r="A112" s="1" t="str">
        <f t="shared" si="0"/>
        <v>P111</v>
      </c>
      <c r="B112" s="1" t="s">
        <v>193</v>
      </c>
      <c r="C112" s="1" t="s">
        <v>102</v>
      </c>
      <c r="D112" s="1" t="s">
        <v>112</v>
      </c>
      <c r="E112" s="1" t="s">
        <v>102</v>
      </c>
      <c r="F112" s="1" t="s">
        <v>194</v>
      </c>
      <c r="G112" s="1" t="s">
        <v>132</v>
      </c>
      <c r="H112" s="1"/>
      <c r="I112" s="1"/>
      <c r="J112" s="1"/>
      <c r="K112" s="1">
        <f>IF(F112="",1,IFERROR(VLOOKUP(F112,A:K,11,FALSE)+1,1))</f>
        <v>8</v>
      </c>
      <c r="L112" s="1" t="str">
        <f>IF(F112="","الأصل",IF(VLOOKUP(F112,A:L,12,FALSE)="الأصل","الفرع "&amp;K112-1,VLOOKUP(F112,A:L,12,FALSE)))</f>
        <v>الابراهيم</v>
      </c>
      <c r="M112" s="1" t="str">
        <f t="shared" si="1"/>
        <v>ديم بن ناصر بن خالد ناصر</v>
      </c>
      <c r="N112" s="1" t="str">
        <f t="shared" si="2"/>
        <v>ديم bin ناصر bin خالد Al-ناصر</v>
      </c>
      <c r="O112" s="1" t="str">
        <f t="shared" ca="1" si="3"/>
        <v/>
      </c>
      <c r="P112" s="1">
        <f t="shared" si="4"/>
        <v>0</v>
      </c>
      <c r="Q112" s="1"/>
      <c r="R112" s="1"/>
      <c r="S112" s="1" t="str">
        <f t="shared" si="5"/>
        <v>Living</v>
      </c>
    </row>
    <row r="113" spans="1:19" ht="15.75" hidden="1" customHeight="1" x14ac:dyDescent="0.2">
      <c r="A113" s="1" t="str">
        <f t="shared" si="0"/>
        <v>P112</v>
      </c>
      <c r="B113" s="1" t="s">
        <v>27</v>
      </c>
      <c r="C113" s="1" t="s">
        <v>96</v>
      </c>
      <c r="D113" s="1" t="s">
        <v>27</v>
      </c>
      <c r="E113" s="1" t="s">
        <v>102</v>
      </c>
      <c r="F113" s="1" t="s">
        <v>195</v>
      </c>
      <c r="G113" s="1" t="s">
        <v>35</v>
      </c>
      <c r="H113" s="1"/>
      <c r="I113" s="1"/>
      <c r="J113" s="1"/>
      <c r="K113" s="1">
        <f>IF(F113="",1,IFERROR(VLOOKUP(F113,A:K,11,FALSE)+1,1))</f>
        <v>6</v>
      </c>
      <c r="L113" s="1" t="str">
        <f>IF(F113="","الأصل",IF(VLOOKUP(F113,A:L,12,FALSE)="الأصل","الفرع "&amp;K113-1,VLOOKUP(F113,A:L,12,FALSE)))</f>
        <v>الابراهيم</v>
      </c>
      <c r="M113" s="1" t="str">
        <f t="shared" si="1"/>
        <v>ابراهيم بن عبدالكريم بن ابراهيم ناصر</v>
      </c>
      <c r="N113" s="1" t="str">
        <f t="shared" si="2"/>
        <v>ابراهيم bin عبدالكريم bin ابراهيم Al-ناصر</v>
      </c>
      <c r="O113" s="1" t="str">
        <f t="shared" ca="1" si="3"/>
        <v/>
      </c>
      <c r="P113" s="1">
        <f t="shared" si="4"/>
        <v>0</v>
      </c>
      <c r="Q113" s="1"/>
      <c r="R113" s="1"/>
      <c r="S113" s="1" t="str">
        <f t="shared" si="5"/>
        <v>Living</v>
      </c>
    </row>
    <row r="114" spans="1:19" ht="15.75" hidden="1" customHeight="1" x14ac:dyDescent="0.2">
      <c r="A114" s="1" t="str">
        <f t="shared" si="0"/>
        <v>P113</v>
      </c>
      <c r="B114" s="1" t="s">
        <v>112</v>
      </c>
      <c r="C114" s="1" t="s">
        <v>96</v>
      </c>
      <c r="D114" s="1" t="s">
        <v>27</v>
      </c>
      <c r="E114" s="1" t="s">
        <v>102</v>
      </c>
      <c r="F114" s="1" t="s">
        <v>195</v>
      </c>
      <c r="G114" s="1" t="s">
        <v>35</v>
      </c>
      <c r="H114" s="1"/>
      <c r="I114" s="1"/>
      <c r="J114" s="1"/>
      <c r="K114" s="1">
        <f>IF(F114="",1,IFERROR(VLOOKUP(F114,A:K,11,FALSE)+1,1))</f>
        <v>6</v>
      </c>
      <c r="L114" s="1" t="str">
        <f>IF(F114="","الأصل",IF(VLOOKUP(F114,A:L,12,FALSE)="الأصل","الفرع "&amp;K114-1,VLOOKUP(F114,A:L,12,FALSE)))</f>
        <v>الابراهيم</v>
      </c>
      <c r="M114" s="1" t="str">
        <f t="shared" si="1"/>
        <v>خالد بن عبدالكريم بن ابراهيم ناصر</v>
      </c>
      <c r="N114" s="1" t="str">
        <f t="shared" si="2"/>
        <v>خالد bin عبدالكريم bin ابراهيم Al-ناصر</v>
      </c>
      <c r="O114" s="1" t="str">
        <f t="shared" ca="1" si="3"/>
        <v/>
      </c>
      <c r="P114" s="1">
        <f t="shared" si="4"/>
        <v>0</v>
      </c>
      <c r="Q114" s="1"/>
      <c r="R114" s="1"/>
      <c r="S114" s="1" t="str">
        <f t="shared" si="5"/>
        <v>Living</v>
      </c>
    </row>
    <row r="115" spans="1:19" ht="15.75" hidden="1" customHeight="1" x14ac:dyDescent="0.2">
      <c r="A115" s="1" t="str">
        <f t="shared" si="0"/>
        <v>P114</v>
      </c>
      <c r="B115" s="1" t="s">
        <v>100</v>
      </c>
      <c r="C115" s="1" t="s">
        <v>96</v>
      </c>
      <c r="D115" s="1" t="s">
        <v>27</v>
      </c>
      <c r="E115" s="1" t="s">
        <v>102</v>
      </c>
      <c r="F115" s="1" t="s">
        <v>195</v>
      </c>
      <c r="G115" s="1" t="s">
        <v>35</v>
      </c>
      <c r="H115" s="1"/>
      <c r="I115" s="1"/>
      <c r="J115" s="1"/>
      <c r="K115" s="1">
        <f>IF(F115="",1,IFERROR(VLOOKUP(F115,A:K,11,FALSE)+1,1))</f>
        <v>6</v>
      </c>
      <c r="L115" s="1" t="str">
        <f>IF(F115="","الأصل",IF(VLOOKUP(F115,A:L,12,FALSE)="الأصل","الفرع "&amp;K115-1,VLOOKUP(F115,A:L,12,FALSE)))</f>
        <v>الابراهيم</v>
      </c>
      <c r="M115" s="1" t="str">
        <f t="shared" si="1"/>
        <v>محمد بن عبدالكريم بن ابراهيم ناصر</v>
      </c>
      <c r="N115" s="1" t="str">
        <f t="shared" si="2"/>
        <v>محمد bin عبدالكريم bin ابراهيم Al-ناصر</v>
      </c>
      <c r="O115" s="1" t="str">
        <f t="shared" ca="1" si="3"/>
        <v/>
      </c>
      <c r="P115" s="1">
        <f t="shared" si="4"/>
        <v>0</v>
      </c>
      <c r="Q115" s="1"/>
      <c r="R115" s="1"/>
      <c r="S115" s="1" t="str">
        <f t="shared" si="5"/>
        <v>Living</v>
      </c>
    </row>
    <row r="116" spans="1:19" ht="15.75" hidden="1" customHeight="1" x14ac:dyDescent="0.2">
      <c r="A116" s="1" t="str">
        <f t="shared" si="0"/>
        <v>P115</v>
      </c>
      <c r="B116" s="1" t="s">
        <v>105</v>
      </c>
      <c r="C116" s="1" t="s">
        <v>96</v>
      </c>
      <c r="D116" s="1" t="s">
        <v>27</v>
      </c>
      <c r="E116" s="1" t="s">
        <v>102</v>
      </c>
      <c r="F116" s="1" t="s">
        <v>195</v>
      </c>
      <c r="G116" s="1" t="s">
        <v>35</v>
      </c>
      <c r="H116" s="1"/>
      <c r="I116" s="1"/>
      <c r="J116" s="1"/>
      <c r="K116" s="1">
        <f>IF(F116="",1,IFERROR(VLOOKUP(F116,A:K,11,FALSE)+1,1))</f>
        <v>6</v>
      </c>
      <c r="L116" s="1" t="str">
        <f>IF(F116="","الأصل",IF(VLOOKUP(F116,A:L,12,FALSE)="الأصل","الفرع "&amp;K116-1,VLOOKUP(F116,A:L,12,FALSE)))</f>
        <v>الابراهيم</v>
      </c>
      <c r="M116" s="1" t="str">
        <f t="shared" si="1"/>
        <v>عبدالرحمن بن عبدالكريم بن ابراهيم ناصر</v>
      </c>
      <c r="N116" s="1" t="str">
        <f t="shared" si="2"/>
        <v>عبدالرحمن bin عبدالكريم bin ابراهيم Al-ناصر</v>
      </c>
      <c r="O116" s="1" t="str">
        <f t="shared" ca="1" si="3"/>
        <v/>
      </c>
      <c r="P116" s="1">
        <f t="shared" si="4"/>
        <v>0</v>
      </c>
      <c r="Q116" s="1"/>
      <c r="R116" s="1"/>
      <c r="S116" s="1" t="str">
        <f t="shared" si="5"/>
        <v>Living</v>
      </c>
    </row>
    <row r="117" spans="1:19" ht="15.75" hidden="1" customHeight="1" x14ac:dyDescent="0.2">
      <c r="A117" s="1" t="str">
        <f t="shared" si="0"/>
        <v>P116</v>
      </c>
      <c r="B117" s="1" t="s">
        <v>119</v>
      </c>
      <c r="C117" s="1" t="s">
        <v>96</v>
      </c>
      <c r="D117" s="1" t="s">
        <v>27</v>
      </c>
      <c r="E117" s="1" t="s">
        <v>102</v>
      </c>
      <c r="F117" s="1" t="s">
        <v>195</v>
      </c>
      <c r="G117" s="1" t="s">
        <v>35</v>
      </c>
      <c r="H117" s="1"/>
      <c r="I117" s="1"/>
      <c r="J117" s="1"/>
      <c r="K117" s="1">
        <f>IF(F117="",1,IFERROR(VLOOKUP(F117,A:K,11,FALSE)+1,1))</f>
        <v>6</v>
      </c>
      <c r="L117" s="1" t="str">
        <f>IF(F117="","الأصل",IF(VLOOKUP(F117,A:L,12,FALSE)="الأصل","الفرع "&amp;K117-1,VLOOKUP(F117,A:L,12,FALSE)))</f>
        <v>الابراهيم</v>
      </c>
      <c r="M117" s="1" t="str">
        <f t="shared" si="1"/>
        <v>عبدالله بن عبدالكريم بن ابراهيم ناصر</v>
      </c>
      <c r="N117" s="1" t="str">
        <f t="shared" si="2"/>
        <v>عبدالله bin عبدالكريم bin ابراهيم Al-ناصر</v>
      </c>
      <c r="O117" s="1" t="str">
        <f t="shared" ca="1" si="3"/>
        <v/>
      </c>
      <c r="P117" s="1">
        <f t="shared" si="4"/>
        <v>0</v>
      </c>
      <c r="Q117" s="1"/>
      <c r="R117" s="1"/>
      <c r="S117" s="1" t="str">
        <f t="shared" si="5"/>
        <v>Living</v>
      </c>
    </row>
    <row r="118" spans="1:19" ht="15.75" hidden="1" customHeight="1" x14ac:dyDescent="0.2">
      <c r="A118" s="1" t="str">
        <f t="shared" si="0"/>
        <v>P117</v>
      </c>
      <c r="B118" s="1" t="s">
        <v>108</v>
      </c>
      <c r="C118" s="1" t="s">
        <v>96</v>
      </c>
      <c r="D118" s="1" t="s">
        <v>27</v>
      </c>
      <c r="E118" s="1" t="s">
        <v>102</v>
      </c>
      <c r="F118" s="1" t="s">
        <v>195</v>
      </c>
      <c r="G118" s="1" t="s">
        <v>35</v>
      </c>
      <c r="H118" s="1"/>
      <c r="I118" s="1"/>
      <c r="J118" s="1"/>
      <c r="K118" s="1">
        <f>IF(F118="",1,IFERROR(VLOOKUP(F118,A:K,11,FALSE)+1,1))</f>
        <v>6</v>
      </c>
      <c r="L118" s="1" t="str">
        <f>IF(F118="","الأصل",IF(VLOOKUP(F118,A:L,12,FALSE)="الأصل","الفرع "&amp;K118-1,VLOOKUP(F118,A:L,12,FALSE)))</f>
        <v>الابراهيم</v>
      </c>
      <c r="M118" s="1" t="str">
        <f t="shared" si="1"/>
        <v>عبدالعزيز بن عبدالكريم بن ابراهيم ناصر</v>
      </c>
      <c r="N118" s="1" t="str">
        <f t="shared" si="2"/>
        <v>عبدالعزيز bin عبدالكريم bin ابراهيم Al-ناصر</v>
      </c>
      <c r="O118" s="1" t="str">
        <f t="shared" ca="1" si="3"/>
        <v/>
      </c>
      <c r="P118" s="1">
        <f t="shared" si="4"/>
        <v>0</v>
      </c>
      <c r="Q118" s="1"/>
      <c r="R118" s="1"/>
      <c r="S118" s="1" t="str">
        <f t="shared" si="5"/>
        <v>Living</v>
      </c>
    </row>
    <row r="119" spans="1:19" ht="15.75" hidden="1" customHeight="1" x14ac:dyDescent="0.2">
      <c r="A119" s="1" t="str">
        <f t="shared" si="0"/>
        <v>P118</v>
      </c>
      <c r="B119" s="1" t="s">
        <v>112</v>
      </c>
      <c r="C119" s="1" t="s">
        <v>27</v>
      </c>
      <c r="D119" s="1" t="s">
        <v>96</v>
      </c>
      <c r="E119" s="1" t="s">
        <v>27</v>
      </c>
      <c r="F119" s="1" t="s">
        <v>196</v>
      </c>
      <c r="G119" s="1" t="s">
        <v>35</v>
      </c>
      <c r="H119" s="1"/>
      <c r="I119" s="1"/>
      <c r="J119" s="1"/>
      <c r="K119" s="1">
        <f>IF(F119="",1,IFERROR(VLOOKUP(F119,A:K,11,FALSE)+1,1))</f>
        <v>7</v>
      </c>
      <c r="L119" s="1" t="str">
        <f>IF(F119="","الأصل",IF(VLOOKUP(F119,A:L,12,FALSE)="الأصل","الفرع "&amp;K119-1,VLOOKUP(F119,A:L,12,FALSE)))</f>
        <v>الابراهيم</v>
      </c>
      <c r="M119" s="1" t="str">
        <f t="shared" si="1"/>
        <v>خالد بن ابراهيم بن عبدالكريم ابراهيم</v>
      </c>
      <c r="N119" s="1" t="str">
        <f t="shared" si="2"/>
        <v>خالد bin ابراهيم bin عبدالكريم Al-ابراهيم</v>
      </c>
      <c r="O119" s="1" t="str">
        <f t="shared" ca="1" si="3"/>
        <v/>
      </c>
      <c r="P119" s="1">
        <f t="shared" si="4"/>
        <v>0</v>
      </c>
      <c r="Q119" s="1"/>
      <c r="R119" s="1"/>
      <c r="S119" s="1" t="str">
        <f t="shared" si="5"/>
        <v>Living</v>
      </c>
    </row>
    <row r="120" spans="1:19" ht="15.75" hidden="1" customHeight="1" x14ac:dyDescent="0.2">
      <c r="A120" s="1" t="str">
        <f t="shared" si="0"/>
        <v>P119</v>
      </c>
      <c r="B120" s="1" t="s">
        <v>197</v>
      </c>
      <c r="C120" s="1" t="s">
        <v>27</v>
      </c>
      <c r="D120" s="1" t="s">
        <v>96</v>
      </c>
      <c r="E120" s="1" t="s">
        <v>27</v>
      </c>
      <c r="F120" s="1" t="s">
        <v>196</v>
      </c>
      <c r="G120" s="1" t="s">
        <v>35</v>
      </c>
      <c r="H120" s="1"/>
      <c r="I120" s="1"/>
      <c r="J120" s="1"/>
      <c r="K120" s="1">
        <f>IF(F120="",1,IFERROR(VLOOKUP(F120,A:K,11,FALSE)+1,1))</f>
        <v>7</v>
      </c>
      <c r="L120" s="1" t="str">
        <f>IF(F120="","الأصل",IF(VLOOKUP(F120,A:L,12,FALSE)="الأصل","الفرع "&amp;K120-1,VLOOKUP(F120,A:L,12,FALSE)))</f>
        <v>الابراهيم</v>
      </c>
      <c r="M120" s="1" t="str">
        <f t="shared" si="1"/>
        <v>عبدالملك بن ابراهيم بن عبدالكريم ابراهيم</v>
      </c>
      <c r="N120" s="1" t="str">
        <f t="shared" si="2"/>
        <v>عبدالملك bin ابراهيم bin عبدالكريم Al-ابراهيم</v>
      </c>
      <c r="O120" s="1" t="str">
        <f t="shared" ca="1" si="3"/>
        <v/>
      </c>
      <c r="P120" s="1">
        <f t="shared" si="4"/>
        <v>0</v>
      </c>
      <c r="Q120" s="1"/>
      <c r="R120" s="1"/>
      <c r="S120" s="1" t="str">
        <f t="shared" si="5"/>
        <v>Living</v>
      </c>
    </row>
    <row r="121" spans="1:19" ht="15.75" hidden="1" customHeight="1" x14ac:dyDescent="0.2">
      <c r="A121" s="1" t="str">
        <f t="shared" si="0"/>
        <v>P120</v>
      </c>
      <c r="B121" s="1" t="s">
        <v>96</v>
      </c>
      <c r="C121" s="1" t="s">
        <v>27</v>
      </c>
      <c r="D121" s="1" t="s">
        <v>96</v>
      </c>
      <c r="E121" s="1" t="s">
        <v>27</v>
      </c>
      <c r="F121" s="1" t="s">
        <v>196</v>
      </c>
      <c r="G121" s="1" t="s">
        <v>35</v>
      </c>
      <c r="H121" s="1"/>
      <c r="I121" s="1"/>
      <c r="J121" s="1"/>
      <c r="K121" s="1">
        <f>IF(F121="",1,IFERROR(VLOOKUP(F121,A:K,11,FALSE)+1,1))</f>
        <v>7</v>
      </c>
      <c r="L121" s="1" t="str">
        <f>IF(F121="","الأصل",IF(VLOOKUP(F121,A:L,12,FALSE)="الأصل","الفرع "&amp;K121-1,VLOOKUP(F121,A:L,12,FALSE)))</f>
        <v>الابراهيم</v>
      </c>
      <c r="M121" s="1" t="str">
        <f t="shared" si="1"/>
        <v>عبدالكريم بن ابراهيم بن عبدالكريم ابراهيم</v>
      </c>
      <c r="N121" s="1" t="str">
        <f t="shared" si="2"/>
        <v>عبدالكريم bin ابراهيم bin عبدالكريم Al-ابراهيم</v>
      </c>
      <c r="O121" s="1" t="str">
        <f t="shared" ca="1" si="3"/>
        <v/>
      </c>
      <c r="P121" s="1">
        <f t="shared" si="4"/>
        <v>0</v>
      </c>
      <c r="Q121" s="1"/>
      <c r="R121" s="1"/>
      <c r="S121" s="1" t="str">
        <f t="shared" si="5"/>
        <v>Living</v>
      </c>
    </row>
    <row r="122" spans="1:19" ht="15.75" hidden="1" customHeight="1" x14ac:dyDescent="0.2">
      <c r="A122" s="1" t="str">
        <f t="shared" si="0"/>
        <v>P121</v>
      </c>
      <c r="B122" s="1" t="s">
        <v>198</v>
      </c>
      <c r="C122" s="1" t="s">
        <v>27</v>
      </c>
      <c r="D122" s="1" t="s">
        <v>96</v>
      </c>
      <c r="E122" s="1" t="s">
        <v>27</v>
      </c>
      <c r="F122" s="1" t="s">
        <v>196</v>
      </c>
      <c r="G122" s="1" t="s">
        <v>132</v>
      </c>
      <c r="H122" s="1"/>
      <c r="I122" s="1"/>
      <c r="J122" s="1"/>
      <c r="K122" s="1">
        <f>IF(F122="",1,IFERROR(VLOOKUP(F122,A:K,11,FALSE)+1,1))</f>
        <v>7</v>
      </c>
      <c r="L122" s="1" t="str">
        <f>IF(F122="","الأصل",IF(VLOOKUP(F122,A:L,12,FALSE)="الأصل","الفرع "&amp;K122-1,VLOOKUP(F122,A:L,12,FALSE)))</f>
        <v>الابراهيم</v>
      </c>
      <c r="M122" s="1" t="str">
        <f t="shared" si="1"/>
        <v>ليلى بن ابراهيم بن عبدالكريم ابراهيم</v>
      </c>
      <c r="N122" s="1" t="str">
        <f t="shared" si="2"/>
        <v>ليلى bin ابراهيم bin عبدالكريم Al-ابراهيم</v>
      </c>
      <c r="O122" s="1" t="str">
        <f t="shared" ca="1" si="3"/>
        <v/>
      </c>
      <c r="P122" s="1">
        <f t="shared" si="4"/>
        <v>0</v>
      </c>
      <c r="Q122" s="1"/>
      <c r="R122" s="1"/>
      <c r="S122" s="1" t="str">
        <f t="shared" si="5"/>
        <v>Living</v>
      </c>
    </row>
    <row r="123" spans="1:19" ht="15.75" hidden="1" customHeight="1" x14ac:dyDescent="0.2">
      <c r="A123" s="1" t="str">
        <f t="shared" si="0"/>
        <v>P122</v>
      </c>
      <c r="B123" s="1" t="s">
        <v>199</v>
      </c>
      <c r="C123" s="1" t="s">
        <v>27</v>
      </c>
      <c r="D123" s="1" t="s">
        <v>96</v>
      </c>
      <c r="E123" s="1" t="s">
        <v>27</v>
      </c>
      <c r="F123" s="1" t="s">
        <v>196</v>
      </c>
      <c r="G123" s="1" t="s">
        <v>132</v>
      </c>
      <c r="H123" s="1"/>
      <c r="I123" s="1"/>
      <c r="J123" s="1"/>
      <c r="K123" s="1">
        <f>IF(F123="",1,IFERROR(VLOOKUP(F123,A:K,11,FALSE)+1,1))</f>
        <v>7</v>
      </c>
      <c r="L123" s="1" t="str">
        <f>IF(F123="","الأصل",IF(VLOOKUP(F123,A:L,12,FALSE)="الأصل","الفرع "&amp;K123-1,VLOOKUP(F123,A:L,12,FALSE)))</f>
        <v>الابراهيم</v>
      </c>
      <c r="M123" s="1" t="str">
        <f t="shared" si="1"/>
        <v>منار بن ابراهيم بن عبدالكريم ابراهيم</v>
      </c>
      <c r="N123" s="1" t="str">
        <f t="shared" si="2"/>
        <v>منار bin ابراهيم bin عبدالكريم Al-ابراهيم</v>
      </c>
      <c r="O123" s="1" t="str">
        <f t="shared" ca="1" si="3"/>
        <v/>
      </c>
      <c r="P123" s="1">
        <f t="shared" si="4"/>
        <v>0</v>
      </c>
      <c r="Q123" s="1"/>
      <c r="R123" s="1"/>
      <c r="S123" s="1" t="str">
        <f t="shared" si="5"/>
        <v>Living</v>
      </c>
    </row>
    <row r="124" spans="1:19" ht="15.75" hidden="1" customHeight="1" x14ac:dyDescent="0.2">
      <c r="A124" s="1" t="str">
        <f t="shared" si="0"/>
        <v>P123</v>
      </c>
      <c r="B124" s="1" t="s">
        <v>153</v>
      </c>
      <c r="C124" s="1" t="s">
        <v>27</v>
      </c>
      <c r="D124" s="1" t="s">
        <v>96</v>
      </c>
      <c r="E124" s="1" t="s">
        <v>27</v>
      </c>
      <c r="F124" s="1" t="s">
        <v>196</v>
      </c>
      <c r="G124" s="1" t="s">
        <v>132</v>
      </c>
      <c r="H124" s="1"/>
      <c r="I124" s="1"/>
      <c r="J124" s="1"/>
      <c r="K124" s="1">
        <f>IF(F124="",1,IFERROR(VLOOKUP(F124,A:K,11,FALSE)+1,1))</f>
        <v>7</v>
      </c>
      <c r="L124" s="1" t="str">
        <f>IF(F124="","الأصل",IF(VLOOKUP(F124,A:L,12,FALSE)="الأصل","الفرع "&amp;K124-1,VLOOKUP(F124,A:L,12,FALSE)))</f>
        <v>الابراهيم</v>
      </c>
      <c r="M124" s="1" t="str">
        <f t="shared" si="1"/>
        <v>شهد بن ابراهيم بن عبدالكريم ابراهيم</v>
      </c>
      <c r="N124" s="1" t="str">
        <f t="shared" si="2"/>
        <v>شهد bin ابراهيم bin عبدالكريم Al-ابراهيم</v>
      </c>
      <c r="O124" s="1" t="str">
        <f t="shared" ca="1" si="3"/>
        <v/>
      </c>
      <c r="P124" s="1">
        <f t="shared" si="4"/>
        <v>0</v>
      </c>
      <c r="Q124" s="1"/>
      <c r="R124" s="1"/>
      <c r="S124" s="1" t="str">
        <f t="shared" si="5"/>
        <v>Living</v>
      </c>
    </row>
    <row r="125" spans="1:19" ht="15.75" hidden="1" customHeight="1" x14ac:dyDescent="0.2">
      <c r="A125" s="1" t="str">
        <f t="shared" si="0"/>
        <v>P124</v>
      </c>
      <c r="B125" s="1" t="s">
        <v>187</v>
      </c>
      <c r="C125" s="1" t="s">
        <v>27</v>
      </c>
      <c r="D125" s="1" t="s">
        <v>96</v>
      </c>
      <c r="E125" s="1" t="s">
        <v>27</v>
      </c>
      <c r="F125" s="1" t="s">
        <v>196</v>
      </c>
      <c r="G125" s="1" t="s">
        <v>132</v>
      </c>
      <c r="H125" s="1"/>
      <c r="I125" s="1"/>
      <c r="J125" s="1"/>
      <c r="K125" s="1">
        <f>IF(F125="",1,IFERROR(VLOOKUP(F125,A:K,11,FALSE)+1,1))</f>
        <v>7</v>
      </c>
      <c r="L125" s="1" t="str">
        <f>IF(F125="","الأصل",IF(VLOOKUP(F125,A:L,12,FALSE)="الأصل","الفرع "&amp;K125-1,VLOOKUP(F125,A:L,12,FALSE)))</f>
        <v>الابراهيم</v>
      </c>
      <c r="M125" s="1" t="str">
        <f t="shared" si="1"/>
        <v>لمى بن ابراهيم بن عبدالكريم ابراهيم</v>
      </c>
      <c r="N125" s="1" t="str">
        <f t="shared" si="2"/>
        <v>لمى bin ابراهيم bin عبدالكريم Al-ابراهيم</v>
      </c>
      <c r="O125" s="1" t="str">
        <f t="shared" ca="1" si="3"/>
        <v/>
      </c>
      <c r="P125" s="1">
        <f t="shared" si="4"/>
        <v>0</v>
      </c>
      <c r="Q125" s="1"/>
      <c r="R125" s="1"/>
      <c r="S125" s="1" t="str">
        <f t="shared" si="5"/>
        <v>Living</v>
      </c>
    </row>
    <row r="126" spans="1:19" ht="15.75" hidden="1" customHeight="1" x14ac:dyDescent="0.2">
      <c r="A126" s="1" t="str">
        <f t="shared" si="0"/>
        <v>P125</v>
      </c>
      <c r="B126" s="1" t="s">
        <v>149</v>
      </c>
      <c r="C126" s="1" t="s">
        <v>112</v>
      </c>
      <c r="D126" s="1" t="s">
        <v>27</v>
      </c>
      <c r="E126" s="1" t="s">
        <v>96</v>
      </c>
      <c r="F126" s="1" t="s">
        <v>200</v>
      </c>
      <c r="G126" s="1" t="s">
        <v>35</v>
      </c>
      <c r="H126" s="1"/>
      <c r="I126" s="1"/>
      <c r="J126" s="1"/>
      <c r="K126" s="1">
        <f>IF(F126="",1,IFERROR(VLOOKUP(F126,A:K,11,FALSE)+1,1))</f>
        <v>8</v>
      </c>
      <c r="L126" s="1" t="str">
        <f>IF(F126="","الأصل",IF(VLOOKUP(F126,A:L,12,FALSE)="الأصل","الفرع "&amp;K126-1,VLOOKUP(F126,A:L,12,FALSE)))</f>
        <v>الابراهيم</v>
      </c>
      <c r="M126" s="1" t="str">
        <f t="shared" si="1"/>
        <v>ريان بن خالد بن ابراهيم عبدالكريم</v>
      </c>
      <c r="N126" s="1" t="str">
        <f t="shared" si="2"/>
        <v>ريان bin خالد bin ابراهيم Al-عبدالكريم</v>
      </c>
      <c r="O126" s="1" t="str">
        <f t="shared" ca="1" si="3"/>
        <v/>
      </c>
      <c r="P126" s="1">
        <f t="shared" si="4"/>
        <v>0</v>
      </c>
      <c r="Q126" s="1"/>
      <c r="R126" s="1"/>
      <c r="S126" s="1" t="str">
        <f t="shared" si="5"/>
        <v>Living</v>
      </c>
    </row>
    <row r="127" spans="1:19" ht="15.75" hidden="1" customHeight="1" x14ac:dyDescent="0.2">
      <c r="A127" s="1" t="str">
        <f t="shared" si="0"/>
        <v>P126</v>
      </c>
      <c r="B127" s="1" t="s">
        <v>96</v>
      </c>
      <c r="C127" s="1" t="s">
        <v>112</v>
      </c>
      <c r="D127" s="1" t="s">
        <v>27</v>
      </c>
      <c r="E127" s="1" t="s">
        <v>96</v>
      </c>
      <c r="F127" s="1" t="s">
        <v>200</v>
      </c>
      <c r="G127" s="1" t="s">
        <v>35</v>
      </c>
      <c r="H127" s="1"/>
      <c r="I127" s="1"/>
      <c r="J127" s="1"/>
      <c r="K127" s="1">
        <f>IF(F127="",1,IFERROR(VLOOKUP(F127,A:K,11,FALSE)+1,1))</f>
        <v>8</v>
      </c>
      <c r="L127" s="1" t="str">
        <f>IF(F127="","الأصل",IF(VLOOKUP(F127,A:L,12,FALSE)="الأصل","الفرع "&amp;K127-1,VLOOKUP(F127,A:L,12,FALSE)))</f>
        <v>الابراهيم</v>
      </c>
      <c r="M127" s="1" t="str">
        <f t="shared" si="1"/>
        <v>عبدالكريم بن خالد بن ابراهيم عبدالكريم</v>
      </c>
      <c r="N127" s="1" t="str">
        <f t="shared" si="2"/>
        <v>عبدالكريم bin خالد bin ابراهيم Al-عبدالكريم</v>
      </c>
      <c r="O127" s="1" t="str">
        <f t="shared" ca="1" si="3"/>
        <v/>
      </c>
      <c r="P127" s="1">
        <f t="shared" si="4"/>
        <v>0</v>
      </c>
      <c r="Q127" s="1"/>
      <c r="R127" s="1"/>
      <c r="S127" s="1" t="str">
        <f t="shared" si="5"/>
        <v>Living</v>
      </c>
    </row>
    <row r="128" spans="1:19" ht="15.75" hidden="1" customHeight="1" x14ac:dyDescent="0.2">
      <c r="A128" s="1" t="str">
        <f t="shared" si="0"/>
        <v>P127</v>
      </c>
      <c r="B128" s="1" t="s">
        <v>105</v>
      </c>
      <c r="C128" s="1" t="s">
        <v>112</v>
      </c>
      <c r="D128" s="1" t="s">
        <v>27</v>
      </c>
      <c r="E128" s="1" t="s">
        <v>96</v>
      </c>
      <c r="F128" s="1" t="s">
        <v>200</v>
      </c>
      <c r="G128" s="1" t="s">
        <v>35</v>
      </c>
      <c r="H128" s="1"/>
      <c r="I128" s="1"/>
      <c r="J128" s="1"/>
      <c r="K128" s="1">
        <f>IF(F128="",1,IFERROR(VLOOKUP(F128,A:K,11,FALSE)+1,1))</f>
        <v>8</v>
      </c>
      <c r="L128" s="1" t="str">
        <f>IF(F128="","الأصل",IF(VLOOKUP(F128,A:L,12,FALSE)="الأصل","الفرع "&amp;K128-1,VLOOKUP(F128,A:L,12,FALSE)))</f>
        <v>الابراهيم</v>
      </c>
      <c r="M128" s="1" t="str">
        <f t="shared" si="1"/>
        <v>عبدالرحمن بن خالد بن ابراهيم عبدالكريم</v>
      </c>
      <c r="N128" s="1" t="str">
        <f t="shared" si="2"/>
        <v>عبدالرحمن bin خالد bin ابراهيم Al-عبدالكريم</v>
      </c>
      <c r="O128" s="1" t="str">
        <f t="shared" ca="1" si="3"/>
        <v/>
      </c>
      <c r="P128" s="1">
        <f t="shared" si="4"/>
        <v>0</v>
      </c>
      <c r="Q128" s="1"/>
      <c r="R128" s="1"/>
      <c r="S128" s="1" t="str">
        <f t="shared" si="5"/>
        <v>Living</v>
      </c>
    </row>
    <row r="129" spans="1:19" ht="15.75" hidden="1" customHeight="1" x14ac:dyDescent="0.2">
      <c r="A129" s="1" t="str">
        <f t="shared" si="0"/>
        <v>P128</v>
      </c>
      <c r="B129" s="1" t="s">
        <v>201</v>
      </c>
      <c r="C129" s="1" t="s">
        <v>112</v>
      </c>
      <c r="D129" s="1" t="s">
        <v>27</v>
      </c>
      <c r="E129" s="1" t="s">
        <v>96</v>
      </c>
      <c r="F129" s="1" t="s">
        <v>200</v>
      </c>
      <c r="G129" s="1" t="s">
        <v>132</v>
      </c>
      <c r="H129" s="1"/>
      <c r="I129" s="1"/>
      <c r="J129" s="1"/>
      <c r="K129" s="1">
        <f>IF(F129="",1,IFERROR(VLOOKUP(F129,A:K,11,FALSE)+1,1))</f>
        <v>8</v>
      </c>
      <c r="L129" s="1" t="str">
        <f>IF(F129="","الأصل",IF(VLOOKUP(F129,A:L,12,FALSE)="الأصل","الفرع "&amp;K129-1,VLOOKUP(F129,A:L,12,FALSE)))</f>
        <v>الابراهيم</v>
      </c>
      <c r="M129" s="1" t="str">
        <f t="shared" si="1"/>
        <v>تالا بن خالد بن ابراهيم عبدالكريم</v>
      </c>
      <c r="N129" s="1" t="str">
        <f t="shared" si="2"/>
        <v>تالا bin خالد bin ابراهيم Al-عبدالكريم</v>
      </c>
      <c r="O129" s="1" t="str">
        <f t="shared" ca="1" si="3"/>
        <v/>
      </c>
      <c r="P129" s="1">
        <f t="shared" si="4"/>
        <v>0</v>
      </c>
      <c r="Q129" s="1"/>
      <c r="R129" s="1"/>
      <c r="S129" s="1" t="str">
        <f t="shared" si="5"/>
        <v>Living</v>
      </c>
    </row>
    <row r="130" spans="1:19" ht="15.75" hidden="1" customHeight="1" x14ac:dyDescent="0.2">
      <c r="A130" s="1" t="str">
        <f t="shared" si="0"/>
        <v>P129</v>
      </c>
      <c r="B130" s="1" t="s">
        <v>141</v>
      </c>
      <c r="C130" s="1" t="s">
        <v>100</v>
      </c>
      <c r="D130" s="1" t="s">
        <v>96</v>
      </c>
      <c r="E130" s="1" t="s">
        <v>27</v>
      </c>
      <c r="F130" s="1" t="s">
        <v>202</v>
      </c>
      <c r="G130" s="1" t="s">
        <v>35</v>
      </c>
      <c r="H130" s="1"/>
      <c r="I130" s="1"/>
      <c r="J130" s="1"/>
      <c r="K130" s="1">
        <f>IF(F130="",1,IFERROR(VLOOKUP(F130,A:K,11,FALSE)+1,1))</f>
        <v>7</v>
      </c>
      <c r="L130" s="1" t="str">
        <f>IF(F130="","الأصل",IF(VLOOKUP(F130,A:L,12,FALSE)="الأصل","الفرع "&amp;K130-1,VLOOKUP(F130,A:L,12,FALSE)))</f>
        <v>الابراهيم</v>
      </c>
      <c r="M130" s="1" t="str">
        <f t="shared" si="1"/>
        <v>معاذ بن محمد بن عبدالكريم ابراهيم</v>
      </c>
      <c r="N130" s="1" t="str">
        <f t="shared" si="2"/>
        <v>معاذ bin محمد bin عبدالكريم Al-ابراهيم</v>
      </c>
      <c r="O130" s="1" t="str">
        <f t="shared" ca="1" si="3"/>
        <v/>
      </c>
      <c r="P130" s="1">
        <f t="shared" si="4"/>
        <v>0</v>
      </c>
      <c r="Q130" s="1"/>
      <c r="R130" s="1"/>
      <c r="S130" s="1" t="str">
        <f t="shared" si="5"/>
        <v>Living</v>
      </c>
    </row>
    <row r="131" spans="1:19" ht="15.75" hidden="1" customHeight="1" x14ac:dyDescent="0.2">
      <c r="A131" s="1" t="str">
        <f t="shared" si="0"/>
        <v>P130</v>
      </c>
      <c r="B131" s="1" t="s">
        <v>121</v>
      </c>
      <c r="C131" s="1" t="s">
        <v>100</v>
      </c>
      <c r="D131" s="1" t="s">
        <v>96</v>
      </c>
      <c r="E131" s="1" t="s">
        <v>27</v>
      </c>
      <c r="F131" s="1" t="s">
        <v>202</v>
      </c>
      <c r="G131" s="1" t="s">
        <v>35</v>
      </c>
      <c r="H131" s="1"/>
      <c r="I131" s="1"/>
      <c r="J131" s="1"/>
      <c r="K131" s="1">
        <f>IF(F131="",1,IFERROR(VLOOKUP(F131,A:K,11,FALSE)+1,1))</f>
        <v>7</v>
      </c>
      <c r="L131" s="1" t="str">
        <f>IF(F131="","الأصل",IF(VLOOKUP(F131,A:L,12,FALSE)="الأصل","الفرع "&amp;K131-1,VLOOKUP(F131,A:L,12,FALSE)))</f>
        <v>الابراهيم</v>
      </c>
      <c r="M131" s="1" t="str">
        <f t="shared" si="1"/>
        <v>عبدالاله بن محمد بن عبدالكريم ابراهيم</v>
      </c>
      <c r="N131" s="1" t="str">
        <f t="shared" si="2"/>
        <v>عبدالاله bin محمد bin عبدالكريم Al-ابراهيم</v>
      </c>
      <c r="O131" s="1" t="str">
        <f t="shared" ca="1" si="3"/>
        <v/>
      </c>
      <c r="P131" s="1">
        <f t="shared" si="4"/>
        <v>0</v>
      </c>
      <c r="Q131" s="1"/>
      <c r="R131" s="1"/>
      <c r="S131" s="1" t="str">
        <f t="shared" si="5"/>
        <v>Living</v>
      </c>
    </row>
    <row r="132" spans="1:19" ht="15.75" hidden="1" customHeight="1" x14ac:dyDescent="0.2">
      <c r="A132" s="1" t="str">
        <f t="shared" si="0"/>
        <v>P131</v>
      </c>
      <c r="B132" s="1" t="s">
        <v>203</v>
      </c>
      <c r="C132" s="1" t="s">
        <v>100</v>
      </c>
      <c r="D132" s="1" t="s">
        <v>96</v>
      </c>
      <c r="E132" s="1" t="s">
        <v>27</v>
      </c>
      <c r="F132" s="1" t="s">
        <v>202</v>
      </c>
      <c r="G132" s="1" t="s">
        <v>132</v>
      </c>
      <c r="H132" s="1"/>
      <c r="I132" s="1"/>
      <c r="J132" s="1"/>
      <c r="K132" s="1">
        <f>IF(F132="",1,IFERROR(VLOOKUP(F132,A:K,11,FALSE)+1,1))</f>
        <v>7</v>
      </c>
      <c r="L132" s="1" t="str">
        <f>IF(F132="","الأصل",IF(VLOOKUP(F132,A:L,12,FALSE)="الأصل","الفرع "&amp;K132-1,VLOOKUP(F132,A:L,12,FALSE)))</f>
        <v>الابراهيم</v>
      </c>
      <c r="M132" s="1" t="str">
        <f t="shared" si="1"/>
        <v>رنا بن محمد بن عبدالكريم ابراهيم</v>
      </c>
      <c r="N132" s="1" t="str">
        <f t="shared" si="2"/>
        <v>رنا bin محمد bin عبدالكريم Al-ابراهيم</v>
      </c>
      <c r="O132" s="1" t="str">
        <f t="shared" ca="1" si="3"/>
        <v/>
      </c>
      <c r="P132" s="1">
        <f t="shared" si="4"/>
        <v>0</v>
      </c>
      <c r="Q132" s="1"/>
      <c r="R132" s="1"/>
      <c r="S132" s="1" t="str">
        <f t="shared" si="5"/>
        <v>Living</v>
      </c>
    </row>
    <row r="133" spans="1:19" ht="15.75" hidden="1" customHeight="1" x14ac:dyDescent="0.2">
      <c r="A133" s="1" t="str">
        <f t="shared" si="0"/>
        <v>P132</v>
      </c>
      <c r="B133" s="1" t="s">
        <v>204</v>
      </c>
      <c r="C133" s="1" t="s">
        <v>100</v>
      </c>
      <c r="D133" s="1" t="s">
        <v>96</v>
      </c>
      <c r="E133" s="1" t="s">
        <v>27</v>
      </c>
      <c r="F133" s="1" t="s">
        <v>202</v>
      </c>
      <c r="G133" s="1" t="s">
        <v>132</v>
      </c>
      <c r="H133" s="1"/>
      <c r="I133" s="1"/>
      <c r="J133" s="1"/>
      <c r="K133" s="1">
        <f>IF(F133="",1,IFERROR(VLOOKUP(F133,A:K,11,FALSE)+1,1))</f>
        <v>7</v>
      </c>
      <c r="L133" s="1" t="str">
        <f>IF(F133="","الأصل",IF(VLOOKUP(F133,A:L,12,FALSE)="الأصل","الفرع "&amp;K133-1,VLOOKUP(F133,A:L,12,FALSE)))</f>
        <v>الابراهيم</v>
      </c>
      <c r="M133" s="1" t="str">
        <f t="shared" si="1"/>
        <v>جدى بن محمد بن عبدالكريم ابراهيم</v>
      </c>
      <c r="N133" s="1" t="str">
        <f t="shared" si="2"/>
        <v>جدى bin محمد bin عبدالكريم Al-ابراهيم</v>
      </c>
      <c r="O133" s="1" t="str">
        <f t="shared" ca="1" si="3"/>
        <v/>
      </c>
      <c r="P133" s="1">
        <f t="shared" si="4"/>
        <v>0</v>
      </c>
      <c r="Q133" s="1"/>
      <c r="R133" s="1"/>
      <c r="S133" s="1" t="str">
        <f t="shared" si="5"/>
        <v>Living</v>
      </c>
    </row>
    <row r="134" spans="1:19" ht="15.75" hidden="1" customHeight="1" x14ac:dyDescent="0.2">
      <c r="A134" s="1" t="str">
        <f t="shared" si="0"/>
        <v>P133</v>
      </c>
      <c r="B134" s="1" t="s">
        <v>205</v>
      </c>
      <c r="C134" s="1" t="s">
        <v>100</v>
      </c>
      <c r="D134" s="1" t="s">
        <v>96</v>
      </c>
      <c r="E134" s="1" t="s">
        <v>27</v>
      </c>
      <c r="F134" s="1" t="s">
        <v>202</v>
      </c>
      <c r="G134" s="1" t="s">
        <v>132</v>
      </c>
      <c r="H134" s="1"/>
      <c r="I134" s="1"/>
      <c r="J134" s="1"/>
      <c r="K134" s="1">
        <f>IF(F134="",1,IFERROR(VLOOKUP(F134,A:K,11,FALSE)+1,1))</f>
        <v>7</v>
      </c>
      <c r="L134" s="1" t="str">
        <f>IF(F134="","الأصل",IF(VLOOKUP(F134,A:L,12,FALSE)="الأصل","الفرع "&amp;K134-1,VLOOKUP(F134,A:L,12,FALSE)))</f>
        <v>الابراهيم</v>
      </c>
      <c r="M134" s="1" t="str">
        <f t="shared" si="1"/>
        <v>حور بن محمد بن عبدالكريم ابراهيم</v>
      </c>
      <c r="N134" s="1" t="str">
        <f t="shared" si="2"/>
        <v>حور bin محمد bin عبدالكريم Al-ابراهيم</v>
      </c>
      <c r="O134" s="1" t="str">
        <f t="shared" ca="1" si="3"/>
        <v/>
      </c>
      <c r="P134" s="1">
        <f t="shared" si="4"/>
        <v>0</v>
      </c>
      <c r="Q134" s="1"/>
      <c r="R134" s="1"/>
      <c r="S134" s="1" t="str">
        <f t="shared" si="5"/>
        <v>Living</v>
      </c>
    </row>
    <row r="135" spans="1:19" ht="15.75" hidden="1" customHeight="1" x14ac:dyDescent="0.2">
      <c r="A135" s="1" t="str">
        <f t="shared" si="0"/>
        <v>P134</v>
      </c>
      <c r="B135" s="1" t="s">
        <v>206</v>
      </c>
      <c r="C135" s="1" t="s">
        <v>100</v>
      </c>
      <c r="D135" s="1" t="s">
        <v>96</v>
      </c>
      <c r="E135" s="1" t="s">
        <v>27</v>
      </c>
      <c r="F135" s="1" t="s">
        <v>202</v>
      </c>
      <c r="G135" s="1" t="s">
        <v>132</v>
      </c>
      <c r="H135" s="1"/>
      <c r="I135" s="1"/>
      <c r="J135" s="1"/>
      <c r="K135" s="1">
        <f>IF(F135="",1,IFERROR(VLOOKUP(F135,A:K,11,FALSE)+1,1))</f>
        <v>7</v>
      </c>
      <c r="L135" s="1" t="str">
        <f>IF(F135="","الأصل",IF(VLOOKUP(F135,A:L,12,FALSE)="الأصل","الفرع "&amp;K135-1,VLOOKUP(F135,A:L,12,FALSE)))</f>
        <v>الابراهيم</v>
      </c>
      <c r="M135" s="1" t="str">
        <f t="shared" si="1"/>
        <v>جود بن محمد بن عبدالكريم ابراهيم</v>
      </c>
      <c r="N135" s="1" t="str">
        <f t="shared" si="2"/>
        <v>جود bin محمد bin عبدالكريم Al-ابراهيم</v>
      </c>
      <c r="O135" s="1" t="str">
        <f t="shared" ca="1" si="3"/>
        <v/>
      </c>
      <c r="P135" s="1">
        <f t="shared" si="4"/>
        <v>0</v>
      </c>
      <c r="Q135" s="1"/>
      <c r="R135" s="1"/>
      <c r="S135" s="1" t="str">
        <f t="shared" si="5"/>
        <v>Living</v>
      </c>
    </row>
    <row r="136" spans="1:19" ht="15.75" hidden="1" customHeight="1" x14ac:dyDescent="0.2">
      <c r="A136" s="1" t="str">
        <f t="shared" si="0"/>
        <v>P135</v>
      </c>
      <c r="B136" s="1" t="s">
        <v>140</v>
      </c>
      <c r="C136" s="1" t="s">
        <v>105</v>
      </c>
      <c r="D136" s="1" t="s">
        <v>96</v>
      </c>
      <c r="E136" s="1" t="s">
        <v>27</v>
      </c>
      <c r="F136" s="1" t="s">
        <v>207</v>
      </c>
      <c r="G136" s="1" t="s">
        <v>35</v>
      </c>
      <c r="H136" s="1"/>
      <c r="I136" s="1"/>
      <c r="J136" s="1"/>
      <c r="K136" s="1">
        <f>IF(F136="",1,IFERROR(VLOOKUP(F136,A:K,11,FALSE)+1,1))</f>
        <v>7</v>
      </c>
      <c r="L136" s="1" t="str">
        <f>IF(F136="","الأصل",IF(VLOOKUP(F136,A:L,12,FALSE)="الأصل","الفرع "&amp;K136-1,VLOOKUP(F136,A:L,12,FALSE)))</f>
        <v>الابراهيم</v>
      </c>
      <c r="M136" s="1" t="str">
        <f t="shared" si="1"/>
        <v>عبدالمجيد بن عبدالرحمن بن عبدالكريم ابراهيم</v>
      </c>
      <c r="N136" s="1" t="str">
        <f t="shared" si="2"/>
        <v>عبدالمجيد bin عبدالرحمن bin عبدالكريم Al-ابراهيم</v>
      </c>
      <c r="O136" s="1" t="str">
        <f t="shared" ca="1" si="3"/>
        <v/>
      </c>
      <c r="P136" s="1">
        <f t="shared" si="4"/>
        <v>0</v>
      </c>
      <c r="Q136" s="1"/>
      <c r="R136" s="1"/>
      <c r="S136" s="1" t="str">
        <f t="shared" si="5"/>
        <v>Living</v>
      </c>
    </row>
    <row r="137" spans="1:19" ht="15.75" hidden="1" customHeight="1" x14ac:dyDescent="0.2">
      <c r="A137" s="1" t="str">
        <f t="shared" si="0"/>
        <v>P136</v>
      </c>
      <c r="B137" s="1" t="s">
        <v>208</v>
      </c>
      <c r="C137" s="1" t="s">
        <v>105</v>
      </c>
      <c r="D137" s="1" t="s">
        <v>96</v>
      </c>
      <c r="E137" s="1" t="s">
        <v>27</v>
      </c>
      <c r="F137" s="1" t="s">
        <v>207</v>
      </c>
      <c r="G137" s="1" t="s">
        <v>132</v>
      </c>
      <c r="H137" s="1"/>
      <c r="I137" s="1"/>
      <c r="J137" s="1"/>
      <c r="K137" s="1">
        <f>IF(F137="",1,IFERROR(VLOOKUP(F137,A:K,11,FALSE)+1,1))</f>
        <v>7</v>
      </c>
      <c r="L137" s="1" t="str">
        <f>IF(F137="","الأصل",IF(VLOOKUP(F137,A:L,12,FALSE)="الأصل","الفرع "&amp;K137-1,VLOOKUP(F137,A:L,12,FALSE)))</f>
        <v>الابراهيم</v>
      </c>
      <c r="M137" s="1" t="str">
        <f t="shared" si="1"/>
        <v>ألين بن عبدالرحمن بن عبدالكريم ابراهيم</v>
      </c>
      <c r="N137" s="1" t="str">
        <f t="shared" si="2"/>
        <v>ألين bin عبدالرحمن bin عبدالكريم Al-ابراهيم</v>
      </c>
      <c r="O137" s="1" t="str">
        <f t="shared" ca="1" si="3"/>
        <v/>
      </c>
      <c r="P137" s="1">
        <f t="shared" si="4"/>
        <v>0</v>
      </c>
      <c r="Q137" s="1"/>
      <c r="R137" s="1"/>
      <c r="S137" s="1" t="str">
        <f t="shared" si="5"/>
        <v>Living</v>
      </c>
    </row>
    <row r="138" spans="1:19" ht="15.75" hidden="1" customHeight="1" x14ac:dyDescent="0.2">
      <c r="A138" s="1" t="str">
        <f t="shared" si="0"/>
        <v>P137</v>
      </c>
      <c r="B138" s="1" t="s">
        <v>209</v>
      </c>
      <c r="C138" s="1" t="s">
        <v>105</v>
      </c>
      <c r="D138" s="1" t="s">
        <v>96</v>
      </c>
      <c r="E138" s="1" t="s">
        <v>27</v>
      </c>
      <c r="F138" s="1" t="s">
        <v>207</v>
      </c>
      <c r="G138" s="1" t="s">
        <v>132</v>
      </c>
      <c r="H138" s="1"/>
      <c r="I138" s="1"/>
      <c r="J138" s="1"/>
      <c r="K138" s="1">
        <f>IF(F138="",1,IFERROR(VLOOKUP(F138,A:K,11,FALSE)+1,1))</f>
        <v>7</v>
      </c>
      <c r="L138" s="1" t="str">
        <f>IF(F138="","الأصل",IF(VLOOKUP(F138,A:L,12,FALSE)="الأصل","الفرع "&amp;K138-1,VLOOKUP(F138,A:L,12,FALSE)))</f>
        <v>الابراهيم</v>
      </c>
      <c r="M138" s="1" t="str">
        <f t="shared" si="1"/>
        <v>جنى بن عبدالرحمن بن عبدالكريم ابراهيم</v>
      </c>
      <c r="N138" s="1" t="str">
        <f t="shared" si="2"/>
        <v>جنى bin عبدالرحمن bin عبدالكريم Al-ابراهيم</v>
      </c>
      <c r="O138" s="1" t="str">
        <f t="shared" ca="1" si="3"/>
        <v/>
      </c>
      <c r="P138" s="1">
        <f t="shared" si="4"/>
        <v>0</v>
      </c>
      <c r="Q138" s="1"/>
      <c r="R138" s="1"/>
      <c r="S138" s="1" t="str">
        <f t="shared" si="5"/>
        <v>Living</v>
      </c>
    </row>
    <row r="139" spans="1:19" ht="15.75" hidden="1" customHeight="1" x14ac:dyDescent="0.2">
      <c r="A139" s="1" t="str">
        <f t="shared" si="0"/>
        <v>P138</v>
      </c>
      <c r="B139" s="1" t="s">
        <v>210</v>
      </c>
      <c r="C139" s="1" t="s">
        <v>105</v>
      </c>
      <c r="D139" s="1" t="s">
        <v>96</v>
      </c>
      <c r="E139" s="1" t="s">
        <v>27</v>
      </c>
      <c r="F139" s="1" t="s">
        <v>207</v>
      </c>
      <c r="G139" s="1" t="s">
        <v>132</v>
      </c>
      <c r="H139" s="1"/>
      <c r="I139" s="1"/>
      <c r="J139" s="1"/>
      <c r="K139" s="1">
        <f>IF(F139="",1,IFERROR(VLOOKUP(F139,A:K,11,FALSE)+1,1))</f>
        <v>7</v>
      </c>
      <c r="L139" s="1" t="str">
        <f>IF(F139="","الأصل",IF(VLOOKUP(F139,A:L,12,FALSE)="الأصل","الفرع "&amp;K139-1,VLOOKUP(F139,A:L,12,FALSE)))</f>
        <v>الابراهيم</v>
      </c>
      <c r="M139" s="1" t="str">
        <f t="shared" si="1"/>
        <v>لطيفة بن عبدالرحمن بن عبدالكريم ابراهيم</v>
      </c>
      <c r="N139" s="1" t="str">
        <f t="shared" si="2"/>
        <v>لطيفة bin عبدالرحمن bin عبدالكريم Al-ابراهيم</v>
      </c>
      <c r="O139" s="1" t="str">
        <f t="shared" ca="1" si="3"/>
        <v/>
      </c>
      <c r="P139" s="1">
        <f t="shared" si="4"/>
        <v>0</v>
      </c>
      <c r="Q139" s="1"/>
      <c r="R139" s="1"/>
      <c r="S139" s="1" t="str">
        <f t="shared" si="5"/>
        <v>Living</v>
      </c>
    </row>
    <row r="140" spans="1:19" ht="15.75" hidden="1" customHeight="1" x14ac:dyDescent="0.2">
      <c r="A140" s="1" t="str">
        <f t="shared" si="0"/>
        <v>P139</v>
      </c>
      <c r="B140" s="1" t="s">
        <v>142</v>
      </c>
      <c r="C140" s="1" t="s">
        <v>119</v>
      </c>
      <c r="D140" s="1" t="s">
        <v>96</v>
      </c>
      <c r="E140" s="1" t="s">
        <v>27</v>
      </c>
      <c r="F140" s="1" t="s">
        <v>211</v>
      </c>
      <c r="G140" s="1" t="s">
        <v>35</v>
      </c>
      <c r="H140" s="1"/>
      <c r="I140" s="1"/>
      <c r="J140" s="1"/>
      <c r="K140" s="1">
        <f>IF(F140="",1,IFERROR(VLOOKUP(F140,A:K,11,FALSE)+1,1))</f>
        <v>8</v>
      </c>
      <c r="L140" s="1" t="str">
        <f>IF(F140="","الأصل",IF(VLOOKUP(F140,A:L,12,FALSE)="الأصل","الفرع "&amp;K140-1,VLOOKUP(F140,A:L,12,FALSE)))</f>
        <v>الابراهيم</v>
      </c>
      <c r="M140" s="1" t="str">
        <f t="shared" si="1"/>
        <v>تميم بن عبدالله بن عبدالكريم ابراهيم</v>
      </c>
      <c r="N140" s="1" t="str">
        <f t="shared" si="2"/>
        <v>تميم bin عبدالله bin عبدالكريم Al-ابراهيم</v>
      </c>
      <c r="O140" s="1" t="str">
        <f t="shared" ca="1" si="3"/>
        <v/>
      </c>
      <c r="P140" s="1">
        <f t="shared" si="4"/>
        <v>0</v>
      </c>
      <c r="Q140" s="1"/>
      <c r="R140" s="1"/>
      <c r="S140" s="1" t="str">
        <f t="shared" si="5"/>
        <v>Living</v>
      </c>
    </row>
    <row r="141" spans="1:19" ht="15.75" hidden="1" customHeight="1" x14ac:dyDescent="0.2">
      <c r="A141" s="1" t="str">
        <f t="shared" si="0"/>
        <v>P140</v>
      </c>
      <c r="B141" s="1" t="s">
        <v>212</v>
      </c>
      <c r="C141" s="1" t="s">
        <v>119</v>
      </c>
      <c r="D141" s="1" t="s">
        <v>96</v>
      </c>
      <c r="E141" s="1" t="s">
        <v>27</v>
      </c>
      <c r="F141" s="1" t="s">
        <v>211</v>
      </c>
      <c r="G141" s="1" t="s">
        <v>35</v>
      </c>
      <c r="H141" s="1"/>
      <c r="I141" s="1"/>
      <c r="J141" s="1"/>
      <c r="K141" s="1">
        <f>IF(F141="",1,IFERROR(VLOOKUP(F141,A:K,11,FALSE)+1,1))</f>
        <v>8</v>
      </c>
      <c r="L141" s="1" t="str">
        <f>IF(F141="","الأصل",IF(VLOOKUP(F141,A:L,12,FALSE)="الأصل","الفرع "&amp;K141-1,VLOOKUP(F141,A:L,12,FALSE)))</f>
        <v>الابراهيم</v>
      </c>
      <c r="M141" s="1" t="str">
        <f t="shared" si="1"/>
        <v>مهند بن عبدالله بن عبدالكريم ابراهيم</v>
      </c>
      <c r="N141" s="1" t="str">
        <f t="shared" si="2"/>
        <v>مهند bin عبدالله bin عبدالكريم Al-ابراهيم</v>
      </c>
      <c r="O141" s="1" t="str">
        <f t="shared" ca="1" si="3"/>
        <v/>
      </c>
      <c r="P141" s="1">
        <f t="shared" si="4"/>
        <v>0</v>
      </c>
      <c r="Q141" s="1"/>
      <c r="R141" s="1"/>
      <c r="S141" s="1" t="str">
        <f t="shared" si="5"/>
        <v>Living</v>
      </c>
    </row>
    <row r="142" spans="1:19" ht="15.75" hidden="1" customHeight="1" x14ac:dyDescent="0.2">
      <c r="A142" s="1" t="str">
        <f t="shared" si="0"/>
        <v>P141</v>
      </c>
      <c r="B142" s="1" t="s">
        <v>213</v>
      </c>
      <c r="C142" s="1" t="s">
        <v>119</v>
      </c>
      <c r="D142" s="1" t="s">
        <v>96</v>
      </c>
      <c r="E142" s="1" t="s">
        <v>27</v>
      </c>
      <c r="F142" s="1" t="s">
        <v>211</v>
      </c>
      <c r="G142" s="1" t="s">
        <v>132</v>
      </c>
      <c r="H142" s="1"/>
      <c r="I142" s="1"/>
      <c r="J142" s="1"/>
      <c r="K142" s="1">
        <f>IF(F142="",1,IFERROR(VLOOKUP(F142,A:K,11,FALSE)+1,1))</f>
        <v>8</v>
      </c>
      <c r="L142" s="1" t="str">
        <f>IF(F142="","الأصل",IF(VLOOKUP(F142,A:L,12,FALSE)="الأصل","الفرع "&amp;K142-1,VLOOKUP(F142,A:L,12,FALSE)))</f>
        <v>الابراهيم</v>
      </c>
      <c r="M142" s="1" t="str">
        <f t="shared" si="1"/>
        <v>رفيف بن عبدالله بن عبدالكريم ابراهيم</v>
      </c>
      <c r="N142" s="1" t="str">
        <f t="shared" si="2"/>
        <v>رفيف bin عبدالله bin عبدالكريم Al-ابراهيم</v>
      </c>
      <c r="O142" s="1" t="str">
        <f t="shared" ca="1" si="3"/>
        <v/>
      </c>
      <c r="P142" s="1">
        <f t="shared" si="4"/>
        <v>0</v>
      </c>
      <c r="Q142" s="1"/>
      <c r="R142" s="1"/>
      <c r="S142" s="1" t="str">
        <f t="shared" si="5"/>
        <v>Living</v>
      </c>
    </row>
    <row r="143" spans="1:19" ht="15.75" hidden="1" customHeight="1" x14ac:dyDescent="0.2">
      <c r="A143" s="1" t="str">
        <f t="shared" si="0"/>
        <v>P142</v>
      </c>
      <c r="B143" s="1" t="s">
        <v>193</v>
      </c>
      <c r="C143" s="1" t="s">
        <v>119</v>
      </c>
      <c r="D143" s="1" t="s">
        <v>96</v>
      </c>
      <c r="E143" s="1" t="s">
        <v>27</v>
      </c>
      <c r="F143" s="1" t="s">
        <v>211</v>
      </c>
      <c r="G143" s="1" t="s">
        <v>132</v>
      </c>
      <c r="H143" s="1"/>
      <c r="I143" s="1"/>
      <c r="J143" s="1"/>
      <c r="K143" s="1">
        <f>IF(F143="",1,IFERROR(VLOOKUP(F143,A:K,11,FALSE)+1,1))</f>
        <v>8</v>
      </c>
      <c r="L143" s="1" t="str">
        <f>IF(F143="","الأصل",IF(VLOOKUP(F143,A:L,12,FALSE)="الأصل","الفرع "&amp;K143-1,VLOOKUP(F143,A:L,12,FALSE)))</f>
        <v>الابراهيم</v>
      </c>
      <c r="M143" s="1" t="str">
        <f t="shared" si="1"/>
        <v>ديم بن عبدالله بن عبدالكريم ابراهيم</v>
      </c>
      <c r="N143" s="1" t="str">
        <f t="shared" si="2"/>
        <v>ديم bin عبدالله bin عبدالكريم Al-ابراهيم</v>
      </c>
      <c r="O143" s="1" t="str">
        <f t="shared" ca="1" si="3"/>
        <v/>
      </c>
      <c r="P143" s="1">
        <f t="shared" si="4"/>
        <v>0</v>
      </c>
      <c r="Q143" s="1"/>
      <c r="R143" s="1"/>
      <c r="S143" s="1" t="str">
        <f t="shared" si="5"/>
        <v>Living</v>
      </c>
    </row>
    <row r="144" spans="1:19" ht="15.75" hidden="1" customHeight="1" x14ac:dyDescent="0.2">
      <c r="A144" s="1" t="str">
        <f t="shared" si="0"/>
        <v>P143</v>
      </c>
      <c r="B144" s="1" t="s">
        <v>214</v>
      </c>
      <c r="C144" s="1" t="s">
        <v>119</v>
      </c>
      <c r="D144" s="1" t="s">
        <v>96</v>
      </c>
      <c r="E144" s="1" t="s">
        <v>27</v>
      </c>
      <c r="F144" s="1" t="s">
        <v>211</v>
      </c>
      <c r="G144" s="1" t="s">
        <v>132</v>
      </c>
      <c r="H144" s="1"/>
      <c r="I144" s="1"/>
      <c r="J144" s="1"/>
      <c r="K144" s="1">
        <f>IF(F144="",1,IFERROR(VLOOKUP(F144,A:K,11,FALSE)+1,1))</f>
        <v>8</v>
      </c>
      <c r="L144" s="1" t="str">
        <f>IF(F144="","الأصل",IF(VLOOKUP(F144,A:L,12,FALSE)="الأصل","الفرع "&amp;K144-1,VLOOKUP(F144,A:L,12,FALSE)))</f>
        <v>الابراهيم</v>
      </c>
      <c r="M144" s="1" t="str">
        <f t="shared" si="1"/>
        <v>لين بن عبدالله بن عبدالكريم ابراهيم</v>
      </c>
      <c r="N144" s="1" t="str">
        <f t="shared" si="2"/>
        <v>لين bin عبدالله bin عبدالكريم Al-ابراهيم</v>
      </c>
      <c r="O144" s="1" t="str">
        <f t="shared" ca="1" si="3"/>
        <v/>
      </c>
      <c r="P144" s="1">
        <f t="shared" si="4"/>
        <v>0</v>
      </c>
      <c r="Q144" s="1"/>
      <c r="R144" s="1"/>
      <c r="S144" s="1" t="str">
        <f t="shared" si="5"/>
        <v>Living</v>
      </c>
    </row>
    <row r="145" spans="1:19" ht="15.75" hidden="1" customHeight="1" x14ac:dyDescent="0.2">
      <c r="A145" s="1" t="str">
        <f t="shared" si="0"/>
        <v>P144</v>
      </c>
      <c r="B145" s="1" t="s">
        <v>119</v>
      </c>
      <c r="C145" s="1" t="s">
        <v>108</v>
      </c>
      <c r="D145" s="1" t="s">
        <v>96</v>
      </c>
      <c r="E145" s="1" t="s">
        <v>27</v>
      </c>
      <c r="F145" s="1" t="s">
        <v>215</v>
      </c>
      <c r="G145" s="1" t="s">
        <v>35</v>
      </c>
      <c r="H145" s="1"/>
      <c r="I145" s="1"/>
      <c r="J145" s="1"/>
      <c r="K145" s="1">
        <f>IF(F145="",1,IFERROR(VLOOKUP(F145,A:K,11,FALSE)+1,1))</f>
        <v>8</v>
      </c>
      <c r="L145" s="1" t="str">
        <f>IF(F145="","الأصل",IF(VLOOKUP(F145,A:L,12,FALSE)="الأصل","الفرع "&amp;K145-1,VLOOKUP(F145,A:L,12,FALSE)))</f>
        <v>الابراهيم</v>
      </c>
      <c r="M145" s="1" t="str">
        <f t="shared" si="1"/>
        <v>عبدالله بن عبدالعزيز بن عبدالكريم ابراهيم</v>
      </c>
      <c r="N145" s="1" t="str">
        <f t="shared" si="2"/>
        <v>عبدالله bin عبدالعزيز bin عبدالكريم Al-ابراهيم</v>
      </c>
      <c r="O145" s="1" t="str">
        <f t="shared" ca="1" si="3"/>
        <v/>
      </c>
      <c r="P145" s="1">
        <f t="shared" si="4"/>
        <v>0</v>
      </c>
      <c r="Q145" s="1"/>
      <c r="R145" s="1"/>
      <c r="S145" s="1" t="str">
        <f t="shared" si="5"/>
        <v>Living</v>
      </c>
    </row>
    <row r="146" spans="1:19" ht="15.75" hidden="1" customHeight="1" x14ac:dyDescent="0.2">
      <c r="A146" s="1" t="str">
        <f t="shared" si="0"/>
        <v>P145</v>
      </c>
      <c r="B146" s="1" t="s">
        <v>190</v>
      </c>
      <c r="C146" s="1" t="s">
        <v>96</v>
      </c>
      <c r="D146" s="1" t="s">
        <v>27</v>
      </c>
      <c r="E146" s="1" t="s">
        <v>102</v>
      </c>
      <c r="F146" s="1" t="s">
        <v>195</v>
      </c>
      <c r="G146" s="1" t="s">
        <v>132</v>
      </c>
      <c r="H146" s="1"/>
      <c r="I146" s="1"/>
      <c r="J146" s="1"/>
      <c r="K146" s="1">
        <f>IF(F146="",1,IFERROR(VLOOKUP(F146,A:K,11,FALSE)+1,1))</f>
        <v>6</v>
      </c>
      <c r="L146" s="1" t="str">
        <f>IF(F146="","الأصل",IF(VLOOKUP(F146,A:L,12,FALSE)="الأصل","الفرع "&amp;K146-1,VLOOKUP(F146,A:L,12,FALSE)))</f>
        <v>الابراهيم</v>
      </c>
      <c r="M146" s="1" t="str">
        <f t="shared" si="1"/>
        <v>الجوهرة بن عبدالكريم بن ابراهيم ناصر</v>
      </c>
      <c r="N146" s="1" t="str">
        <f t="shared" si="2"/>
        <v>الجوهرة bin عبدالكريم bin ابراهيم Al-ناصر</v>
      </c>
      <c r="O146" s="1" t="str">
        <f t="shared" ca="1" si="3"/>
        <v/>
      </c>
      <c r="P146" s="1">
        <f t="shared" si="4"/>
        <v>0</v>
      </c>
      <c r="Q146" s="1"/>
      <c r="R146" s="1"/>
      <c r="S146" s="1" t="str">
        <f t="shared" si="5"/>
        <v>Living</v>
      </c>
    </row>
    <row r="147" spans="1:19" ht="15.75" hidden="1" customHeight="1" x14ac:dyDescent="0.2">
      <c r="A147" s="1" t="str">
        <f t="shared" si="0"/>
        <v>P146</v>
      </c>
      <c r="B147" s="1" t="s">
        <v>216</v>
      </c>
      <c r="C147" s="1" t="s">
        <v>96</v>
      </c>
      <c r="D147" s="1" t="s">
        <v>27</v>
      </c>
      <c r="E147" s="1" t="s">
        <v>102</v>
      </c>
      <c r="F147" s="1" t="s">
        <v>195</v>
      </c>
      <c r="G147" s="1" t="s">
        <v>132</v>
      </c>
      <c r="H147" s="1"/>
      <c r="I147" s="1"/>
      <c r="J147" s="1"/>
      <c r="K147" s="1">
        <f>IF(F147="",1,IFERROR(VLOOKUP(F147,A:K,11,FALSE)+1,1))</f>
        <v>6</v>
      </c>
      <c r="L147" s="1" t="str">
        <f>IF(F147="","الأصل",IF(VLOOKUP(F147,A:L,12,FALSE)="الأصل","الفرع "&amp;K147-1,VLOOKUP(F147,A:L,12,FALSE)))</f>
        <v>الابراهيم</v>
      </c>
      <c r="M147" s="1" t="str">
        <f t="shared" si="1"/>
        <v>قماشة بن عبدالكريم بن ابراهيم ناصر</v>
      </c>
      <c r="N147" s="1" t="str">
        <f t="shared" si="2"/>
        <v>قماشة bin عبدالكريم bin ابراهيم Al-ناصر</v>
      </c>
      <c r="O147" s="1" t="str">
        <f t="shared" ca="1" si="3"/>
        <v/>
      </c>
      <c r="P147" s="1">
        <f t="shared" si="4"/>
        <v>0</v>
      </c>
      <c r="Q147" s="1"/>
      <c r="R147" s="1"/>
      <c r="S147" s="1" t="str">
        <f t="shared" si="5"/>
        <v>Living</v>
      </c>
    </row>
    <row r="148" spans="1:19" ht="15.75" hidden="1" customHeight="1" x14ac:dyDescent="0.2">
      <c r="A148" s="1" t="str">
        <f t="shared" si="0"/>
        <v>P147</v>
      </c>
      <c r="B148" s="1" t="s">
        <v>217</v>
      </c>
      <c r="C148" s="1" t="s">
        <v>96</v>
      </c>
      <c r="D148" s="1" t="s">
        <v>27</v>
      </c>
      <c r="E148" s="1" t="s">
        <v>102</v>
      </c>
      <c r="F148" s="1" t="s">
        <v>195</v>
      </c>
      <c r="G148" s="1" t="s">
        <v>132</v>
      </c>
      <c r="H148" s="1"/>
      <c r="I148" s="1"/>
      <c r="J148" s="1"/>
      <c r="K148" s="1">
        <f>IF(F148="",1,IFERROR(VLOOKUP(F148,A:K,11,FALSE)+1,1))</f>
        <v>6</v>
      </c>
      <c r="L148" s="1" t="str">
        <f>IF(F148="","الأصل",IF(VLOOKUP(F148,A:L,12,FALSE)="الأصل","الفرع "&amp;K148-1,VLOOKUP(F148,A:L,12,FALSE)))</f>
        <v>الابراهيم</v>
      </c>
      <c r="M148" s="1" t="str">
        <f t="shared" si="1"/>
        <v>منيرة بن عبدالكريم بن ابراهيم ناصر</v>
      </c>
      <c r="N148" s="1" t="str">
        <f t="shared" si="2"/>
        <v>منيرة bin عبدالكريم bin ابراهيم Al-ناصر</v>
      </c>
      <c r="O148" s="1" t="str">
        <f t="shared" ca="1" si="3"/>
        <v/>
      </c>
      <c r="P148" s="1">
        <f t="shared" si="4"/>
        <v>0</v>
      </c>
      <c r="Q148" s="1"/>
      <c r="R148" s="1"/>
      <c r="S148" s="1" t="str">
        <f t="shared" si="5"/>
        <v>Living</v>
      </c>
    </row>
    <row r="149" spans="1:19" ht="15.75" hidden="1" customHeight="1" x14ac:dyDescent="0.2">
      <c r="A149" s="1" t="str">
        <f t="shared" si="0"/>
        <v>P148</v>
      </c>
      <c r="B149" s="1" t="s">
        <v>218</v>
      </c>
      <c r="C149" s="1" t="s">
        <v>96</v>
      </c>
      <c r="D149" s="1" t="s">
        <v>27</v>
      </c>
      <c r="E149" s="1" t="s">
        <v>102</v>
      </c>
      <c r="F149" s="1" t="s">
        <v>195</v>
      </c>
      <c r="G149" s="1" t="s">
        <v>132</v>
      </c>
      <c r="H149" s="1"/>
      <c r="I149" s="1"/>
      <c r="J149" s="1"/>
      <c r="K149" s="1">
        <f>IF(F149="",1,IFERROR(VLOOKUP(F149,A:K,11,FALSE)+1,1))</f>
        <v>6</v>
      </c>
      <c r="L149" s="1" t="str">
        <f>IF(F149="","الأصل",IF(VLOOKUP(F149,A:L,12,FALSE)="الأصل","الفرع "&amp;K149-1,VLOOKUP(F149,A:L,12,FALSE)))</f>
        <v>الابراهيم</v>
      </c>
      <c r="M149" s="1" t="str">
        <f t="shared" si="1"/>
        <v>فوزية بن عبدالكريم بن ابراهيم ناصر</v>
      </c>
      <c r="N149" s="1" t="str">
        <f t="shared" si="2"/>
        <v>فوزية bin عبدالكريم bin ابراهيم Al-ناصر</v>
      </c>
      <c r="O149" s="1" t="str">
        <f t="shared" ca="1" si="3"/>
        <v/>
      </c>
      <c r="P149" s="1">
        <f t="shared" si="4"/>
        <v>0</v>
      </c>
      <c r="Q149" s="1"/>
      <c r="R149" s="1"/>
      <c r="S149" s="1" t="str">
        <f t="shared" si="5"/>
        <v>Living</v>
      </c>
    </row>
    <row r="150" spans="1:19" ht="15.75" hidden="1" customHeight="1" x14ac:dyDescent="0.2">
      <c r="A150" s="1" t="str">
        <f t="shared" si="0"/>
        <v>P149</v>
      </c>
      <c r="B150" s="1" t="s">
        <v>219</v>
      </c>
      <c r="C150" s="1" t="s">
        <v>96</v>
      </c>
      <c r="D150" s="1" t="s">
        <v>27</v>
      </c>
      <c r="E150" s="1" t="s">
        <v>102</v>
      </c>
      <c r="F150" s="1" t="s">
        <v>195</v>
      </c>
      <c r="G150" s="1" t="s">
        <v>132</v>
      </c>
      <c r="H150" s="1"/>
      <c r="I150" s="1"/>
      <c r="J150" s="1"/>
      <c r="K150" s="1">
        <f>IF(F150="",1,IFERROR(VLOOKUP(F150,A:K,11,FALSE)+1,1))</f>
        <v>6</v>
      </c>
      <c r="L150" s="1" t="str">
        <f>IF(F150="","الأصل",IF(VLOOKUP(F150,A:L,12,FALSE)="الأصل","الفرع "&amp;K150-1,VLOOKUP(F150,A:L,12,FALSE)))</f>
        <v>الابراهيم</v>
      </c>
      <c r="M150" s="1" t="str">
        <f t="shared" si="1"/>
        <v>جميلة بن عبدالكريم بن ابراهيم ناصر</v>
      </c>
      <c r="N150" s="1" t="str">
        <f t="shared" si="2"/>
        <v>جميلة bin عبدالكريم bin ابراهيم Al-ناصر</v>
      </c>
      <c r="O150" s="1" t="str">
        <f t="shared" ca="1" si="3"/>
        <v/>
      </c>
      <c r="P150" s="1">
        <f t="shared" si="4"/>
        <v>0</v>
      </c>
      <c r="Q150" s="1"/>
      <c r="R150" s="1"/>
      <c r="S150" s="1" t="str">
        <f t="shared" si="5"/>
        <v>Living</v>
      </c>
    </row>
    <row r="151" spans="1:19" ht="15.75" hidden="1" customHeight="1" x14ac:dyDescent="0.2">
      <c r="A151" s="1" t="str">
        <f t="shared" si="0"/>
        <v>P150</v>
      </c>
      <c r="B151" s="1" t="s">
        <v>220</v>
      </c>
      <c r="C151" s="1" t="s">
        <v>96</v>
      </c>
      <c r="D151" s="1" t="s">
        <v>27</v>
      </c>
      <c r="E151" s="1" t="s">
        <v>102</v>
      </c>
      <c r="F151" s="1" t="s">
        <v>195</v>
      </c>
      <c r="G151" s="1" t="s">
        <v>132</v>
      </c>
      <c r="H151" s="1"/>
      <c r="I151" s="1"/>
      <c r="J151" s="1"/>
      <c r="K151" s="1">
        <f>IF(F151="",1,IFERROR(VLOOKUP(F151,A:K,11,FALSE)+1,1))</f>
        <v>6</v>
      </c>
      <c r="L151" s="1" t="str">
        <f>IF(F151="","الأصل",IF(VLOOKUP(F151,A:L,12,FALSE)="الأصل","الفرع "&amp;K151-1,VLOOKUP(F151,A:L,12,FALSE)))</f>
        <v>الابراهيم</v>
      </c>
      <c r="M151" s="1" t="str">
        <f t="shared" si="1"/>
        <v>وفاء بن عبدالكريم بن ابراهيم ناصر</v>
      </c>
      <c r="N151" s="1" t="str">
        <f t="shared" si="2"/>
        <v>وفاء bin عبدالكريم bin ابراهيم Al-ناصر</v>
      </c>
      <c r="O151" s="1" t="str">
        <f t="shared" ca="1" si="3"/>
        <v/>
      </c>
      <c r="P151" s="1">
        <f t="shared" si="4"/>
        <v>0</v>
      </c>
      <c r="Q151" s="1"/>
      <c r="R151" s="1"/>
      <c r="S151" s="1" t="str">
        <f t="shared" si="5"/>
        <v>Living</v>
      </c>
    </row>
    <row r="152" spans="1:19" ht="15.75" hidden="1" customHeight="1" x14ac:dyDescent="0.2">
      <c r="A152" s="1" t="str">
        <f t="shared" si="0"/>
        <v>P151</v>
      </c>
      <c r="B152" s="1" t="s">
        <v>170</v>
      </c>
      <c r="C152" s="1" t="s">
        <v>105</v>
      </c>
      <c r="D152" s="1" t="s">
        <v>27</v>
      </c>
      <c r="E152" s="1" t="s">
        <v>102</v>
      </c>
      <c r="F152" s="1" t="s">
        <v>127</v>
      </c>
      <c r="G152" s="1" t="s">
        <v>132</v>
      </c>
      <c r="H152" s="1"/>
      <c r="I152" s="1"/>
      <c r="J152" s="1"/>
      <c r="K152" s="1">
        <f>IF(F152="",1,IFERROR(VLOOKUP(F152,A:K,11,FALSE)+1,1))</f>
        <v>6</v>
      </c>
      <c r="L152" s="1" t="str">
        <f>IF(F152="","الأصل",IF(VLOOKUP(F152,A:L,12,FALSE)="الأصل","الفرع "&amp;K152-1,VLOOKUP(F152,A:L,12,FALSE)))</f>
        <v>الابراهيم</v>
      </c>
      <c r="M152" s="1" t="str">
        <f t="shared" si="1"/>
        <v>نورة بن عبدالرحمن بن ابراهيم ناصر</v>
      </c>
      <c r="N152" s="1" t="str">
        <f t="shared" si="2"/>
        <v>نورة bin عبدالرحمن bin ابراهيم Al-ناصر</v>
      </c>
      <c r="O152" s="1" t="str">
        <f t="shared" ca="1" si="3"/>
        <v/>
      </c>
      <c r="P152" s="1">
        <f t="shared" si="4"/>
        <v>0</v>
      </c>
      <c r="Q152" s="1"/>
      <c r="R152" s="1"/>
      <c r="S152" s="1" t="str">
        <f t="shared" si="5"/>
        <v>Living</v>
      </c>
    </row>
    <row r="153" spans="1:19" ht="15.75" hidden="1" customHeight="1" x14ac:dyDescent="0.2">
      <c r="A153" s="1" t="str">
        <f t="shared" si="0"/>
        <v>P152</v>
      </c>
      <c r="B153" s="1" t="s">
        <v>221</v>
      </c>
      <c r="C153" s="1" t="s">
        <v>105</v>
      </c>
      <c r="D153" s="1" t="s">
        <v>27</v>
      </c>
      <c r="E153" s="1" t="s">
        <v>102</v>
      </c>
      <c r="F153" s="1" t="s">
        <v>127</v>
      </c>
      <c r="G153" s="1" t="s">
        <v>132</v>
      </c>
      <c r="H153" s="1"/>
      <c r="I153" s="1"/>
      <c r="J153" s="1"/>
      <c r="K153" s="1">
        <f>IF(F153="",1,IFERROR(VLOOKUP(F153,A:K,11,FALSE)+1,1))</f>
        <v>6</v>
      </c>
      <c r="L153" s="1" t="str">
        <f>IF(F153="","الأصل",IF(VLOOKUP(F153,A:L,12,FALSE)="الأصل","الفرع "&amp;K153-1,VLOOKUP(F153,A:L,12,FALSE)))</f>
        <v>الابراهيم</v>
      </c>
      <c r="M153" s="1" t="str">
        <f t="shared" si="1"/>
        <v>منى بن عبدالرحمن بن ابراهيم ناصر</v>
      </c>
      <c r="N153" s="1" t="str">
        <f t="shared" si="2"/>
        <v>منى bin عبدالرحمن bin ابراهيم Al-ناصر</v>
      </c>
      <c r="O153" s="1" t="str">
        <f t="shared" ca="1" si="3"/>
        <v/>
      </c>
      <c r="P153" s="1">
        <f t="shared" si="4"/>
        <v>0</v>
      </c>
      <c r="Q153" s="1"/>
      <c r="R153" s="1"/>
      <c r="S153" s="1" t="str">
        <f t="shared" si="5"/>
        <v>Living</v>
      </c>
    </row>
    <row r="154" spans="1:19" ht="15.75" hidden="1" customHeight="1" x14ac:dyDescent="0.2">
      <c r="A154" s="20" t="str">
        <f t="shared" si="0"/>
        <v>P153</v>
      </c>
      <c r="B154" s="1" t="s">
        <v>108</v>
      </c>
      <c r="C154" s="20" t="s">
        <v>98</v>
      </c>
      <c r="D154" s="20" t="s">
        <v>31</v>
      </c>
      <c r="E154" s="1" t="s">
        <v>93</v>
      </c>
      <c r="F154" s="1" t="s">
        <v>222</v>
      </c>
      <c r="G154" s="1" t="s">
        <v>35</v>
      </c>
      <c r="H154" s="1"/>
      <c r="I154" s="1"/>
      <c r="J154" s="1"/>
      <c r="K154" s="1">
        <f>IF(F154="",1,IFERROR(VLOOKUP(F154,A:K,11,FALSE)+1,1))</f>
        <v>3</v>
      </c>
      <c r="L154" s="1" t="str">
        <f>IF(F154="","الأصل",IF(VLOOKUP(F154,A:L,12,FALSE)="الأصل","الفرع "&amp;K154-1,VLOOKUP(F154,A:L,12,FALSE)))</f>
        <v>الفوزان</v>
      </c>
      <c r="M154" s="1" t="str">
        <f t="shared" si="1"/>
        <v>عبدالعزيز بن فوزان بن حمد -</v>
      </c>
      <c r="N154" s="1" t="str">
        <f t="shared" si="2"/>
        <v>عبدالعزيز bin فوزان bin حمد Al--</v>
      </c>
      <c r="O154" s="1" t="str">
        <f t="shared" ca="1" si="3"/>
        <v/>
      </c>
      <c r="P154" s="1">
        <f t="shared" si="4"/>
        <v>0</v>
      </c>
      <c r="Q154" s="1"/>
      <c r="R154" s="1"/>
      <c r="S154" s="1" t="str">
        <f t="shared" si="5"/>
        <v>Living</v>
      </c>
    </row>
    <row r="155" spans="1:19" ht="15.75" hidden="1" customHeight="1" x14ac:dyDescent="0.2">
      <c r="A155" s="1" t="str">
        <f t="shared" si="0"/>
        <v>P154</v>
      </c>
      <c r="B155" s="1" t="s">
        <v>100</v>
      </c>
      <c r="C155" s="20" t="s">
        <v>98</v>
      </c>
      <c r="D155" s="20" t="s">
        <v>31</v>
      </c>
      <c r="E155" s="1" t="s">
        <v>93</v>
      </c>
      <c r="F155" s="1" t="s">
        <v>222</v>
      </c>
      <c r="G155" s="1" t="s">
        <v>35</v>
      </c>
      <c r="H155" s="1"/>
      <c r="I155" s="1"/>
      <c r="J155" s="1"/>
      <c r="K155" s="1">
        <f>IF(F155="",1,IFERROR(VLOOKUP(F155,A:K,11,FALSE)+1,1))</f>
        <v>3</v>
      </c>
      <c r="L155" s="1" t="str">
        <f>IF(F155="","الأصل",IF(VLOOKUP(F155,A:L,12,FALSE)="الأصل","الفرع "&amp;K155-1,VLOOKUP(F155,A:L,12,FALSE)))</f>
        <v>الفوزان</v>
      </c>
      <c r="M155" s="1" t="str">
        <f t="shared" si="1"/>
        <v>محمد بن فوزان بن حمد -</v>
      </c>
      <c r="N155" s="1" t="str">
        <f t="shared" si="2"/>
        <v>محمد bin فوزان bin حمد Al--</v>
      </c>
      <c r="O155" s="1" t="str">
        <f t="shared" ca="1" si="3"/>
        <v/>
      </c>
      <c r="P155" s="1">
        <f t="shared" si="4"/>
        <v>0</v>
      </c>
      <c r="Q155" s="1"/>
      <c r="R155" s="1"/>
      <c r="S155" s="1" t="str">
        <f t="shared" si="5"/>
        <v>Living</v>
      </c>
    </row>
    <row r="156" spans="1:19" ht="15.75" hidden="1" customHeight="1" x14ac:dyDescent="0.2">
      <c r="A156" s="1" t="str">
        <f t="shared" si="0"/>
        <v>P155</v>
      </c>
      <c r="B156" s="1" t="s">
        <v>119</v>
      </c>
      <c r="C156" s="1" t="s">
        <v>108</v>
      </c>
      <c r="D156" s="20" t="s">
        <v>98</v>
      </c>
      <c r="E156" s="20" t="s">
        <v>31</v>
      </c>
      <c r="F156" s="20" t="s">
        <v>223</v>
      </c>
      <c r="G156" s="1" t="s">
        <v>35</v>
      </c>
      <c r="H156" s="1"/>
      <c r="I156" s="1"/>
      <c r="J156" s="1"/>
      <c r="K156" s="1">
        <f>IF(F156="",1,IFERROR(VLOOKUP(F156,A:K,11,FALSE)+1,1))</f>
        <v>4</v>
      </c>
      <c r="L156" s="1" t="str">
        <f>IF(F156="","الأصل",IF(VLOOKUP(F156,A:L,12,FALSE)="الأصل","الفرع "&amp;K156-1,VLOOKUP(F156,A:L,12,FALSE)))</f>
        <v>الفوزان</v>
      </c>
      <c r="M156" s="1" t="str">
        <f t="shared" si="1"/>
        <v>عبدالله بن عبدالعزيز بن فوزان حمد</v>
      </c>
      <c r="N156" s="1" t="str">
        <f t="shared" si="2"/>
        <v>عبدالله bin عبدالعزيز bin فوزان Al-حمد</v>
      </c>
      <c r="O156" s="1" t="str">
        <f t="shared" ca="1" si="3"/>
        <v/>
      </c>
      <c r="P156" s="1">
        <f t="shared" si="4"/>
        <v>0</v>
      </c>
      <c r="Q156" s="1"/>
      <c r="R156" s="1"/>
      <c r="S156" s="1" t="str">
        <f t="shared" si="5"/>
        <v>Living</v>
      </c>
    </row>
    <row r="157" spans="1:19" ht="15.75" hidden="1" customHeight="1" x14ac:dyDescent="0.2">
      <c r="A157" s="1" t="str">
        <f t="shared" si="0"/>
        <v>P156</v>
      </c>
      <c r="B157" s="1" t="s">
        <v>108</v>
      </c>
      <c r="C157" s="1" t="s">
        <v>119</v>
      </c>
      <c r="D157" s="1" t="s">
        <v>108</v>
      </c>
      <c r="E157" s="20" t="s">
        <v>98</v>
      </c>
      <c r="F157" s="1" t="s">
        <v>224</v>
      </c>
      <c r="G157" s="1" t="s">
        <v>35</v>
      </c>
      <c r="H157" s="1"/>
      <c r="I157" s="1"/>
      <c r="J157" s="1"/>
      <c r="K157" s="1">
        <f>IF(F157="",1,IFERROR(VLOOKUP(F157,A:K,11,FALSE)+1,1))</f>
        <v>5</v>
      </c>
      <c r="L157" s="1" t="str">
        <f>IF(F157="","الأصل",IF(VLOOKUP(F157,A:L,12,FALSE)="الأصل","الفرع "&amp;K157-1,VLOOKUP(F157,A:L,12,FALSE)))</f>
        <v>الفوزان</v>
      </c>
      <c r="M157" s="1" t="str">
        <f t="shared" si="1"/>
        <v>عبدالعزيز بن عبدالله بن عبدالعزيز فوزان</v>
      </c>
      <c r="N157" s="1" t="str">
        <f t="shared" si="2"/>
        <v>عبدالعزيز bin عبدالله bin عبدالعزيز Al-فوزان</v>
      </c>
      <c r="O157" s="1" t="str">
        <f t="shared" ca="1" si="3"/>
        <v/>
      </c>
      <c r="P157" s="1">
        <f t="shared" si="4"/>
        <v>0</v>
      </c>
      <c r="Q157" s="1"/>
      <c r="R157" s="1"/>
      <c r="S157" s="1" t="str">
        <f t="shared" si="5"/>
        <v>Living</v>
      </c>
    </row>
    <row r="158" spans="1:19" ht="15.75" hidden="1" customHeight="1" x14ac:dyDescent="0.2">
      <c r="A158" s="1" t="str">
        <f t="shared" si="0"/>
        <v>P157</v>
      </c>
      <c r="B158" s="1" t="s">
        <v>98</v>
      </c>
      <c r="C158" s="1" t="s">
        <v>108</v>
      </c>
      <c r="D158" s="20" t="s">
        <v>98</v>
      </c>
      <c r="E158" s="20" t="s">
        <v>31</v>
      </c>
      <c r="F158" s="1" t="s">
        <v>223</v>
      </c>
      <c r="G158" s="1" t="s">
        <v>35</v>
      </c>
      <c r="H158" s="1"/>
      <c r="I158" s="1"/>
      <c r="J158" s="1"/>
      <c r="K158" s="1">
        <f>IF(F158="",1,IFERROR(VLOOKUP(F158,A:K,11,FALSE)+1,1))</f>
        <v>4</v>
      </c>
      <c r="L158" s="1" t="str">
        <f>IF(F158="","الأصل",IF(VLOOKUP(F158,A:L,12,FALSE)="الأصل","الفرع "&amp;K158-1,VLOOKUP(F158,A:L,12,FALSE)))</f>
        <v>الفوزان</v>
      </c>
      <c r="M158" s="1" t="str">
        <f t="shared" si="1"/>
        <v>فوزان بن عبدالعزيز بن فوزان حمد</v>
      </c>
      <c r="N158" s="1" t="str">
        <f t="shared" si="2"/>
        <v>فوزان bin عبدالعزيز bin فوزان Al-حمد</v>
      </c>
      <c r="O158" s="1" t="str">
        <f t="shared" ca="1" si="3"/>
        <v/>
      </c>
      <c r="P158" s="1">
        <f t="shared" si="4"/>
        <v>0</v>
      </c>
      <c r="Q158" s="1"/>
      <c r="R158" s="1"/>
      <c r="S158" s="1" t="str">
        <f t="shared" si="5"/>
        <v>Living</v>
      </c>
    </row>
    <row r="159" spans="1:19" ht="15.75" hidden="1" customHeight="1" x14ac:dyDescent="0.2">
      <c r="A159" s="1" t="str">
        <f t="shared" si="0"/>
        <v>P158</v>
      </c>
      <c r="B159" s="1" t="s">
        <v>100</v>
      </c>
      <c r="C159" s="1" t="s">
        <v>98</v>
      </c>
      <c r="D159" s="1" t="s">
        <v>108</v>
      </c>
      <c r="E159" s="20" t="s">
        <v>98</v>
      </c>
      <c r="F159" s="1" t="s">
        <v>225</v>
      </c>
      <c r="G159" s="1" t="s">
        <v>35</v>
      </c>
      <c r="H159" s="1"/>
      <c r="I159" s="1"/>
      <c r="J159" s="1"/>
      <c r="K159" s="1">
        <f>IF(F159="",1,IFERROR(VLOOKUP(F159,A:K,11,FALSE)+1,1))</f>
        <v>5</v>
      </c>
      <c r="L159" s="1" t="str">
        <f>IF(F159="","الأصل",IF(VLOOKUP(F159,A:L,12,FALSE)="الأصل","الفرع "&amp;K159-1,VLOOKUP(F159,A:L,12,FALSE)))</f>
        <v>الفوزان</v>
      </c>
      <c r="M159" s="1" t="str">
        <f t="shared" si="1"/>
        <v>محمد بن فوزان بن عبدالعزيز فوزان</v>
      </c>
      <c r="N159" s="1" t="str">
        <f t="shared" si="2"/>
        <v>محمد bin فوزان bin عبدالعزيز Al-فوزان</v>
      </c>
      <c r="O159" s="1" t="str">
        <f t="shared" ca="1" si="3"/>
        <v/>
      </c>
      <c r="P159" s="1">
        <f t="shared" si="4"/>
        <v>0</v>
      </c>
      <c r="Q159" s="1"/>
      <c r="R159" s="1"/>
      <c r="S159" s="1" t="str">
        <f t="shared" si="5"/>
        <v>Living</v>
      </c>
    </row>
    <row r="160" spans="1:19" ht="15.75" hidden="1" customHeight="1" x14ac:dyDescent="0.2">
      <c r="A160" s="1" t="str">
        <f t="shared" si="0"/>
        <v>P159</v>
      </c>
      <c r="B160" s="1" t="s">
        <v>27</v>
      </c>
      <c r="C160" s="1" t="s">
        <v>98</v>
      </c>
      <c r="D160" s="1" t="s">
        <v>108</v>
      </c>
      <c r="E160" s="20" t="s">
        <v>98</v>
      </c>
      <c r="F160" s="1" t="s">
        <v>225</v>
      </c>
      <c r="G160" s="1" t="s">
        <v>35</v>
      </c>
      <c r="H160" s="1"/>
      <c r="I160" s="1"/>
      <c r="J160" s="1"/>
      <c r="K160" s="1">
        <f>IF(F160="",1,IFERROR(VLOOKUP(F160,A:K,11,FALSE)+1,1))</f>
        <v>5</v>
      </c>
      <c r="L160" s="1" t="str">
        <f>IF(F160="","الأصل",IF(VLOOKUP(F160,A:L,12,FALSE)="الأصل","الفرع "&amp;K160-1,VLOOKUP(F160,A:L,12,FALSE)))</f>
        <v>الفوزان</v>
      </c>
      <c r="M160" s="1" t="str">
        <f t="shared" si="1"/>
        <v>ابراهيم بن فوزان بن عبدالعزيز فوزان</v>
      </c>
      <c r="N160" s="1" t="str">
        <f t="shared" si="2"/>
        <v>ابراهيم bin فوزان bin عبدالعزيز Al-فوزان</v>
      </c>
      <c r="O160" s="1" t="str">
        <f t="shared" ca="1" si="3"/>
        <v/>
      </c>
      <c r="P160" s="1">
        <f t="shared" si="4"/>
        <v>0</v>
      </c>
      <c r="Q160" s="1"/>
      <c r="R160" s="1"/>
      <c r="S160" s="1" t="str">
        <f t="shared" si="5"/>
        <v>Living</v>
      </c>
    </row>
    <row r="161" spans="1:19" ht="15.75" hidden="1" customHeight="1" x14ac:dyDescent="0.2">
      <c r="A161" s="1" t="str">
        <f t="shared" si="0"/>
        <v>P160</v>
      </c>
      <c r="B161" s="1" t="s">
        <v>108</v>
      </c>
      <c r="C161" s="1" t="s">
        <v>98</v>
      </c>
      <c r="D161" s="1" t="s">
        <v>108</v>
      </c>
      <c r="E161" s="20" t="s">
        <v>98</v>
      </c>
      <c r="F161" s="1" t="s">
        <v>225</v>
      </c>
      <c r="G161" s="1" t="s">
        <v>35</v>
      </c>
      <c r="H161" s="1"/>
      <c r="I161" s="1"/>
      <c r="J161" s="1"/>
      <c r="K161" s="1">
        <f>IF(F161="",1,IFERROR(VLOOKUP(F161,A:K,11,FALSE)+1,1))</f>
        <v>5</v>
      </c>
      <c r="L161" s="1" t="str">
        <f>IF(F161="","الأصل",IF(VLOOKUP(F161,A:L,12,FALSE)="الأصل","الفرع "&amp;K161-1,VLOOKUP(F161,A:L,12,FALSE)))</f>
        <v>الفوزان</v>
      </c>
      <c r="M161" s="1" t="str">
        <f t="shared" si="1"/>
        <v>عبدالعزيز بن فوزان بن عبدالعزيز فوزان</v>
      </c>
      <c r="N161" s="1" t="str">
        <f t="shared" si="2"/>
        <v>عبدالعزيز bin فوزان bin عبدالعزيز Al-فوزان</v>
      </c>
      <c r="O161" s="1" t="str">
        <f t="shared" ca="1" si="3"/>
        <v/>
      </c>
      <c r="P161" s="1">
        <f t="shared" si="4"/>
        <v>0</v>
      </c>
      <c r="Q161" s="1"/>
      <c r="R161" s="1"/>
      <c r="S161" s="1" t="str">
        <f t="shared" si="5"/>
        <v>Living</v>
      </c>
    </row>
    <row r="162" spans="1:19" ht="15.75" hidden="1" customHeight="1" x14ac:dyDescent="0.2">
      <c r="A162" s="1" t="str">
        <f t="shared" si="0"/>
        <v>P161</v>
      </c>
      <c r="B162" s="1" t="s">
        <v>119</v>
      </c>
      <c r="C162" s="1" t="s">
        <v>27</v>
      </c>
      <c r="D162" s="1" t="s">
        <v>98</v>
      </c>
      <c r="E162" s="1" t="s">
        <v>108</v>
      </c>
      <c r="F162" s="1" t="s">
        <v>226</v>
      </c>
      <c r="G162" s="1" t="s">
        <v>35</v>
      </c>
      <c r="H162" s="1"/>
      <c r="I162" s="1"/>
      <c r="J162" s="1"/>
      <c r="K162" s="1">
        <f>IF(F162="",1,IFERROR(VLOOKUP(F162,A:K,11,FALSE)+1,1))</f>
        <v>6</v>
      </c>
      <c r="L162" s="1" t="str">
        <f>IF(F162="","الأصل",IF(VLOOKUP(F162,A:L,12,FALSE)="الأصل","الفرع "&amp;K162-1,VLOOKUP(F162,A:L,12,FALSE)))</f>
        <v>الفوزان</v>
      </c>
      <c r="M162" s="1" t="str">
        <f t="shared" si="1"/>
        <v>عبدالله بن ابراهيم بن فوزان عبدالعزيز</v>
      </c>
      <c r="N162" s="1" t="str">
        <f t="shared" si="2"/>
        <v>عبدالله bin ابراهيم bin فوزان Al-عبدالعزيز</v>
      </c>
      <c r="O162" s="1" t="str">
        <f t="shared" ca="1" si="3"/>
        <v/>
      </c>
      <c r="P162" s="1">
        <f t="shared" si="4"/>
        <v>0</v>
      </c>
      <c r="Q162" s="1"/>
      <c r="R162" s="1"/>
      <c r="S162" s="1" t="str">
        <f t="shared" si="5"/>
        <v>Living</v>
      </c>
    </row>
    <row r="163" spans="1:19" ht="15.75" hidden="1" customHeight="1" x14ac:dyDescent="0.2">
      <c r="A163" s="1" t="str">
        <f t="shared" si="0"/>
        <v>P162</v>
      </c>
      <c r="B163" s="1" t="s">
        <v>98</v>
      </c>
      <c r="C163" s="1" t="s">
        <v>27</v>
      </c>
      <c r="D163" s="1" t="s">
        <v>98</v>
      </c>
      <c r="E163" s="1" t="s">
        <v>108</v>
      </c>
      <c r="F163" s="1" t="s">
        <v>226</v>
      </c>
      <c r="G163" s="1" t="s">
        <v>35</v>
      </c>
      <c r="H163" s="1"/>
      <c r="I163" s="1"/>
      <c r="J163" s="1"/>
      <c r="K163" s="1">
        <f>IF(F163="",1,IFERROR(VLOOKUP(F163,A:K,11,FALSE)+1,1))</f>
        <v>6</v>
      </c>
      <c r="L163" s="1" t="str">
        <f>IF(F163="","الأصل",IF(VLOOKUP(F163,A:L,12,FALSE)="الأصل","الفرع "&amp;K163-1,VLOOKUP(F163,A:L,12,FALSE)))</f>
        <v>الفوزان</v>
      </c>
      <c r="M163" s="1" t="str">
        <f t="shared" si="1"/>
        <v>فوزان بن ابراهيم بن فوزان عبدالعزيز</v>
      </c>
      <c r="N163" s="1" t="str">
        <f t="shared" si="2"/>
        <v>فوزان bin ابراهيم bin فوزان Al-عبدالعزيز</v>
      </c>
      <c r="O163" s="1" t="str">
        <f t="shared" ca="1" si="3"/>
        <v/>
      </c>
      <c r="P163" s="1">
        <f t="shared" si="4"/>
        <v>0</v>
      </c>
      <c r="Q163" s="1"/>
      <c r="R163" s="1"/>
      <c r="S163" s="1" t="str">
        <f t="shared" si="5"/>
        <v>Living</v>
      </c>
    </row>
    <row r="164" spans="1:19" ht="15.75" hidden="1" customHeight="1" x14ac:dyDescent="0.2">
      <c r="A164" s="1" t="str">
        <f t="shared" si="0"/>
        <v>P163</v>
      </c>
      <c r="B164" s="1" t="s">
        <v>100</v>
      </c>
      <c r="C164" s="1" t="s">
        <v>27</v>
      </c>
      <c r="D164" s="1" t="s">
        <v>98</v>
      </c>
      <c r="E164" s="1" t="s">
        <v>108</v>
      </c>
      <c r="F164" s="1" t="s">
        <v>226</v>
      </c>
      <c r="G164" s="1" t="s">
        <v>35</v>
      </c>
      <c r="H164" s="1"/>
      <c r="I164" s="1"/>
      <c r="J164" s="1"/>
      <c r="K164" s="1">
        <f>IF(F164="",1,IFERROR(VLOOKUP(F164,A:K,11,FALSE)+1,1))</f>
        <v>6</v>
      </c>
      <c r="L164" s="1" t="str">
        <f>IF(F164="","الأصل",IF(VLOOKUP(F164,A:L,12,FALSE)="الأصل","الفرع "&amp;K164-1,VLOOKUP(F164,A:L,12,FALSE)))</f>
        <v>الفوزان</v>
      </c>
      <c r="M164" s="1" t="str">
        <f t="shared" si="1"/>
        <v>محمد بن ابراهيم بن فوزان عبدالعزيز</v>
      </c>
      <c r="N164" s="1" t="str">
        <f t="shared" si="2"/>
        <v>محمد bin ابراهيم bin فوزان Al-عبدالعزيز</v>
      </c>
      <c r="O164" s="1" t="str">
        <f t="shared" ca="1" si="3"/>
        <v/>
      </c>
      <c r="P164" s="1">
        <f t="shared" si="4"/>
        <v>0</v>
      </c>
      <c r="Q164" s="1"/>
      <c r="R164" s="1"/>
      <c r="S164" s="1" t="str">
        <f t="shared" si="5"/>
        <v>Living</v>
      </c>
    </row>
    <row r="165" spans="1:19" ht="15.75" hidden="1" customHeight="1" x14ac:dyDescent="0.2">
      <c r="A165" s="1" t="str">
        <f t="shared" si="0"/>
        <v>P164</v>
      </c>
      <c r="B165" s="1" t="s">
        <v>31</v>
      </c>
      <c r="C165" s="1" t="s">
        <v>27</v>
      </c>
      <c r="D165" s="1" t="s">
        <v>98</v>
      </c>
      <c r="E165" s="1" t="s">
        <v>108</v>
      </c>
      <c r="F165" s="1" t="s">
        <v>226</v>
      </c>
      <c r="G165" s="1" t="s">
        <v>35</v>
      </c>
      <c r="H165" s="1"/>
      <c r="I165" s="1"/>
      <c r="J165" s="1"/>
      <c r="K165" s="1">
        <f>IF(F165="",1,IFERROR(VLOOKUP(F165,A:K,11,FALSE)+1,1))</f>
        <v>6</v>
      </c>
      <c r="L165" s="1" t="str">
        <f>IF(F165="","الأصل",IF(VLOOKUP(F165,A:L,12,FALSE)="الأصل","الفرع "&amp;K165-1,VLOOKUP(F165,A:L,12,FALSE)))</f>
        <v>الفوزان</v>
      </c>
      <c r="M165" s="1" t="str">
        <f t="shared" si="1"/>
        <v>حمد بن ابراهيم بن فوزان عبدالعزيز</v>
      </c>
      <c r="N165" s="1" t="str">
        <f t="shared" si="2"/>
        <v>حمد bin ابراهيم bin فوزان Al-عبدالعزيز</v>
      </c>
      <c r="O165" s="1" t="str">
        <f t="shared" ca="1" si="3"/>
        <v/>
      </c>
      <c r="P165" s="1">
        <f t="shared" si="4"/>
        <v>0</v>
      </c>
      <c r="Q165" s="1"/>
      <c r="R165" s="1"/>
      <c r="S165" s="1" t="str">
        <f t="shared" si="5"/>
        <v>Living</v>
      </c>
    </row>
    <row r="166" spans="1:19" ht="15.75" hidden="1" customHeight="1" x14ac:dyDescent="0.2">
      <c r="A166" s="1" t="str">
        <f t="shared" si="0"/>
        <v>P165</v>
      </c>
      <c r="B166" s="1" t="s">
        <v>27</v>
      </c>
      <c r="C166" s="1" t="s">
        <v>119</v>
      </c>
      <c r="D166" s="1" t="s">
        <v>27</v>
      </c>
      <c r="E166" s="1" t="s">
        <v>98</v>
      </c>
      <c r="F166" s="1" t="s">
        <v>227</v>
      </c>
      <c r="G166" s="1" t="s">
        <v>35</v>
      </c>
      <c r="H166" s="1"/>
      <c r="I166" s="1"/>
      <c r="J166" s="1"/>
      <c r="K166" s="1">
        <f>IF(F166="",1,IFERROR(VLOOKUP(F166,A:K,11,FALSE)+1,1))</f>
        <v>7</v>
      </c>
      <c r="L166" s="1" t="str">
        <f>IF(F166="","الأصل",IF(VLOOKUP(F166,A:L,12,FALSE)="الأصل","الفرع "&amp;K166-1,VLOOKUP(F166,A:L,12,FALSE)))</f>
        <v>الفوزان</v>
      </c>
      <c r="M166" s="1" t="str">
        <f t="shared" si="1"/>
        <v>ابراهيم بن عبدالله بن ابراهيم فوزان</v>
      </c>
      <c r="N166" s="1" t="str">
        <f t="shared" si="2"/>
        <v>ابراهيم bin عبدالله bin ابراهيم Al-فوزان</v>
      </c>
      <c r="O166" s="1" t="str">
        <f t="shared" ca="1" si="3"/>
        <v/>
      </c>
      <c r="P166" s="1">
        <f t="shared" si="4"/>
        <v>0</v>
      </c>
      <c r="Q166" s="1"/>
      <c r="R166" s="1"/>
      <c r="S166" s="1" t="str">
        <f t="shared" si="5"/>
        <v>Living</v>
      </c>
    </row>
    <row r="167" spans="1:19" ht="15.75" hidden="1" customHeight="1" x14ac:dyDescent="0.2">
      <c r="A167" s="1" t="str">
        <f t="shared" si="0"/>
        <v>P166</v>
      </c>
      <c r="B167" s="1" t="s">
        <v>108</v>
      </c>
      <c r="C167" s="1" t="s">
        <v>119</v>
      </c>
      <c r="D167" s="1" t="s">
        <v>27</v>
      </c>
      <c r="E167" s="1" t="s">
        <v>98</v>
      </c>
      <c r="F167" s="1" t="s">
        <v>227</v>
      </c>
      <c r="G167" s="1" t="s">
        <v>35</v>
      </c>
      <c r="H167" s="1"/>
      <c r="I167" s="1"/>
      <c r="J167" s="1"/>
      <c r="K167" s="1">
        <f>IF(F167="",1,IFERROR(VLOOKUP(F167,A:K,11,FALSE)+1,1))</f>
        <v>7</v>
      </c>
      <c r="L167" s="1" t="str">
        <f>IF(F167="","الأصل",IF(VLOOKUP(F167,A:L,12,FALSE)="الأصل","الفرع "&amp;K167-1,VLOOKUP(F167,A:L,12,FALSE)))</f>
        <v>الفوزان</v>
      </c>
      <c r="M167" s="1" t="str">
        <f t="shared" si="1"/>
        <v>عبدالعزيز بن عبدالله بن ابراهيم فوزان</v>
      </c>
      <c r="N167" s="1" t="str">
        <f t="shared" si="2"/>
        <v>عبدالعزيز bin عبدالله bin ابراهيم Al-فوزان</v>
      </c>
      <c r="O167" s="1" t="str">
        <f t="shared" ca="1" si="3"/>
        <v/>
      </c>
      <c r="P167" s="1">
        <f t="shared" si="4"/>
        <v>0</v>
      </c>
      <c r="Q167" s="1"/>
      <c r="R167" s="1"/>
      <c r="S167" s="1" t="str">
        <f t="shared" si="5"/>
        <v>Living</v>
      </c>
    </row>
    <row r="168" spans="1:19" ht="15.75" hidden="1" customHeight="1" x14ac:dyDescent="0.2">
      <c r="A168" s="1" t="str">
        <f t="shared" si="0"/>
        <v>P167</v>
      </c>
      <c r="B168" s="1" t="s">
        <v>197</v>
      </c>
      <c r="C168" s="1" t="s">
        <v>119</v>
      </c>
      <c r="D168" s="1" t="s">
        <v>27</v>
      </c>
      <c r="E168" s="1" t="s">
        <v>98</v>
      </c>
      <c r="F168" s="1" t="s">
        <v>227</v>
      </c>
      <c r="G168" s="1" t="s">
        <v>35</v>
      </c>
      <c r="H168" s="1"/>
      <c r="I168" s="1"/>
      <c r="J168" s="1"/>
      <c r="K168" s="1">
        <f>IF(F168="",1,IFERROR(VLOOKUP(F168,A:K,11,FALSE)+1,1))</f>
        <v>7</v>
      </c>
      <c r="L168" s="1" t="str">
        <f>IF(F168="","الأصل",IF(VLOOKUP(F168,A:L,12,FALSE)="الأصل","الفرع "&amp;K168-1,VLOOKUP(F168,A:L,12,FALSE)))</f>
        <v>الفوزان</v>
      </c>
      <c r="M168" s="1" t="str">
        <f t="shared" si="1"/>
        <v>عبدالملك بن عبدالله بن ابراهيم فوزان</v>
      </c>
      <c r="N168" s="1" t="str">
        <f t="shared" si="2"/>
        <v>عبدالملك bin عبدالله bin ابراهيم Al-فوزان</v>
      </c>
      <c r="O168" s="1" t="str">
        <f t="shared" ca="1" si="3"/>
        <v/>
      </c>
      <c r="P168" s="1">
        <f t="shared" si="4"/>
        <v>0</v>
      </c>
      <c r="Q168" s="1"/>
      <c r="R168" s="1"/>
      <c r="S168" s="1" t="str">
        <f t="shared" si="5"/>
        <v>Living</v>
      </c>
    </row>
    <row r="169" spans="1:19" ht="15.75" hidden="1" customHeight="1" x14ac:dyDescent="0.2">
      <c r="A169" s="1" t="str">
        <f t="shared" si="0"/>
        <v>P168</v>
      </c>
      <c r="B169" s="1" t="s">
        <v>100</v>
      </c>
      <c r="C169" s="1" t="s">
        <v>119</v>
      </c>
      <c r="D169" s="1" t="s">
        <v>27</v>
      </c>
      <c r="E169" s="1" t="s">
        <v>98</v>
      </c>
      <c r="F169" s="1" t="s">
        <v>227</v>
      </c>
      <c r="G169" s="1" t="s">
        <v>35</v>
      </c>
      <c r="H169" s="1"/>
      <c r="I169" s="1"/>
      <c r="J169" s="1"/>
      <c r="K169" s="1">
        <f>IF(F169="",1,IFERROR(VLOOKUP(F169,A:K,11,FALSE)+1,1))</f>
        <v>7</v>
      </c>
      <c r="L169" s="1" t="str">
        <f>IF(F169="","الأصل",IF(VLOOKUP(F169,A:L,12,FALSE)="الأصل","الفرع "&amp;K169-1,VLOOKUP(F169,A:L,12,FALSE)))</f>
        <v>الفوزان</v>
      </c>
      <c r="M169" s="1" t="str">
        <f t="shared" si="1"/>
        <v>محمد بن عبدالله بن ابراهيم فوزان</v>
      </c>
      <c r="N169" s="1" t="str">
        <f t="shared" si="2"/>
        <v>محمد bin عبدالله bin ابراهيم Al-فوزان</v>
      </c>
      <c r="O169" s="1" t="str">
        <f t="shared" ca="1" si="3"/>
        <v/>
      </c>
      <c r="P169" s="1">
        <f t="shared" si="4"/>
        <v>0</v>
      </c>
      <c r="Q169" s="1"/>
      <c r="R169" s="1"/>
      <c r="S169" s="1" t="str">
        <f t="shared" si="5"/>
        <v>Living</v>
      </c>
    </row>
    <row r="170" spans="1:19" ht="15.75" hidden="1" customHeight="1" x14ac:dyDescent="0.2">
      <c r="A170" s="1" t="str">
        <f t="shared" si="0"/>
        <v>P169</v>
      </c>
      <c r="B170" s="1" t="s">
        <v>228</v>
      </c>
      <c r="C170" s="1" t="s">
        <v>98</v>
      </c>
      <c r="D170" s="1" t="s">
        <v>27</v>
      </c>
      <c r="E170" s="1" t="s">
        <v>98</v>
      </c>
      <c r="F170" s="1" t="s">
        <v>229</v>
      </c>
      <c r="G170" s="1" t="s">
        <v>35</v>
      </c>
      <c r="H170" s="1"/>
      <c r="I170" s="1"/>
      <c r="J170" s="1"/>
      <c r="K170" s="1">
        <f>IF(F170="",1,IFERROR(VLOOKUP(F170,A:K,11,FALSE)+1,1))</f>
        <v>7</v>
      </c>
      <c r="L170" s="1" t="str">
        <f>IF(F170="","الأصل",IF(VLOOKUP(F170,A:L,12,FALSE)="الأصل","الفرع "&amp;K170-1,VLOOKUP(F170,A:L,12,FALSE)))</f>
        <v>الفوزان</v>
      </c>
      <c r="M170" s="1" t="str">
        <f t="shared" si="1"/>
        <v>مازن بن فوزان بن ابراهيم فوزان</v>
      </c>
      <c r="N170" s="1" t="str">
        <f t="shared" si="2"/>
        <v>مازن bin فوزان bin ابراهيم Al-فوزان</v>
      </c>
      <c r="O170" s="1" t="str">
        <f t="shared" ca="1" si="3"/>
        <v/>
      </c>
      <c r="P170" s="1">
        <f t="shared" si="4"/>
        <v>0</v>
      </c>
      <c r="Q170" s="1"/>
      <c r="R170" s="1"/>
      <c r="S170" s="1" t="str">
        <f t="shared" si="5"/>
        <v>Living</v>
      </c>
    </row>
    <row r="171" spans="1:19" ht="15.75" hidden="1" customHeight="1" x14ac:dyDescent="0.2">
      <c r="A171" s="1" t="str">
        <f t="shared" si="0"/>
        <v>P170</v>
      </c>
      <c r="B171" s="1" t="s">
        <v>230</v>
      </c>
      <c r="C171" s="1" t="s">
        <v>98</v>
      </c>
      <c r="D171" s="1" t="s">
        <v>27</v>
      </c>
      <c r="E171" s="1" t="s">
        <v>98</v>
      </c>
      <c r="F171" s="1" t="s">
        <v>229</v>
      </c>
      <c r="G171" s="1" t="s">
        <v>35</v>
      </c>
      <c r="H171" s="1"/>
      <c r="I171" s="1"/>
      <c r="J171" s="1"/>
      <c r="K171" s="1">
        <f>IF(F171="",1,IFERROR(VLOOKUP(F171,A:K,11,FALSE)+1,1))</f>
        <v>7</v>
      </c>
      <c r="L171" s="1" t="str">
        <f>IF(F171="","الأصل",IF(VLOOKUP(F171,A:L,12,FALSE)="الأصل","الفرع "&amp;K171-1,VLOOKUP(F171,A:L,12,FALSE)))</f>
        <v>الفوزان</v>
      </c>
      <c r="M171" s="1" t="str">
        <f t="shared" si="1"/>
        <v>عامر بن فوزان بن ابراهيم فوزان</v>
      </c>
      <c r="N171" s="1" t="str">
        <f t="shared" si="2"/>
        <v>عامر bin فوزان bin ابراهيم Al-فوزان</v>
      </c>
      <c r="O171" s="1" t="str">
        <f t="shared" ca="1" si="3"/>
        <v/>
      </c>
      <c r="P171" s="1">
        <f t="shared" si="4"/>
        <v>0</v>
      </c>
      <c r="Q171" s="1"/>
      <c r="R171" s="1"/>
      <c r="S171" s="1" t="str">
        <f t="shared" si="5"/>
        <v>Living</v>
      </c>
    </row>
    <row r="172" spans="1:19" ht="15.75" hidden="1" customHeight="1" x14ac:dyDescent="0.2">
      <c r="A172" s="1" t="str">
        <f t="shared" si="0"/>
        <v>P171</v>
      </c>
      <c r="B172" s="1" t="s">
        <v>231</v>
      </c>
      <c r="C172" s="1" t="s">
        <v>98</v>
      </c>
      <c r="D172" s="1" t="s">
        <v>27</v>
      </c>
      <c r="E172" s="1" t="s">
        <v>98</v>
      </c>
      <c r="F172" s="1" t="s">
        <v>229</v>
      </c>
      <c r="G172" s="1" t="s">
        <v>35</v>
      </c>
      <c r="H172" s="1"/>
      <c r="I172" s="1"/>
      <c r="J172" s="1"/>
      <c r="K172" s="1">
        <f>IF(F172="",1,IFERROR(VLOOKUP(F172,A:K,11,FALSE)+1,1))</f>
        <v>7</v>
      </c>
      <c r="L172" s="1" t="str">
        <f>IF(F172="","الأصل",IF(VLOOKUP(F172,A:L,12,FALSE)="الأصل","الفرع "&amp;K172-1,VLOOKUP(F172,A:L,12,FALSE)))</f>
        <v>الفوزان</v>
      </c>
      <c r="M172" s="1" t="str">
        <f t="shared" si="1"/>
        <v>قتيبة بن فوزان بن ابراهيم فوزان</v>
      </c>
      <c r="N172" s="1" t="str">
        <f t="shared" si="2"/>
        <v>قتيبة bin فوزان bin ابراهيم Al-فوزان</v>
      </c>
      <c r="O172" s="1" t="str">
        <f t="shared" ca="1" si="3"/>
        <v/>
      </c>
      <c r="P172" s="1">
        <f t="shared" si="4"/>
        <v>0</v>
      </c>
      <c r="Q172" s="1"/>
      <c r="R172" s="1"/>
      <c r="S172" s="1" t="str">
        <f t="shared" si="5"/>
        <v>Living</v>
      </c>
    </row>
    <row r="173" spans="1:19" ht="15.75" hidden="1" customHeight="1" x14ac:dyDescent="0.2">
      <c r="A173" s="1" t="str">
        <f t="shared" si="0"/>
        <v>P172</v>
      </c>
      <c r="B173" s="1" t="s">
        <v>112</v>
      </c>
      <c r="C173" s="1" t="s">
        <v>100</v>
      </c>
      <c r="D173" s="1" t="s">
        <v>27</v>
      </c>
      <c r="E173" s="1" t="s">
        <v>98</v>
      </c>
      <c r="F173" s="1" t="s">
        <v>232</v>
      </c>
      <c r="G173" s="1" t="s">
        <v>35</v>
      </c>
      <c r="H173" s="1"/>
      <c r="I173" s="1"/>
      <c r="J173" s="1"/>
      <c r="K173" s="1">
        <f>IF(F173="",1,IFERROR(VLOOKUP(F173,A:K,11,FALSE)+1,1))</f>
        <v>7</v>
      </c>
      <c r="L173" s="1" t="str">
        <f>IF(F173="","الأصل",IF(VLOOKUP(F173,A:L,12,FALSE)="الأصل","الفرع "&amp;K173-1,VLOOKUP(F173,A:L,12,FALSE)))</f>
        <v>الفوزان</v>
      </c>
      <c r="M173" s="1" t="str">
        <f t="shared" si="1"/>
        <v>خالد بن محمد بن ابراهيم فوزان</v>
      </c>
      <c r="N173" s="1" t="str">
        <f t="shared" si="2"/>
        <v>خالد bin محمد bin ابراهيم Al-فوزان</v>
      </c>
      <c r="O173" s="1" t="str">
        <f t="shared" ca="1" si="3"/>
        <v/>
      </c>
      <c r="P173" s="1">
        <f t="shared" si="4"/>
        <v>0</v>
      </c>
      <c r="Q173" s="1"/>
      <c r="R173" s="1"/>
      <c r="S173" s="1" t="str">
        <f t="shared" si="5"/>
        <v>Living</v>
      </c>
    </row>
    <row r="174" spans="1:19" ht="15.75" hidden="1" customHeight="1" x14ac:dyDescent="0.2">
      <c r="A174" s="1" t="str">
        <f t="shared" si="0"/>
        <v>P173</v>
      </c>
      <c r="B174" s="1" t="s">
        <v>27</v>
      </c>
      <c r="C174" s="1" t="s">
        <v>31</v>
      </c>
      <c r="D174" s="1" t="s">
        <v>27</v>
      </c>
      <c r="E174" s="1" t="s">
        <v>98</v>
      </c>
      <c r="F174" s="1" t="s">
        <v>233</v>
      </c>
      <c r="G174" s="1" t="s">
        <v>35</v>
      </c>
      <c r="H174" s="1"/>
      <c r="I174" s="1"/>
      <c r="J174" s="1"/>
      <c r="K174" s="1">
        <f>IF(F174="",1,IFERROR(VLOOKUP(F174,A:K,11,FALSE)+1,1))</f>
        <v>7</v>
      </c>
      <c r="L174" s="1" t="str">
        <f>IF(F174="","الأصل",IF(VLOOKUP(F174,A:L,12,FALSE)="الأصل","الفرع "&amp;K174-1,VLOOKUP(F174,A:L,12,FALSE)))</f>
        <v>الفوزان</v>
      </c>
      <c r="M174" s="1" t="str">
        <f t="shared" si="1"/>
        <v>ابراهيم بن حمد بن ابراهيم فوزان</v>
      </c>
      <c r="N174" s="1" t="str">
        <f t="shared" si="2"/>
        <v>ابراهيم bin حمد bin ابراهيم Al-فوزان</v>
      </c>
      <c r="O174" s="1" t="str">
        <f t="shared" ca="1" si="3"/>
        <v/>
      </c>
      <c r="P174" s="1">
        <f t="shared" si="4"/>
        <v>0</v>
      </c>
      <c r="Q174" s="1"/>
      <c r="R174" s="1"/>
      <c r="S174" s="1" t="str">
        <f t="shared" si="5"/>
        <v>Living</v>
      </c>
    </row>
    <row r="175" spans="1:19" ht="15.75" hidden="1" customHeight="1" x14ac:dyDescent="0.2">
      <c r="A175" s="1" t="str">
        <f t="shared" si="0"/>
        <v>P174</v>
      </c>
      <c r="B175" s="1" t="s">
        <v>105</v>
      </c>
      <c r="C175" s="1" t="s">
        <v>108</v>
      </c>
      <c r="D175" s="1" t="s">
        <v>98</v>
      </c>
      <c r="E175" s="1" t="s">
        <v>108</v>
      </c>
      <c r="F175" s="1" t="s">
        <v>234</v>
      </c>
      <c r="G175" s="1" t="s">
        <v>35</v>
      </c>
      <c r="H175" s="1"/>
      <c r="I175" s="1"/>
      <c r="J175" s="1"/>
      <c r="K175" s="1">
        <f>IF(F175="",1,IFERROR(VLOOKUP(F175,A:K,11,FALSE)+1,1))</f>
        <v>6</v>
      </c>
      <c r="L175" s="1" t="str">
        <f>IF(F175="","الأصل",IF(VLOOKUP(F175,A:L,12,FALSE)="الأصل","الفرع "&amp;K175-1,VLOOKUP(F175,A:L,12,FALSE)))</f>
        <v>الفوزان</v>
      </c>
      <c r="M175" s="1" t="str">
        <f t="shared" si="1"/>
        <v>عبدالرحمن بن عبدالعزيز بن فوزان عبدالعزيز</v>
      </c>
      <c r="N175" s="1" t="str">
        <f t="shared" si="2"/>
        <v>عبدالرحمن bin عبدالعزيز bin فوزان Al-عبدالعزيز</v>
      </c>
      <c r="O175" s="1" t="str">
        <f t="shared" ca="1" si="3"/>
        <v/>
      </c>
      <c r="P175" s="1">
        <f t="shared" si="4"/>
        <v>0</v>
      </c>
      <c r="Q175" s="1"/>
      <c r="R175" s="1"/>
      <c r="S175" s="1" t="str">
        <f t="shared" si="5"/>
        <v>Living</v>
      </c>
    </row>
    <row r="176" spans="1:19" ht="15.75" hidden="1" customHeight="1" x14ac:dyDescent="0.2">
      <c r="A176" s="1" t="str">
        <f t="shared" si="0"/>
        <v>P175</v>
      </c>
      <c r="B176" s="1" t="s">
        <v>110</v>
      </c>
      <c r="C176" s="1" t="s">
        <v>108</v>
      </c>
      <c r="D176" s="1" t="s">
        <v>98</v>
      </c>
      <c r="E176" s="1" t="s">
        <v>108</v>
      </c>
      <c r="F176" s="1" t="s">
        <v>234</v>
      </c>
      <c r="G176" s="1" t="s">
        <v>35</v>
      </c>
      <c r="H176" s="1"/>
      <c r="I176" s="1"/>
      <c r="J176" s="1"/>
      <c r="K176" s="1">
        <f>IF(F176="",1,IFERROR(VLOOKUP(F176,A:K,11,FALSE)+1,1))</f>
        <v>6</v>
      </c>
      <c r="L176" s="1" t="str">
        <f>IF(F176="","الأصل",IF(VLOOKUP(F176,A:L,12,FALSE)="الأصل","الفرع "&amp;K176-1,VLOOKUP(F176,A:L,12,FALSE)))</f>
        <v>الفوزان</v>
      </c>
      <c r="M176" s="1" t="str">
        <f t="shared" si="1"/>
        <v>سعد بن عبدالعزيز بن فوزان عبدالعزيز</v>
      </c>
      <c r="N176" s="1" t="str">
        <f t="shared" si="2"/>
        <v>سعد bin عبدالعزيز bin فوزان Al-عبدالعزيز</v>
      </c>
      <c r="O176" s="1" t="str">
        <f t="shared" ca="1" si="3"/>
        <v/>
      </c>
      <c r="P176" s="1">
        <f t="shared" si="4"/>
        <v>0</v>
      </c>
      <c r="Q176" s="1"/>
      <c r="R176" s="1"/>
      <c r="S176" s="1" t="str">
        <f t="shared" si="5"/>
        <v>Living</v>
      </c>
    </row>
    <row r="177" spans="1:19" ht="15.75" hidden="1" customHeight="1" x14ac:dyDescent="0.2">
      <c r="A177" s="1" t="str">
        <f t="shared" si="0"/>
        <v>P176</v>
      </c>
      <c r="B177" s="1" t="s">
        <v>98</v>
      </c>
      <c r="C177" s="1" t="s">
        <v>108</v>
      </c>
      <c r="D177" s="1" t="s">
        <v>98</v>
      </c>
      <c r="E177" s="1" t="s">
        <v>108</v>
      </c>
      <c r="F177" s="1" t="s">
        <v>234</v>
      </c>
      <c r="G177" s="1" t="s">
        <v>35</v>
      </c>
      <c r="H177" s="1"/>
      <c r="I177" s="1"/>
      <c r="J177" s="1"/>
      <c r="K177" s="1">
        <f>IF(F177="",1,IFERROR(VLOOKUP(F177,A:K,11,FALSE)+1,1))</f>
        <v>6</v>
      </c>
      <c r="L177" s="1" t="str">
        <f>IF(F177="","الأصل",IF(VLOOKUP(F177,A:L,12,FALSE)="الأصل","الفرع "&amp;K177-1,VLOOKUP(F177,A:L,12,FALSE)))</f>
        <v>الفوزان</v>
      </c>
      <c r="M177" s="1" t="str">
        <f t="shared" si="1"/>
        <v>فوزان بن عبدالعزيز بن فوزان عبدالعزيز</v>
      </c>
      <c r="N177" s="1" t="str">
        <f t="shared" si="2"/>
        <v>فوزان bin عبدالعزيز bin فوزان Al-عبدالعزيز</v>
      </c>
      <c r="O177" s="1" t="str">
        <f t="shared" ca="1" si="3"/>
        <v/>
      </c>
      <c r="P177" s="1">
        <f t="shared" si="4"/>
        <v>0</v>
      </c>
      <c r="Q177" s="1"/>
      <c r="R177" s="1"/>
      <c r="S177" s="1" t="str">
        <f t="shared" si="5"/>
        <v>Living</v>
      </c>
    </row>
    <row r="178" spans="1:19" ht="15.75" hidden="1" customHeight="1" x14ac:dyDescent="0.2">
      <c r="A178" s="1" t="str">
        <f t="shared" si="0"/>
        <v>P177</v>
      </c>
      <c r="B178" s="1" t="s">
        <v>119</v>
      </c>
      <c r="C178" s="1" t="s">
        <v>108</v>
      </c>
      <c r="D178" s="1" t="s">
        <v>98</v>
      </c>
      <c r="E178" s="1" t="s">
        <v>108</v>
      </c>
      <c r="F178" s="1" t="s">
        <v>234</v>
      </c>
      <c r="G178" s="1" t="s">
        <v>35</v>
      </c>
      <c r="H178" s="1"/>
      <c r="I178" s="1"/>
      <c r="J178" s="1"/>
      <c r="K178" s="1">
        <f>IF(F178="",1,IFERROR(VLOOKUP(F178,A:K,11,FALSE)+1,1))</f>
        <v>6</v>
      </c>
      <c r="L178" s="1" t="str">
        <f>IF(F178="","الأصل",IF(VLOOKUP(F178,A:L,12,FALSE)="الأصل","الفرع "&amp;K178-1,VLOOKUP(F178,A:L,12,FALSE)))</f>
        <v>الفوزان</v>
      </c>
      <c r="M178" s="1" t="str">
        <f t="shared" si="1"/>
        <v>عبدالله بن عبدالعزيز بن فوزان عبدالعزيز</v>
      </c>
      <c r="N178" s="1" t="str">
        <f t="shared" si="2"/>
        <v>عبدالله bin عبدالعزيز bin فوزان Al-عبدالعزيز</v>
      </c>
      <c r="O178" s="1" t="str">
        <f t="shared" ca="1" si="3"/>
        <v/>
      </c>
      <c r="P178" s="1">
        <f t="shared" si="4"/>
        <v>0</v>
      </c>
      <c r="Q178" s="1"/>
      <c r="R178" s="1"/>
      <c r="S178" s="1" t="str">
        <f t="shared" si="5"/>
        <v>Living</v>
      </c>
    </row>
    <row r="179" spans="1:19" ht="15.75" hidden="1" customHeight="1" x14ac:dyDescent="0.2">
      <c r="A179" s="1" t="str">
        <f t="shared" si="0"/>
        <v>P178</v>
      </c>
      <c r="B179" s="1" t="s">
        <v>111</v>
      </c>
      <c r="C179" s="1" t="s">
        <v>108</v>
      </c>
      <c r="D179" s="1" t="s">
        <v>98</v>
      </c>
      <c r="E179" s="1" t="s">
        <v>108</v>
      </c>
      <c r="F179" s="1" t="s">
        <v>234</v>
      </c>
      <c r="G179" s="1" t="s">
        <v>35</v>
      </c>
      <c r="H179" s="1"/>
      <c r="I179" s="1"/>
      <c r="J179" s="1"/>
      <c r="K179" s="1">
        <f>IF(F179="",1,IFERROR(VLOOKUP(F179,A:K,11,FALSE)+1,1))</f>
        <v>6</v>
      </c>
      <c r="L179" s="1" t="str">
        <f>IF(F179="","الأصل",IF(VLOOKUP(F179,A:L,12,FALSE)="الأصل","الفرع "&amp;K179-1,VLOOKUP(F179,A:L,12,FALSE)))</f>
        <v>الفوزان</v>
      </c>
      <c r="M179" s="1" t="str">
        <f t="shared" si="1"/>
        <v>فهد بن عبدالعزيز بن فوزان عبدالعزيز</v>
      </c>
      <c r="N179" s="1" t="str">
        <f t="shared" si="2"/>
        <v>فهد bin عبدالعزيز bin فوزان Al-عبدالعزيز</v>
      </c>
      <c r="O179" s="1" t="str">
        <f t="shared" ca="1" si="3"/>
        <v/>
      </c>
      <c r="P179" s="1">
        <f t="shared" si="4"/>
        <v>0</v>
      </c>
      <c r="Q179" s="1"/>
      <c r="R179" s="1"/>
      <c r="S179" s="1" t="str">
        <f t="shared" si="5"/>
        <v>Living</v>
      </c>
    </row>
    <row r="180" spans="1:19" ht="15.75" hidden="1" customHeight="1" x14ac:dyDescent="0.2">
      <c r="A180" s="1" t="str">
        <f t="shared" si="0"/>
        <v>P179</v>
      </c>
      <c r="B180" s="1" t="s">
        <v>112</v>
      </c>
      <c r="C180" s="1" t="s">
        <v>108</v>
      </c>
      <c r="D180" s="1" t="s">
        <v>98</v>
      </c>
      <c r="E180" s="1" t="s">
        <v>108</v>
      </c>
      <c r="F180" s="1" t="s">
        <v>234</v>
      </c>
      <c r="G180" s="1" t="s">
        <v>35</v>
      </c>
      <c r="H180" s="1"/>
      <c r="I180" s="1"/>
      <c r="J180" s="1"/>
      <c r="K180" s="1">
        <f>IF(F180="",1,IFERROR(VLOOKUP(F180,A:K,11,FALSE)+1,1))</f>
        <v>6</v>
      </c>
      <c r="L180" s="1" t="str">
        <f>IF(F180="","الأصل",IF(VLOOKUP(F180,A:L,12,FALSE)="الأصل","الفرع "&amp;K180-1,VLOOKUP(F180,A:L,12,FALSE)))</f>
        <v>الفوزان</v>
      </c>
      <c r="M180" s="1" t="str">
        <f t="shared" si="1"/>
        <v>خالد بن عبدالعزيز بن فوزان عبدالعزيز</v>
      </c>
      <c r="N180" s="1" t="str">
        <f t="shared" si="2"/>
        <v>خالد bin عبدالعزيز bin فوزان Al-عبدالعزيز</v>
      </c>
      <c r="O180" s="1" t="str">
        <f t="shared" ca="1" si="3"/>
        <v/>
      </c>
      <c r="P180" s="1">
        <f t="shared" si="4"/>
        <v>0</v>
      </c>
      <c r="Q180" s="1"/>
      <c r="R180" s="1"/>
      <c r="S180" s="1" t="str">
        <f t="shared" si="5"/>
        <v>Living</v>
      </c>
    </row>
    <row r="181" spans="1:19" ht="15.75" hidden="1" customHeight="1" x14ac:dyDescent="0.2">
      <c r="A181" s="1" t="str">
        <f t="shared" si="0"/>
        <v>P180</v>
      </c>
      <c r="B181" s="1" t="s">
        <v>102</v>
      </c>
      <c r="C181" s="1" t="s">
        <v>108</v>
      </c>
      <c r="D181" s="1" t="s">
        <v>98</v>
      </c>
      <c r="E181" s="1" t="s">
        <v>108</v>
      </c>
      <c r="F181" s="1" t="s">
        <v>234</v>
      </c>
      <c r="G181" s="1" t="s">
        <v>35</v>
      </c>
      <c r="H181" s="1"/>
      <c r="I181" s="1"/>
      <c r="J181" s="1"/>
      <c r="K181" s="1">
        <f>IF(F181="",1,IFERROR(VLOOKUP(F181,A:K,11,FALSE)+1,1))</f>
        <v>6</v>
      </c>
      <c r="L181" s="1" t="str">
        <f>IF(F181="","الأصل",IF(VLOOKUP(F181,A:L,12,FALSE)="الأصل","الفرع "&amp;K181-1,VLOOKUP(F181,A:L,12,FALSE)))</f>
        <v>الفوزان</v>
      </c>
      <c r="M181" s="1" t="str">
        <f t="shared" si="1"/>
        <v>ناصر بن عبدالعزيز بن فوزان عبدالعزيز</v>
      </c>
      <c r="N181" s="1" t="str">
        <f t="shared" si="2"/>
        <v>ناصر bin عبدالعزيز bin فوزان Al-عبدالعزيز</v>
      </c>
      <c r="O181" s="1" t="str">
        <f t="shared" ca="1" si="3"/>
        <v/>
      </c>
      <c r="P181" s="1">
        <f t="shared" si="4"/>
        <v>0</v>
      </c>
      <c r="Q181" s="1"/>
      <c r="R181" s="1"/>
      <c r="S181" s="1" t="str">
        <f t="shared" si="5"/>
        <v>Living</v>
      </c>
    </row>
    <row r="182" spans="1:19" ht="15.75" hidden="1" customHeight="1" x14ac:dyDescent="0.2">
      <c r="A182" s="1" t="str">
        <f t="shared" si="0"/>
        <v>P181</v>
      </c>
      <c r="B182" s="1" t="s">
        <v>235</v>
      </c>
      <c r="C182" s="1" t="s">
        <v>108</v>
      </c>
      <c r="D182" s="1" t="s">
        <v>98</v>
      </c>
      <c r="E182" s="1" t="s">
        <v>108</v>
      </c>
      <c r="F182" s="1" t="s">
        <v>234</v>
      </c>
      <c r="G182" s="1" t="s">
        <v>35</v>
      </c>
      <c r="H182" s="1"/>
      <c r="I182" s="1"/>
      <c r="J182" s="1"/>
      <c r="K182" s="1">
        <f>IF(F182="",1,IFERROR(VLOOKUP(F182,A:K,11,FALSE)+1,1))</f>
        <v>6</v>
      </c>
      <c r="L182" s="1" t="str">
        <f>IF(F182="","الأصل",IF(VLOOKUP(F182,A:L,12,FALSE)="الأصل","الفرع "&amp;K182-1,VLOOKUP(F182,A:L,12,FALSE)))</f>
        <v>الفوزان</v>
      </c>
      <c r="M182" s="1" t="str">
        <f t="shared" si="1"/>
        <v>منصور بن عبدالعزيز بن فوزان عبدالعزيز</v>
      </c>
      <c r="N182" s="1" t="str">
        <f t="shared" si="2"/>
        <v>منصور bin عبدالعزيز bin فوزان Al-عبدالعزيز</v>
      </c>
      <c r="O182" s="1" t="str">
        <f t="shared" ca="1" si="3"/>
        <v/>
      </c>
      <c r="P182" s="1">
        <f t="shared" si="4"/>
        <v>0</v>
      </c>
      <c r="Q182" s="1"/>
      <c r="R182" s="1"/>
      <c r="S182" s="1" t="str">
        <f t="shared" si="5"/>
        <v>Living</v>
      </c>
    </row>
    <row r="183" spans="1:19" ht="15.75" hidden="1" customHeight="1" x14ac:dyDescent="0.2">
      <c r="A183" s="1" t="str">
        <f t="shared" si="0"/>
        <v>P182</v>
      </c>
      <c r="B183" s="1" t="s">
        <v>236</v>
      </c>
      <c r="C183" s="1" t="s">
        <v>108</v>
      </c>
      <c r="D183" s="1" t="s">
        <v>98</v>
      </c>
      <c r="E183" s="1" t="s">
        <v>108</v>
      </c>
      <c r="F183" s="1" t="s">
        <v>234</v>
      </c>
      <c r="G183" s="1" t="s">
        <v>35</v>
      </c>
      <c r="H183" s="1"/>
      <c r="I183" s="1"/>
      <c r="J183" s="1"/>
      <c r="K183" s="1">
        <f>IF(F183="",1,IFERROR(VLOOKUP(F183,A:K,11,FALSE)+1,1))</f>
        <v>6</v>
      </c>
      <c r="L183" s="1" t="str">
        <f>IF(F183="","الأصل",IF(VLOOKUP(F183,A:L,12,FALSE)="الأصل","الفرع "&amp;K183-1,VLOOKUP(F183,A:L,12,FALSE)))</f>
        <v>الفوزان</v>
      </c>
      <c r="M183" s="1" t="str">
        <f t="shared" si="1"/>
        <v>فواز بن عبدالعزيز بن فوزان عبدالعزيز</v>
      </c>
      <c r="N183" s="1" t="str">
        <f t="shared" si="2"/>
        <v>فواز bin عبدالعزيز bin فوزان Al-عبدالعزيز</v>
      </c>
      <c r="O183" s="1" t="str">
        <f t="shared" ca="1" si="3"/>
        <v/>
      </c>
      <c r="P183" s="1">
        <f t="shared" si="4"/>
        <v>0</v>
      </c>
      <c r="Q183" s="1"/>
      <c r="R183" s="1"/>
      <c r="S183" s="1" t="str">
        <f t="shared" si="5"/>
        <v>Living</v>
      </c>
    </row>
    <row r="184" spans="1:19" ht="15.75" hidden="1" customHeight="1" x14ac:dyDescent="0.2">
      <c r="A184" s="1" t="str">
        <f t="shared" si="0"/>
        <v>P183</v>
      </c>
      <c r="B184" s="1" t="s">
        <v>104</v>
      </c>
      <c r="C184" s="1" t="s">
        <v>108</v>
      </c>
      <c r="D184" s="1" t="s">
        <v>98</v>
      </c>
      <c r="E184" s="1" t="s">
        <v>108</v>
      </c>
      <c r="F184" s="1" t="s">
        <v>234</v>
      </c>
      <c r="G184" s="1" t="s">
        <v>35</v>
      </c>
      <c r="H184" s="1"/>
      <c r="I184" s="1"/>
      <c r="J184" s="1"/>
      <c r="K184" s="1">
        <f>IF(F184="",1,IFERROR(VLOOKUP(F184,A:K,11,FALSE)+1,1))</f>
        <v>6</v>
      </c>
      <c r="L184" s="1" t="str">
        <f>IF(F184="","الأصل",IF(VLOOKUP(F184,A:L,12,FALSE)="الأصل","الفرع "&amp;K184-1,VLOOKUP(F184,A:L,12,FALSE)))</f>
        <v>الفوزان</v>
      </c>
      <c r="M184" s="1" t="str">
        <f t="shared" si="1"/>
        <v>عبدالمحسن بن عبدالعزيز بن فوزان عبدالعزيز</v>
      </c>
      <c r="N184" s="1" t="str">
        <f t="shared" si="2"/>
        <v>عبدالمحسن bin عبدالعزيز bin فوزان Al-عبدالعزيز</v>
      </c>
      <c r="O184" s="1" t="str">
        <f t="shared" ca="1" si="3"/>
        <v/>
      </c>
      <c r="P184" s="1">
        <f t="shared" si="4"/>
        <v>0</v>
      </c>
      <c r="Q184" s="1"/>
      <c r="R184" s="1"/>
      <c r="S184" s="1" t="str">
        <f t="shared" si="5"/>
        <v>Living</v>
      </c>
    </row>
    <row r="185" spans="1:19" ht="15.75" hidden="1" customHeight="1" x14ac:dyDescent="0.2">
      <c r="A185" s="1" t="str">
        <f t="shared" si="0"/>
        <v>P184</v>
      </c>
      <c r="B185" s="1" t="s">
        <v>237</v>
      </c>
      <c r="C185" s="1" t="s">
        <v>112</v>
      </c>
      <c r="D185" s="1" t="s">
        <v>108</v>
      </c>
      <c r="E185" s="1" t="s">
        <v>98</v>
      </c>
      <c r="F185" s="1" t="s">
        <v>238</v>
      </c>
      <c r="G185" s="1" t="s">
        <v>35</v>
      </c>
      <c r="H185" s="1"/>
      <c r="I185" s="1"/>
      <c r="J185" s="1"/>
      <c r="K185" s="1">
        <f>IF(F185="",1,IFERROR(VLOOKUP(F185,A:K,11,FALSE)+1,1))</f>
        <v>7</v>
      </c>
      <c r="L185" s="1" t="str">
        <f>IF(F185="","الأصل",IF(VLOOKUP(F185,A:L,12,FALSE)="الأصل","الفرع "&amp;K185-1,VLOOKUP(F185,A:L,12,FALSE)))</f>
        <v>الفوزان</v>
      </c>
      <c r="M185" s="1" t="str">
        <f t="shared" si="1"/>
        <v>مشاري بن خالد بن عبدالعزيز فوزان</v>
      </c>
      <c r="N185" s="1" t="str">
        <f t="shared" si="2"/>
        <v>مشاري bin خالد bin عبدالعزيز Al-فوزان</v>
      </c>
      <c r="O185" s="1" t="str">
        <f t="shared" ca="1" si="3"/>
        <v/>
      </c>
      <c r="P185" s="1">
        <f t="shared" si="4"/>
        <v>0</v>
      </c>
      <c r="Q185" s="1"/>
      <c r="R185" s="1"/>
      <c r="S185" s="1" t="str">
        <f t="shared" si="5"/>
        <v>Living</v>
      </c>
    </row>
    <row r="186" spans="1:19" ht="15.75" hidden="1" customHeight="1" x14ac:dyDescent="0.2">
      <c r="A186" s="1" t="str">
        <f t="shared" si="0"/>
        <v>P185</v>
      </c>
      <c r="B186" s="1" t="s">
        <v>239</v>
      </c>
      <c r="C186" s="1" t="s">
        <v>112</v>
      </c>
      <c r="D186" s="1" t="s">
        <v>108</v>
      </c>
      <c r="E186" s="1" t="s">
        <v>98</v>
      </c>
      <c r="F186" s="1" t="s">
        <v>238</v>
      </c>
      <c r="G186" s="1" t="s">
        <v>35</v>
      </c>
      <c r="H186" s="1"/>
      <c r="I186" s="1"/>
      <c r="J186" s="1"/>
      <c r="K186" s="1">
        <f>IF(F186="",1,IFERROR(VLOOKUP(F186,A:K,11,FALSE)+1,1))</f>
        <v>7</v>
      </c>
      <c r="L186" s="1" t="str">
        <f>IF(F186="","الأصل",IF(VLOOKUP(F186,A:L,12,FALSE)="الأصل","الفرع "&amp;K186-1,VLOOKUP(F186,A:L,12,FALSE)))</f>
        <v>الفوزان</v>
      </c>
      <c r="M186" s="1" t="str">
        <f t="shared" si="1"/>
        <v>مصعب بن خالد بن عبدالعزيز فوزان</v>
      </c>
      <c r="N186" s="1" t="str">
        <f t="shared" si="2"/>
        <v>مصعب bin خالد bin عبدالعزيز Al-فوزان</v>
      </c>
      <c r="O186" s="1" t="str">
        <f t="shared" ca="1" si="3"/>
        <v/>
      </c>
      <c r="P186" s="1">
        <f t="shared" si="4"/>
        <v>0</v>
      </c>
      <c r="Q186" s="1"/>
      <c r="R186" s="1"/>
      <c r="S186" s="1" t="str">
        <f t="shared" si="5"/>
        <v>Living</v>
      </c>
    </row>
    <row r="187" spans="1:19" ht="15.75" hidden="1" customHeight="1" x14ac:dyDescent="0.2">
      <c r="A187" s="1" t="str">
        <f t="shared" si="0"/>
        <v>P186</v>
      </c>
      <c r="B187" s="1" t="s">
        <v>108</v>
      </c>
      <c r="C187" s="1" t="s">
        <v>112</v>
      </c>
      <c r="D187" s="1" t="s">
        <v>108</v>
      </c>
      <c r="E187" s="1" t="s">
        <v>98</v>
      </c>
      <c r="F187" s="1" t="s">
        <v>238</v>
      </c>
      <c r="G187" s="1" t="s">
        <v>35</v>
      </c>
      <c r="H187" s="1"/>
      <c r="I187" s="1"/>
      <c r="J187" s="1"/>
      <c r="K187" s="1">
        <f>IF(F187="",1,IFERROR(VLOOKUP(F187,A:K,11,FALSE)+1,1))</f>
        <v>7</v>
      </c>
      <c r="L187" s="1" t="str">
        <f>IF(F187="","الأصل",IF(VLOOKUP(F187,A:L,12,FALSE)="الأصل","الفرع "&amp;K187-1,VLOOKUP(F187,A:L,12,FALSE)))</f>
        <v>الفوزان</v>
      </c>
      <c r="M187" s="1" t="str">
        <f t="shared" si="1"/>
        <v>عبدالعزيز بن خالد بن عبدالعزيز فوزان</v>
      </c>
      <c r="N187" s="1" t="str">
        <f t="shared" si="2"/>
        <v>عبدالعزيز bin خالد bin عبدالعزيز Al-فوزان</v>
      </c>
      <c r="O187" s="1" t="str">
        <f t="shared" ca="1" si="3"/>
        <v/>
      </c>
      <c r="P187" s="1">
        <f t="shared" si="4"/>
        <v>0</v>
      </c>
      <c r="Q187" s="1"/>
      <c r="R187" s="1"/>
      <c r="S187" s="1" t="str">
        <f t="shared" si="5"/>
        <v>Living</v>
      </c>
    </row>
    <row r="188" spans="1:19" ht="15.75" hidden="1" customHeight="1" x14ac:dyDescent="0.2">
      <c r="A188" s="1" t="str">
        <f t="shared" si="0"/>
        <v>P187</v>
      </c>
      <c r="B188" s="1" t="s">
        <v>108</v>
      </c>
      <c r="C188" s="1" t="s">
        <v>111</v>
      </c>
      <c r="D188" s="1" t="s">
        <v>108</v>
      </c>
      <c r="E188" s="1" t="s">
        <v>98</v>
      </c>
      <c r="F188" s="1" t="s">
        <v>240</v>
      </c>
      <c r="G188" s="1" t="s">
        <v>35</v>
      </c>
      <c r="H188" s="1"/>
      <c r="I188" s="1"/>
      <c r="J188" s="1"/>
      <c r="K188" s="1">
        <f>IF(F188="",1,IFERROR(VLOOKUP(F188,A:K,11,FALSE)+1,1))</f>
        <v>7</v>
      </c>
      <c r="L188" s="1" t="str">
        <f>IF(F188="","الأصل",IF(VLOOKUP(F188,A:L,12,FALSE)="الأصل","الفرع "&amp;K188-1,VLOOKUP(F188,A:L,12,FALSE)))</f>
        <v>الفوزان</v>
      </c>
      <c r="M188" s="1" t="str">
        <f t="shared" si="1"/>
        <v>عبدالعزيز بن فهد بن عبدالعزيز فوزان</v>
      </c>
      <c r="N188" s="1" t="str">
        <f t="shared" si="2"/>
        <v>عبدالعزيز bin فهد bin عبدالعزيز Al-فوزان</v>
      </c>
      <c r="O188" s="1" t="str">
        <f t="shared" ca="1" si="3"/>
        <v/>
      </c>
      <c r="P188" s="1">
        <f t="shared" si="4"/>
        <v>0</v>
      </c>
      <c r="Q188" s="1"/>
      <c r="R188" s="1"/>
      <c r="S188" s="1" t="str">
        <f t="shared" si="5"/>
        <v>Living</v>
      </c>
    </row>
    <row r="189" spans="1:19" ht="15.75" hidden="1" customHeight="1" x14ac:dyDescent="0.2">
      <c r="A189" s="1" t="str">
        <f t="shared" si="0"/>
        <v>P188</v>
      </c>
      <c r="B189" s="1" t="s">
        <v>241</v>
      </c>
      <c r="C189" s="1" t="s">
        <v>111</v>
      </c>
      <c r="D189" s="1" t="s">
        <v>108</v>
      </c>
      <c r="E189" s="1" t="s">
        <v>98</v>
      </c>
      <c r="F189" s="1" t="s">
        <v>240</v>
      </c>
      <c r="G189" s="1" t="s">
        <v>35</v>
      </c>
      <c r="H189" s="1"/>
      <c r="I189" s="1"/>
      <c r="J189" s="1"/>
      <c r="K189" s="1">
        <f>IF(F189="",1,IFERROR(VLOOKUP(F189,A:K,11,FALSE)+1,1))</f>
        <v>7</v>
      </c>
      <c r="L189" s="1" t="str">
        <f>IF(F189="","الأصل",IF(VLOOKUP(F189,A:L,12,FALSE)="الأصل","الفرع "&amp;K189-1,VLOOKUP(F189,A:L,12,FALSE)))</f>
        <v>الفوزان</v>
      </c>
      <c r="M189" s="1" t="str">
        <f t="shared" si="1"/>
        <v>عمر بن فهد بن عبدالعزيز فوزان</v>
      </c>
      <c r="N189" s="1" t="str">
        <f t="shared" si="2"/>
        <v>عمر bin فهد bin عبدالعزيز Al-فوزان</v>
      </c>
      <c r="O189" s="1" t="str">
        <f t="shared" ca="1" si="3"/>
        <v/>
      </c>
      <c r="P189" s="1">
        <f t="shared" si="4"/>
        <v>0</v>
      </c>
      <c r="Q189" s="1"/>
      <c r="R189" s="1"/>
      <c r="S189" s="1" t="str">
        <f t="shared" si="5"/>
        <v>Living</v>
      </c>
    </row>
    <row r="190" spans="1:19" ht="15.75" hidden="1" customHeight="1" x14ac:dyDescent="0.2">
      <c r="A190" s="1" t="str">
        <f t="shared" si="0"/>
        <v>P189</v>
      </c>
      <c r="B190" s="1" t="s">
        <v>242</v>
      </c>
      <c r="C190" s="1" t="s">
        <v>111</v>
      </c>
      <c r="D190" s="1" t="s">
        <v>108</v>
      </c>
      <c r="E190" s="1" t="s">
        <v>98</v>
      </c>
      <c r="F190" s="1" t="s">
        <v>240</v>
      </c>
      <c r="G190" s="1" t="s">
        <v>35</v>
      </c>
      <c r="H190" s="1"/>
      <c r="I190" s="1"/>
      <c r="J190" s="1"/>
      <c r="K190" s="1">
        <f>IF(F190="",1,IFERROR(VLOOKUP(F190,A:K,11,FALSE)+1,1))</f>
        <v>7</v>
      </c>
      <c r="L190" s="1" t="str">
        <f>IF(F190="","الأصل",IF(VLOOKUP(F190,A:L,12,FALSE)="الأصل","الفرع "&amp;K190-1,VLOOKUP(F190,A:L,12,FALSE)))</f>
        <v>الفوزان</v>
      </c>
      <c r="M190" s="1" t="str">
        <f t="shared" si="1"/>
        <v>عاصم بن فهد بن عبدالعزيز فوزان</v>
      </c>
      <c r="N190" s="1" t="str">
        <f t="shared" si="2"/>
        <v>عاصم bin فهد bin عبدالعزيز Al-فوزان</v>
      </c>
      <c r="O190" s="1" t="str">
        <f t="shared" ca="1" si="3"/>
        <v/>
      </c>
      <c r="P190" s="1">
        <f t="shared" si="4"/>
        <v>0</v>
      </c>
      <c r="Q190" s="1"/>
      <c r="R190" s="1"/>
      <c r="S190" s="1" t="str">
        <f t="shared" si="5"/>
        <v>Living</v>
      </c>
    </row>
    <row r="191" spans="1:19" ht="15.75" hidden="1" customHeight="1" x14ac:dyDescent="0.2">
      <c r="A191" s="1" t="str">
        <f t="shared" si="0"/>
        <v>P190</v>
      </c>
      <c r="B191" s="1" t="s">
        <v>27</v>
      </c>
      <c r="C191" s="1" t="s">
        <v>119</v>
      </c>
      <c r="D191" s="1" t="s">
        <v>108</v>
      </c>
      <c r="E191" s="1" t="s">
        <v>98</v>
      </c>
      <c r="F191" s="1" t="s">
        <v>243</v>
      </c>
      <c r="G191" s="1" t="s">
        <v>35</v>
      </c>
      <c r="H191" s="1"/>
      <c r="I191" s="1"/>
      <c r="J191" s="1"/>
      <c r="K191" s="1">
        <f>IF(F191="",1,IFERROR(VLOOKUP(F191,A:K,11,FALSE)+1,1))</f>
        <v>7</v>
      </c>
      <c r="L191" s="1" t="str">
        <f>IF(F191="","الأصل",IF(VLOOKUP(F191,A:L,12,FALSE)="الأصل","الفرع "&amp;K191-1,VLOOKUP(F191,A:L,12,FALSE)))</f>
        <v>الفوزان</v>
      </c>
      <c r="M191" s="1" t="str">
        <f t="shared" si="1"/>
        <v>ابراهيم بن عبدالله بن عبدالعزيز فوزان</v>
      </c>
      <c r="N191" s="1" t="str">
        <f t="shared" si="2"/>
        <v>ابراهيم bin عبدالله bin عبدالعزيز Al-فوزان</v>
      </c>
      <c r="O191" s="1" t="str">
        <f t="shared" ca="1" si="3"/>
        <v/>
      </c>
      <c r="P191" s="1">
        <f t="shared" si="4"/>
        <v>0</v>
      </c>
      <c r="Q191" s="1"/>
      <c r="R191" s="1"/>
      <c r="S191" s="1" t="str">
        <f t="shared" si="5"/>
        <v>Living</v>
      </c>
    </row>
    <row r="192" spans="1:19" ht="15.75" hidden="1" customHeight="1" x14ac:dyDescent="0.2">
      <c r="A192" s="1" t="str">
        <f t="shared" si="0"/>
        <v>P191</v>
      </c>
      <c r="B192" s="1" t="s">
        <v>111</v>
      </c>
      <c r="C192" s="1" t="s">
        <v>98</v>
      </c>
      <c r="D192" s="1" t="s">
        <v>108</v>
      </c>
      <c r="E192" s="1" t="s">
        <v>98</v>
      </c>
      <c r="F192" s="1" t="s">
        <v>244</v>
      </c>
      <c r="G192" s="1" t="s">
        <v>35</v>
      </c>
      <c r="H192" s="1"/>
      <c r="I192" s="1"/>
      <c r="J192" s="1"/>
      <c r="K192" s="1">
        <f>IF(F192="",1,IFERROR(VLOOKUP(F192,A:K,11,FALSE)+1,1))</f>
        <v>7</v>
      </c>
      <c r="L192" s="1" t="str">
        <f>IF(F192="","الأصل",IF(VLOOKUP(F192,A:L,12,FALSE)="الأصل","الفرع "&amp;K192-1,VLOOKUP(F192,A:L,12,FALSE)))</f>
        <v>الفوزان</v>
      </c>
      <c r="M192" s="1" t="str">
        <f t="shared" si="1"/>
        <v>فهد بن فوزان بن عبدالعزيز فوزان</v>
      </c>
      <c r="N192" s="1" t="str">
        <f t="shared" si="2"/>
        <v>فهد bin فوزان bin عبدالعزيز Al-فوزان</v>
      </c>
      <c r="O192" s="1" t="str">
        <f t="shared" ca="1" si="3"/>
        <v/>
      </c>
      <c r="P192" s="1">
        <f t="shared" si="4"/>
        <v>0</v>
      </c>
      <c r="Q192" s="1"/>
      <c r="R192" s="1"/>
      <c r="S192" s="1" t="str">
        <f t="shared" si="5"/>
        <v>Living</v>
      </c>
    </row>
    <row r="193" spans="1:19" ht="15.75" hidden="1" customHeight="1" x14ac:dyDescent="0.2">
      <c r="A193" s="1" t="str">
        <f t="shared" si="0"/>
        <v>P192</v>
      </c>
      <c r="B193" s="1" t="s">
        <v>100</v>
      </c>
      <c r="C193" s="1" t="s">
        <v>98</v>
      </c>
      <c r="D193" s="1" t="s">
        <v>108</v>
      </c>
      <c r="E193" s="1" t="s">
        <v>98</v>
      </c>
      <c r="F193" s="1" t="s">
        <v>244</v>
      </c>
      <c r="G193" s="1" t="s">
        <v>35</v>
      </c>
      <c r="H193" s="1"/>
      <c r="I193" s="1"/>
      <c r="J193" s="1"/>
      <c r="K193" s="1">
        <f>IF(F193="",1,IFERROR(VLOOKUP(F193,A:K,11,FALSE)+1,1))</f>
        <v>7</v>
      </c>
      <c r="L193" s="1" t="str">
        <f>IF(F193="","الأصل",IF(VLOOKUP(F193,A:L,12,FALSE)="الأصل","الفرع "&amp;K193-1,VLOOKUP(F193,A:L,12,FALSE)))</f>
        <v>الفوزان</v>
      </c>
      <c r="M193" s="1" t="str">
        <f t="shared" si="1"/>
        <v>محمد بن فوزان بن عبدالعزيز فوزان</v>
      </c>
      <c r="N193" s="1" t="str">
        <f t="shared" si="2"/>
        <v>محمد bin فوزان bin عبدالعزيز Al-فوزان</v>
      </c>
      <c r="O193" s="1" t="str">
        <f t="shared" ca="1" si="3"/>
        <v/>
      </c>
      <c r="P193" s="1">
        <f t="shared" si="4"/>
        <v>0</v>
      </c>
      <c r="Q193" s="1"/>
      <c r="R193" s="1"/>
      <c r="S193" s="1" t="str">
        <f t="shared" si="5"/>
        <v>Living</v>
      </c>
    </row>
    <row r="194" spans="1:19" ht="15.75" hidden="1" customHeight="1" x14ac:dyDescent="0.2">
      <c r="A194" s="1" t="str">
        <f t="shared" si="0"/>
        <v>P193</v>
      </c>
      <c r="B194" s="1" t="s">
        <v>245</v>
      </c>
      <c r="C194" s="1" t="s">
        <v>98</v>
      </c>
      <c r="D194" s="1" t="s">
        <v>108</v>
      </c>
      <c r="E194" s="1" t="s">
        <v>98</v>
      </c>
      <c r="F194" s="1" t="s">
        <v>244</v>
      </c>
      <c r="G194" s="1" t="s">
        <v>35</v>
      </c>
      <c r="H194" s="1"/>
      <c r="I194" s="1"/>
      <c r="J194" s="1"/>
      <c r="K194" s="1">
        <f>IF(F194="",1,IFERROR(VLOOKUP(F194,A:K,11,FALSE)+1,1))</f>
        <v>7</v>
      </c>
      <c r="L194" s="1" t="str">
        <f>IF(F194="","الأصل",IF(VLOOKUP(F194,A:L,12,FALSE)="الأصل","الفرع "&amp;K194-1,VLOOKUP(F194,A:L,12,FALSE)))</f>
        <v>الفوزان</v>
      </c>
      <c r="M194" s="1" t="str">
        <f t="shared" si="1"/>
        <v>مشعل بن فوزان بن عبدالعزيز فوزان</v>
      </c>
      <c r="N194" s="1" t="str">
        <f t="shared" si="2"/>
        <v>مشعل bin فوزان bin عبدالعزيز Al-فوزان</v>
      </c>
      <c r="O194" s="1" t="str">
        <f t="shared" ca="1" si="3"/>
        <v/>
      </c>
      <c r="P194" s="1">
        <f t="shared" si="4"/>
        <v>0</v>
      </c>
      <c r="Q194" s="1"/>
      <c r="R194" s="1"/>
      <c r="S194" s="1" t="str">
        <f t="shared" si="5"/>
        <v>Living</v>
      </c>
    </row>
    <row r="195" spans="1:19" ht="15.75" hidden="1" customHeight="1" x14ac:dyDescent="0.2">
      <c r="A195" s="1" t="str">
        <f t="shared" si="0"/>
        <v>P194</v>
      </c>
      <c r="B195" s="1" t="s">
        <v>246</v>
      </c>
      <c r="C195" s="1" t="s">
        <v>110</v>
      </c>
      <c r="D195" s="1" t="s">
        <v>108</v>
      </c>
      <c r="E195" s="1" t="s">
        <v>98</v>
      </c>
      <c r="F195" s="1" t="s">
        <v>247</v>
      </c>
      <c r="G195" s="1" t="s">
        <v>35</v>
      </c>
      <c r="H195" s="1"/>
      <c r="I195" s="1"/>
      <c r="J195" s="1"/>
      <c r="K195" s="1">
        <f>IF(F195="",1,IFERROR(VLOOKUP(F195,A:K,11,FALSE)+1,1))</f>
        <v>7</v>
      </c>
      <c r="L195" s="1" t="str">
        <f>IF(F195="","الأصل",IF(VLOOKUP(F195,A:L,12,FALSE)="الأصل","الفرع "&amp;K195-1,VLOOKUP(F195,A:L,12,FALSE)))</f>
        <v>الفوزان</v>
      </c>
      <c r="M195" s="1" t="str">
        <f t="shared" si="1"/>
        <v>سعود بن سعد بن عبدالعزيز فوزان</v>
      </c>
      <c r="N195" s="1" t="str">
        <f t="shared" si="2"/>
        <v>سعود bin سعد bin عبدالعزيز Al-فوزان</v>
      </c>
      <c r="O195" s="1" t="str">
        <f t="shared" ca="1" si="3"/>
        <v/>
      </c>
      <c r="P195" s="1">
        <f t="shared" si="4"/>
        <v>0</v>
      </c>
      <c r="Q195" s="1"/>
      <c r="R195" s="1"/>
      <c r="S195" s="1" t="str">
        <f t="shared" si="5"/>
        <v>Living</v>
      </c>
    </row>
    <row r="196" spans="1:19" ht="15.75" hidden="1" customHeight="1" x14ac:dyDescent="0.2">
      <c r="A196" s="1" t="str">
        <f t="shared" si="0"/>
        <v>P195</v>
      </c>
      <c r="B196" s="1" t="s">
        <v>119</v>
      </c>
      <c r="C196" s="1" t="s">
        <v>246</v>
      </c>
      <c r="D196" s="1" t="s">
        <v>110</v>
      </c>
      <c r="E196" s="1" t="s">
        <v>108</v>
      </c>
      <c r="F196" s="1" t="s">
        <v>248</v>
      </c>
      <c r="G196" s="1" t="s">
        <v>35</v>
      </c>
      <c r="H196" s="1"/>
      <c r="I196" s="1"/>
      <c r="J196" s="1"/>
      <c r="K196" s="1">
        <f>IF(F196="",1,IFERROR(VLOOKUP(F196,A:K,11,FALSE)+1,1))</f>
        <v>8</v>
      </c>
      <c r="L196" s="1" t="str">
        <f>IF(F196="","الأصل",IF(VLOOKUP(F196,A:L,12,FALSE)="الأصل","الفرع "&amp;K196-1,VLOOKUP(F196,A:L,12,FALSE)))</f>
        <v>الفوزان</v>
      </c>
      <c r="M196" s="1" t="str">
        <f t="shared" si="1"/>
        <v>عبدالله بن سعود بن سعد عبدالعزيز</v>
      </c>
      <c r="N196" s="1" t="str">
        <f t="shared" si="2"/>
        <v>عبدالله bin سعود bin سعد Al-عبدالعزيز</v>
      </c>
      <c r="O196" s="1" t="str">
        <f t="shared" ca="1" si="3"/>
        <v/>
      </c>
      <c r="P196" s="1">
        <f t="shared" si="4"/>
        <v>0</v>
      </c>
      <c r="Q196" s="1"/>
      <c r="R196" s="1"/>
      <c r="S196" s="1" t="str">
        <f t="shared" si="5"/>
        <v>Living</v>
      </c>
    </row>
    <row r="197" spans="1:19" ht="15.75" hidden="1" customHeight="1" x14ac:dyDescent="0.2">
      <c r="A197" s="1" t="str">
        <f t="shared" si="0"/>
        <v>P196</v>
      </c>
      <c r="B197" s="1" t="s">
        <v>249</v>
      </c>
      <c r="C197" s="1" t="s">
        <v>246</v>
      </c>
      <c r="D197" s="1" t="s">
        <v>110</v>
      </c>
      <c r="E197" s="1" t="s">
        <v>108</v>
      </c>
      <c r="F197" s="1" t="s">
        <v>248</v>
      </c>
      <c r="G197" s="1" t="s">
        <v>35</v>
      </c>
      <c r="H197" s="1"/>
      <c r="I197" s="1"/>
      <c r="J197" s="1"/>
      <c r="K197" s="1">
        <f>IF(F197="",1,IFERROR(VLOOKUP(F197,A:K,11,FALSE)+1,1))</f>
        <v>8</v>
      </c>
      <c r="L197" s="1" t="str">
        <f>IF(F197="","الأصل",IF(VLOOKUP(F197,A:L,12,FALSE)="الأصل","الفرع "&amp;K197-1,VLOOKUP(F197,A:L,12,FALSE)))</f>
        <v>الفوزان</v>
      </c>
      <c r="M197" s="1" t="str">
        <f t="shared" si="1"/>
        <v>اسامه بن سعود بن سعد عبدالعزيز</v>
      </c>
      <c r="N197" s="1" t="str">
        <f t="shared" si="2"/>
        <v>اسامه bin سعود bin سعد Al-عبدالعزيز</v>
      </c>
      <c r="O197" s="1" t="str">
        <f t="shared" ca="1" si="3"/>
        <v/>
      </c>
      <c r="P197" s="1">
        <f t="shared" si="4"/>
        <v>0</v>
      </c>
      <c r="Q197" s="1"/>
      <c r="R197" s="1"/>
      <c r="S197" s="1" t="str">
        <f t="shared" si="5"/>
        <v>Living</v>
      </c>
    </row>
    <row r="198" spans="1:19" ht="15.75" hidden="1" customHeight="1" x14ac:dyDescent="0.2">
      <c r="A198" s="1" t="str">
        <f t="shared" si="0"/>
        <v>P197</v>
      </c>
      <c r="B198" s="1" t="s">
        <v>119</v>
      </c>
      <c r="C198" s="1" t="s">
        <v>110</v>
      </c>
      <c r="D198" s="1" t="s">
        <v>108</v>
      </c>
      <c r="E198" s="1" t="s">
        <v>98</v>
      </c>
      <c r="F198" s="1" t="s">
        <v>247</v>
      </c>
      <c r="G198" s="1" t="s">
        <v>35</v>
      </c>
      <c r="H198" s="1"/>
      <c r="I198" s="1"/>
      <c r="J198" s="1"/>
      <c r="K198" s="1">
        <f>IF(F198="",1,IFERROR(VLOOKUP(F198,A:K,11,FALSE)+1,1))</f>
        <v>7</v>
      </c>
      <c r="L198" s="1" t="str">
        <f>IF(F198="","الأصل",IF(VLOOKUP(F198,A:L,12,FALSE)="الأصل","الفرع "&amp;K198-1,VLOOKUP(F198,A:L,12,FALSE)))</f>
        <v>الفوزان</v>
      </c>
      <c r="M198" s="1" t="str">
        <f t="shared" si="1"/>
        <v>عبدالله بن سعد بن عبدالعزيز فوزان</v>
      </c>
      <c r="N198" s="1" t="str">
        <f t="shared" si="2"/>
        <v>عبدالله bin سعد bin عبدالعزيز Al-فوزان</v>
      </c>
      <c r="O198" s="1" t="str">
        <f t="shared" ca="1" si="3"/>
        <v/>
      </c>
      <c r="P198" s="1">
        <f t="shared" si="4"/>
        <v>0</v>
      </c>
      <c r="Q198" s="1"/>
      <c r="R198" s="1"/>
      <c r="S198" s="1" t="str">
        <f t="shared" si="5"/>
        <v>Living</v>
      </c>
    </row>
    <row r="199" spans="1:19" ht="15.75" hidden="1" customHeight="1" x14ac:dyDescent="0.2">
      <c r="A199" s="1" t="str">
        <f t="shared" si="0"/>
        <v>P198</v>
      </c>
      <c r="B199" s="1" t="s">
        <v>110</v>
      </c>
      <c r="C199" s="1" t="s">
        <v>119</v>
      </c>
      <c r="D199" s="1" t="s">
        <v>110</v>
      </c>
      <c r="E199" s="1" t="s">
        <v>108</v>
      </c>
      <c r="F199" s="1" t="s">
        <v>250</v>
      </c>
      <c r="G199" s="1" t="s">
        <v>35</v>
      </c>
      <c r="H199" s="1"/>
      <c r="I199" s="1"/>
      <c r="J199" s="1"/>
      <c r="K199" s="1">
        <f>IF(F199="",1,IFERROR(VLOOKUP(F199,A:K,11,FALSE)+1,1))</f>
        <v>8</v>
      </c>
      <c r="L199" s="1" t="str">
        <f>IF(F199="","الأصل",IF(VLOOKUP(F199,A:L,12,FALSE)="الأصل","الفرع "&amp;K199-1,VLOOKUP(F199,A:L,12,FALSE)))</f>
        <v>الفوزان</v>
      </c>
      <c r="M199" s="1" t="str">
        <f t="shared" si="1"/>
        <v>سعد بن عبدالله بن سعد عبدالعزيز</v>
      </c>
      <c r="N199" s="1" t="str">
        <f t="shared" si="2"/>
        <v>سعد bin عبدالله bin سعد Al-عبدالعزيز</v>
      </c>
      <c r="O199" s="1" t="str">
        <f t="shared" ca="1" si="3"/>
        <v/>
      </c>
      <c r="P199" s="1">
        <f t="shared" si="4"/>
        <v>0</v>
      </c>
      <c r="Q199" s="1"/>
      <c r="R199" s="1"/>
      <c r="S199" s="1" t="str">
        <f t="shared" si="5"/>
        <v>Living</v>
      </c>
    </row>
    <row r="200" spans="1:19" ht="15.75" hidden="1" customHeight="1" x14ac:dyDescent="0.2">
      <c r="A200" s="1" t="str">
        <f t="shared" si="0"/>
        <v>P199</v>
      </c>
      <c r="B200" s="1" t="s">
        <v>100</v>
      </c>
      <c r="C200" s="1" t="s">
        <v>110</v>
      </c>
      <c r="D200" s="1" t="s">
        <v>108</v>
      </c>
      <c r="E200" s="1" t="s">
        <v>98</v>
      </c>
      <c r="F200" s="1" t="s">
        <v>247</v>
      </c>
      <c r="G200" s="1" t="s">
        <v>35</v>
      </c>
      <c r="H200" s="1"/>
      <c r="I200" s="1"/>
      <c r="J200" s="1"/>
      <c r="K200" s="1">
        <f>IF(F200="",1,IFERROR(VLOOKUP(F200,A:K,11,FALSE)+1,1))</f>
        <v>7</v>
      </c>
      <c r="L200" s="1" t="str">
        <f>IF(F200="","الأصل",IF(VLOOKUP(F200,A:L,12,FALSE)="الأصل","الفرع "&amp;K200-1,VLOOKUP(F200,A:L,12,FALSE)))</f>
        <v>الفوزان</v>
      </c>
      <c r="M200" s="1" t="str">
        <f t="shared" si="1"/>
        <v>محمد بن سعد بن عبدالعزيز فوزان</v>
      </c>
      <c r="N200" s="1" t="str">
        <f t="shared" si="2"/>
        <v>محمد bin سعد bin عبدالعزيز Al-فوزان</v>
      </c>
      <c r="O200" s="1" t="str">
        <f t="shared" ca="1" si="3"/>
        <v/>
      </c>
      <c r="P200" s="1">
        <f t="shared" si="4"/>
        <v>0</v>
      </c>
      <c r="Q200" s="1"/>
      <c r="R200" s="1"/>
      <c r="S200" s="1" t="str">
        <f t="shared" si="5"/>
        <v>Living</v>
      </c>
    </row>
    <row r="201" spans="1:19" ht="15.75" hidden="1" customHeight="1" x14ac:dyDescent="0.2">
      <c r="A201" s="1" t="str">
        <f t="shared" si="0"/>
        <v>P200</v>
      </c>
      <c r="B201" s="1" t="s">
        <v>251</v>
      </c>
      <c r="C201" s="1" t="s">
        <v>110</v>
      </c>
      <c r="D201" s="1" t="s">
        <v>108</v>
      </c>
      <c r="E201" s="1" t="s">
        <v>98</v>
      </c>
      <c r="F201" s="1" t="s">
        <v>247</v>
      </c>
      <c r="G201" s="1" t="s">
        <v>35</v>
      </c>
      <c r="H201" s="1"/>
      <c r="I201" s="1"/>
      <c r="J201" s="1"/>
      <c r="K201" s="1">
        <f>IF(F201="",1,IFERROR(VLOOKUP(F201,A:K,11,FALSE)+1,1))</f>
        <v>7</v>
      </c>
      <c r="L201" s="1" t="str">
        <f>IF(F201="","الأصل",IF(VLOOKUP(F201,A:L,12,FALSE)="الأصل","الفرع "&amp;K201-1,VLOOKUP(F201,A:L,12,FALSE)))</f>
        <v>الفوزان</v>
      </c>
      <c r="M201" s="1" t="str">
        <f t="shared" si="1"/>
        <v>صالح بن سعد بن عبدالعزيز فوزان</v>
      </c>
      <c r="N201" s="1" t="str">
        <f t="shared" si="2"/>
        <v>صالح bin سعد bin عبدالعزيز Al-فوزان</v>
      </c>
      <c r="O201" s="1" t="str">
        <f t="shared" ca="1" si="3"/>
        <v/>
      </c>
      <c r="P201" s="1">
        <f t="shared" si="4"/>
        <v>0</v>
      </c>
      <c r="Q201" s="1"/>
      <c r="R201" s="1"/>
      <c r="S201" s="1" t="str">
        <f t="shared" si="5"/>
        <v>Living</v>
      </c>
    </row>
    <row r="202" spans="1:19" ht="15.75" hidden="1" customHeight="1" x14ac:dyDescent="0.2">
      <c r="A202" s="1" t="str">
        <f t="shared" si="0"/>
        <v>P201</v>
      </c>
      <c r="B202" s="1" t="s">
        <v>142</v>
      </c>
      <c r="C202" s="1" t="s">
        <v>110</v>
      </c>
      <c r="D202" s="1" t="s">
        <v>108</v>
      </c>
      <c r="E202" s="1" t="s">
        <v>98</v>
      </c>
      <c r="F202" s="1" t="s">
        <v>247</v>
      </c>
      <c r="G202" s="1" t="s">
        <v>35</v>
      </c>
      <c r="H202" s="1"/>
      <c r="I202" s="1"/>
      <c r="J202" s="1"/>
      <c r="K202" s="1">
        <f>IF(F202="",1,IFERROR(VLOOKUP(F202,A:K,11,FALSE)+1,1))</f>
        <v>7</v>
      </c>
      <c r="L202" s="1" t="str">
        <f>IF(F202="","الأصل",IF(VLOOKUP(F202,A:L,12,FALSE)="الأصل","الفرع "&amp;K202-1,VLOOKUP(F202,A:L,12,FALSE)))</f>
        <v>الفوزان</v>
      </c>
      <c r="M202" s="1" t="str">
        <f t="shared" si="1"/>
        <v>تميم بن سعد بن عبدالعزيز فوزان</v>
      </c>
      <c r="N202" s="1" t="str">
        <f t="shared" si="2"/>
        <v>تميم bin سعد bin عبدالعزيز Al-فوزان</v>
      </c>
      <c r="O202" s="1" t="str">
        <f t="shared" ca="1" si="3"/>
        <v/>
      </c>
      <c r="P202" s="1">
        <f t="shared" si="4"/>
        <v>0</v>
      </c>
      <c r="Q202" s="1"/>
      <c r="R202" s="1"/>
      <c r="S202" s="1" t="str">
        <f t="shared" si="5"/>
        <v>Living</v>
      </c>
    </row>
    <row r="203" spans="1:19" ht="15.75" hidden="1" customHeight="1" x14ac:dyDescent="0.2">
      <c r="A203" s="1" t="str">
        <f t="shared" si="0"/>
        <v>P202</v>
      </c>
      <c r="B203" s="1" t="s">
        <v>100</v>
      </c>
      <c r="C203" s="1" t="s">
        <v>105</v>
      </c>
      <c r="D203" s="1" t="s">
        <v>108</v>
      </c>
      <c r="E203" s="1" t="s">
        <v>98</v>
      </c>
      <c r="F203" s="1" t="s">
        <v>252</v>
      </c>
      <c r="G203" s="1" t="s">
        <v>35</v>
      </c>
      <c r="H203" s="1"/>
      <c r="I203" s="1"/>
      <c r="J203" s="1"/>
      <c r="K203" s="1">
        <f>IF(F203="",1,IFERROR(VLOOKUP(F203,A:K,11,FALSE)+1,1))</f>
        <v>7</v>
      </c>
      <c r="L203" s="1" t="str">
        <f>IF(F203="","الأصل",IF(VLOOKUP(F203,A:L,12,FALSE)="الأصل","الفرع "&amp;K203-1,VLOOKUP(F203,A:L,12,FALSE)))</f>
        <v>الفوزان</v>
      </c>
      <c r="M203" s="1" t="str">
        <f t="shared" si="1"/>
        <v>محمد بن عبدالرحمن بن عبدالعزيز فوزان</v>
      </c>
      <c r="N203" s="1" t="str">
        <f t="shared" si="2"/>
        <v>محمد bin عبدالرحمن bin عبدالعزيز Al-فوزان</v>
      </c>
      <c r="O203" s="1" t="str">
        <f t="shared" ca="1" si="3"/>
        <v/>
      </c>
      <c r="P203" s="1">
        <f t="shared" si="4"/>
        <v>0</v>
      </c>
      <c r="Q203" s="1"/>
      <c r="R203" s="1"/>
      <c r="S203" s="1" t="str">
        <f t="shared" si="5"/>
        <v>Living</v>
      </c>
    </row>
    <row r="204" spans="1:19" ht="15.75" hidden="1" customHeight="1" x14ac:dyDescent="0.2">
      <c r="A204" s="1" t="str">
        <f t="shared" si="0"/>
        <v>P203</v>
      </c>
      <c r="B204" s="1" t="s">
        <v>119</v>
      </c>
      <c r="C204" s="1" t="s">
        <v>105</v>
      </c>
      <c r="D204" s="1" t="s">
        <v>108</v>
      </c>
      <c r="E204" s="1" t="s">
        <v>98</v>
      </c>
      <c r="F204" s="1" t="s">
        <v>252</v>
      </c>
      <c r="G204" s="1" t="s">
        <v>35</v>
      </c>
      <c r="H204" s="1"/>
      <c r="I204" s="1"/>
      <c r="J204" s="1"/>
      <c r="K204" s="1">
        <f>IF(F204="",1,IFERROR(VLOOKUP(F204,A:K,11,FALSE)+1,1))</f>
        <v>7</v>
      </c>
      <c r="L204" s="1" t="str">
        <f>IF(F204="","الأصل",IF(VLOOKUP(F204,A:L,12,FALSE)="الأصل","الفرع "&amp;K204-1,VLOOKUP(F204,A:L,12,FALSE)))</f>
        <v>الفوزان</v>
      </c>
      <c r="M204" s="1" t="str">
        <f t="shared" si="1"/>
        <v>عبدالله بن عبدالرحمن بن عبدالعزيز فوزان</v>
      </c>
      <c r="N204" s="1" t="str">
        <f t="shared" si="2"/>
        <v>عبدالله bin عبدالرحمن bin عبدالعزيز Al-فوزان</v>
      </c>
      <c r="O204" s="1" t="str">
        <f t="shared" ca="1" si="3"/>
        <v/>
      </c>
      <c r="P204" s="1">
        <f t="shared" si="4"/>
        <v>0</v>
      </c>
      <c r="Q204" s="1"/>
      <c r="R204" s="1"/>
      <c r="S204" s="1" t="str">
        <f t="shared" si="5"/>
        <v>Living</v>
      </c>
    </row>
    <row r="205" spans="1:19" ht="15.75" hidden="1" customHeight="1" x14ac:dyDescent="0.2">
      <c r="A205" s="1" t="str">
        <f t="shared" si="0"/>
        <v>P204</v>
      </c>
      <c r="B205" s="1" t="s">
        <v>140</v>
      </c>
      <c r="C205" s="1" t="s">
        <v>105</v>
      </c>
      <c r="D205" s="1" t="s">
        <v>108</v>
      </c>
      <c r="E205" s="1" t="s">
        <v>98</v>
      </c>
      <c r="F205" s="1" t="s">
        <v>252</v>
      </c>
      <c r="G205" s="1" t="s">
        <v>35</v>
      </c>
      <c r="H205" s="1"/>
      <c r="I205" s="1"/>
      <c r="J205" s="1"/>
      <c r="K205" s="1">
        <f>IF(F205="",1,IFERROR(VLOOKUP(F205,A:K,11,FALSE)+1,1))</f>
        <v>7</v>
      </c>
      <c r="L205" s="1" t="str">
        <f>IF(F205="","الأصل",IF(VLOOKUP(F205,A:L,12,FALSE)="الأصل","الفرع "&amp;K205-1,VLOOKUP(F205,A:L,12,FALSE)))</f>
        <v>الفوزان</v>
      </c>
      <c r="M205" s="1" t="str">
        <f t="shared" si="1"/>
        <v>عبدالمجيد بن عبدالرحمن بن عبدالعزيز فوزان</v>
      </c>
      <c r="N205" s="1" t="str">
        <f t="shared" si="2"/>
        <v>عبدالمجيد bin عبدالرحمن bin عبدالعزيز Al-فوزان</v>
      </c>
      <c r="O205" s="1" t="str">
        <f t="shared" ca="1" si="3"/>
        <v/>
      </c>
      <c r="P205" s="1">
        <f t="shared" si="4"/>
        <v>0</v>
      </c>
      <c r="Q205" s="1"/>
      <c r="R205" s="1"/>
      <c r="S205" s="1" t="str">
        <f t="shared" si="5"/>
        <v>Living</v>
      </c>
    </row>
    <row r="206" spans="1:19" ht="15.75" hidden="1" customHeight="1" x14ac:dyDescent="0.2">
      <c r="A206" s="1" t="str">
        <f t="shared" si="0"/>
        <v>P205</v>
      </c>
      <c r="B206" s="1" t="s">
        <v>108</v>
      </c>
      <c r="C206" s="1" t="s">
        <v>105</v>
      </c>
      <c r="D206" s="1" t="s">
        <v>108</v>
      </c>
      <c r="E206" s="1" t="s">
        <v>98</v>
      </c>
      <c r="F206" s="1" t="s">
        <v>252</v>
      </c>
      <c r="G206" s="1" t="s">
        <v>35</v>
      </c>
      <c r="H206" s="1"/>
      <c r="I206" s="1"/>
      <c r="J206" s="1"/>
      <c r="K206" s="1">
        <f>IF(F206="",1,IFERROR(VLOOKUP(F206,A:K,11,FALSE)+1,1))</f>
        <v>7</v>
      </c>
      <c r="L206" s="1" t="str">
        <f>IF(F206="","الأصل",IF(VLOOKUP(F206,A:L,12,FALSE)="الأصل","الفرع "&amp;K206-1,VLOOKUP(F206,A:L,12,FALSE)))</f>
        <v>الفوزان</v>
      </c>
      <c r="M206" s="1" t="str">
        <f t="shared" si="1"/>
        <v>عبدالعزيز بن عبدالرحمن بن عبدالعزيز فوزان</v>
      </c>
      <c r="N206" s="1" t="str">
        <f t="shared" si="2"/>
        <v>عبدالعزيز bin عبدالرحمن bin عبدالعزيز Al-فوزان</v>
      </c>
      <c r="O206" s="1" t="str">
        <f t="shared" ca="1" si="3"/>
        <v/>
      </c>
      <c r="P206" s="1">
        <f t="shared" si="4"/>
        <v>0</v>
      </c>
      <c r="Q206" s="1"/>
      <c r="R206" s="1"/>
      <c r="S206" s="1" t="str">
        <f t="shared" si="5"/>
        <v>Living</v>
      </c>
    </row>
    <row r="207" spans="1:19" ht="15.75" hidden="1" customHeight="1" x14ac:dyDescent="0.2">
      <c r="A207" s="1" t="str">
        <f t="shared" si="0"/>
        <v>P206</v>
      </c>
      <c r="B207" s="1" t="s">
        <v>253</v>
      </c>
      <c r="C207" s="1" t="s">
        <v>105</v>
      </c>
      <c r="D207" s="1" t="s">
        <v>108</v>
      </c>
      <c r="E207" s="1" t="s">
        <v>98</v>
      </c>
      <c r="F207" s="1" t="s">
        <v>252</v>
      </c>
      <c r="G207" s="1" t="s">
        <v>35</v>
      </c>
      <c r="H207" s="1"/>
      <c r="I207" s="1"/>
      <c r="J207" s="1"/>
      <c r="K207" s="1">
        <f>IF(F207="",1,IFERROR(VLOOKUP(F207,A:K,11,FALSE)+1,1))</f>
        <v>7</v>
      </c>
      <c r="L207" s="1" t="str">
        <f>IF(F207="","الأصل",IF(VLOOKUP(F207,A:L,12,FALSE)="الأصل","الفرع "&amp;K207-1,VLOOKUP(F207,A:L,12,FALSE)))</f>
        <v>الفوزان</v>
      </c>
      <c r="M207" s="1" t="str">
        <f t="shared" si="1"/>
        <v>احمد بن عبدالرحمن بن عبدالعزيز فوزان</v>
      </c>
      <c r="N207" s="1" t="str">
        <f t="shared" si="2"/>
        <v>احمد bin عبدالرحمن bin عبدالعزيز Al-فوزان</v>
      </c>
      <c r="O207" s="1" t="str">
        <f t="shared" ca="1" si="3"/>
        <v/>
      </c>
      <c r="P207" s="1">
        <f t="shared" si="4"/>
        <v>0</v>
      </c>
      <c r="Q207" s="1"/>
      <c r="R207" s="1"/>
      <c r="S207" s="1" t="str">
        <f t="shared" si="5"/>
        <v>Living</v>
      </c>
    </row>
    <row r="208" spans="1:19" ht="15.75" hidden="1" customHeight="1" x14ac:dyDescent="0.2">
      <c r="A208" s="1" t="str">
        <f t="shared" si="0"/>
        <v>P207</v>
      </c>
      <c r="B208" s="1" t="s">
        <v>254</v>
      </c>
      <c r="C208" s="1" t="s">
        <v>105</v>
      </c>
      <c r="D208" s="1" t="s">
        <v>108</v>
      </c>
      <c r="E208" s="1" t="s">
        <v>98</v>
      </c>
      <c r="F208" s="1" t="s">
        <v>252</v>
      </c>
      <c r="G208" s="1" t="s">
        <v>35</v>
      </c>
      <c r="H208" s="1"/>
      <c r="I208" s="1"/>
      <c r="J208" s="1"/>
      <c r="K208" s="1">
        <f>IF(F208="",1,IFERROR(VLOOKUP(F208,A:K,11,FALSE)+1,1))</f>
        <v>7</v>
      </c>
      <c r="L208" s="1" t="str">
        <f>IF(F208="","الأصل",IF(VLOOKUP(F208,A:L,12,FALSE)="الأصل","الفرع "&amp;K208-1,VLOOKUP(F208,A:L,12,FALSE)))</f>
        <v>الفوزان</v>
      </c>
      <c r="M208" s="1" t="str">
        <f t="shared" si="1"/>
        <v>يوسف بن عبدالرحمن بن عبدالعزيز فوزان</v>
      </c>
      <c r="N208" s="1" t="str">
        <f t="shared" si="2"/>
        <v>يوسف bin عبدالرحمن bin عبدالعزيز Al-فوزان</v>
      </c>
      <c r="O208" s="1" t="str">
        <f t="shared" ca="1" si="3"/>
        <v/>
      </c>
      <c r="P208" s="1">
        <f t="shared" si="4"/>
        <v>0</v>
      </c>
      <c r="Q208" s="1"/>
      <c r="R208" s="1"/>
      <c r="S208" s="1" t="str">
        <f t="shared" si="5"/>
        <v>Living</v>
      </c>
    </row>
    <row r="209" spans="1:19" ht="15.75" hidden="1" customHeight="1" x14ac:dyDescent="0.2">
      <c r="A209" s="1" t="str">
        <f t="shared" si="0"/>
        <v>P208</v>
      </c>
      <c r="B209" s="1" t="s">
        <v>121</v>
      </c>
      <c r="C209" s="1" t="s">
        <v>105</v>
      </c>
      <c r="D209" s="1" t="s">
        <v>108</v>
      </c>
      <c r="E209" s="1" t="s">
        <v>98</v>
      </c>
      <c r="F209" s="1" t="s">
        <v>252</v>
      </c>
      <c r="G209" s="1" t="s">
        <v>35</v>
      </c>
      <c r="H209" s="1"/>
      <c r="I209" s="1"/>
      <c r="J209" s="1"/>
      <c r="K209" s="1">
        <f>IF(F209="",1,IFERROR(VLOOKUP(F209,A:K,11,FALSE)+1,1))</f>
        <v>7</v>
      </c>
      <c r="L209" s="1" t="str">
        <f>IF(F209="","الأصل",IF(VLOOKUP(F209,A:L,12,FALSE)="الأصل","الفرع "&amp;K209-1,VLOOKUP(F209,A:L,12,FALSE)))</f>
        <v>الفوزان</v>
      </c>
      <c r="M209" s="1" t="str">
        <f t="shared" si="1"/>
        <v>عبدالاله بن عبدالرحمن بن عبدالعزيز فوزان</v>
      </c>
      <c r="N209" s="1" t="str">
        <f t="shared" si="2"/>
        <v>عبدالاله bin عبدالرحمن bin عبدالعزيز Al-فوزان</v>
      </c>
      <c r="O209" s="1" t="str">
        <f t="shared" ca="1" si="3"/>
        <v/>
      </c>
      <c r="P209" s="1">
        <f t="shared" si="4"/>
        <v>0</v>
      </c>
      <c r="Q209" s="1"/>
      <c r="R209" s="1"/>
      <c r="S209" s="1" t="str">
        <f t="shared" si="5"/>
        <v>Living</v>
      </c>
    </row>
    <row r="210" spans="1:19" ht="15.75" hidden="1" customHeight="1" x14ac:dyDescent="0.2">
      <c r="A210" s="1" t="str">
        <f t="shared" si="0"/>
        <v>P209</v>
      </c>
      <c r="B210" s="1" t="s">
        <v>105</v>
      </c>
      <c r="C210" s="1" t="s">
        <v>100</v>
      </c>
      <c r="D210" s="1" t="s">
        <v>105</v>
      </c>
      <c r="E210" s="1" t="s">
        <v>108</v>
      </c>
      <c r="F210" s="1" t="s">
        <v>255</v>
      </c>
      <c r="G210" s="1" t="s">
        <v>35</v>
      </c>
      <c r="H210" s="1"/>
      <c r="I210" s="1"/>
      <c r="J210" s="1"/>
      <c r="K210" s="1">
        <f>IF(F210="",1,IFERROR(VLOOKUP(F210,A:K,11,FALSE)+1,1))</f>
        <v>8</v>
      </c>
      <c r="L210" s="1" t="str">
        <f>IF(F210="","الأصل",IF(VLOOKUP(F210,A:L,12,FALSE)="الأصل","الفرع "&amp;K210-1,VLOOKUP(F210,A:L,12,FALSE)))</f>
        <v>الفوزان</v>
      </c>
      <c r="M210" s="1" t="str">
        <f t="shared" si="1"/>
        <v>عبدالرحمن بن محمد بن عبدالرحمن عبدالعزيز</v>
      </c>
      <c r="N210" s="1" t="str">
        <f t="shared" si="2"/>
        <v>عبدالرحمن bin محمد bin عبدالرحمن Al-عبدالعزيز</v>
      </c>
      <c r="O210" s="1" t="str">
        <f t="shared" ca="1" si="3"/>
        <v/>
      </c>
      <c r="P210" s="1">
        <f t="shared" si="4"/>
        <v>0</v>
      </c>
      <c r="Q210" s="1"/>
      <c r="R210" s="1"/>
      <c r="S210" s="1" t="str">
        <f t="shared" si="5"/>
        <v>Living</v>
      </c>
    </row>
    <row r="211" spans="1:19" ht="15.75" hidden="1" customHeight="1" x14ac:dyDescent="0.2">
      <c r="A211" s="1" t="str">
        <f t="shared" si="0"/>
        <v>P210</v>
      </c>
      <c r="B211" s="1" t="s">
        <v>108</v>
      </c>
      <c r="C211" s="1" t="s">
        <v>100</v>
      </c>
      <c r="D211" s="1" t="s">
        <v>105</v>
      </c>
      <c r="E211" s="1" t="s">
        <v>108</v>
      </c>
      <c r="F211" s="1" t="s">
        <v>255</v>
      </c>
      <c r="G211" s="1" t="s">
        <v>35</v>
      </c>
      <c r="H211" s="1"/>
      <c r="I211" s="1"/>
      <c r="J211" s="1"/>
      <c r="K211" s="1">
        <f>IF(F211="",1,IFERROR(VLOOKUP(F211,A:K,11,FALSE)+1,1))</f>
        <v>8</v>
      </c>
      <c r="L211" s="1" t="str">
        <f>IF(F211="","الأصل",IF(VLOOKUP(F211,A:L,12,FALSE)="الأصل","الفرع "&amp;K211-1,VLOOKUP(F211,A:L,12,FALSE)))</f>
        <v>الفوزان</v>
      </c>
      <c r="M211" s="1" t="str">
        <f t="shared" si="1"/>
        <v>عبدالعزيز بن محمد بن عبدالرحمن عبدالعزيز</v>
      </c>
      <c r="N211" s="1" t="str">
        <f t="shared" si="2"/>
        <v>عبدالعزيز bin محمد bin عبدالرحمن Al-عبدالعزيز</v>
      </c>
      <c r="O211" s="1" t="str">
        <f t="shared" ca="1" si="3"/>
        <v/>
      </c>
      <c r="P211" s="1">
        <f t="shared" si="4"/>
        <v>0</v>
      </c>
      <c r="Q211" s="1"/>
      <c r="R211" s="1"/>
      <c r="S211" s="1" t="str">
        <f t="shared" si="5"/>
        <v>Living</v>
      </c>
    </row>
    <row r="212" spans="1:19" ht="15.75" hidden="1" customHeight="1" x14ac:dyDescent="0.2">
      <c r="A212" s="1" t="str">
        <f t="shared" si="0"/>
        <v>P211</v>
      </c>
      <c r="B212" s="1" t="s">
        <v>256</v>
      </c>
      <c r="C212" s="1" t="s">
        <v>100</v>
      </c>
      <c r="D212" s="1" t="s">
        <v>105</v>
      </c>
      <c r="E212" s="1" t="s">
        <v>108</v>
      </c>
      <c r="F212" s="1" t="s">
        <v>255</v>
      </c>
      <c r="G212" s="1" t="s">
        <v>35</v>
      </c>
      <c r="H212" s="1"/>
      <c r="I212" s="1"/>
      <c r="J212" s="1"/>
      <c r="K212" s="1">
        <f>IF(F212="",1,IFERROR(VLOOKUP(F212,A:K,11,FALSE)+1,1))</f>
        <v>8</v>
      </c>
      <c r="L212" s="1" t="str">
        <f>IF(F212="","الأصل",IF(VLOOKUP(F212,A:L,12,FALSE)="الأصل","الفرع "&amp;K212-1,VLOOKUP(F212,A:L,12,FALSE)))</f>
        <v>الفوزان</v>
      </c>
      <c r="M212" s="1" t="str">
        <f t="shared" si="1"/>
        <v>نايف بن محمد بن عبدالرحمن عبدالعزيز</v>
      </c>
      <c r="N212" s="1" t="str">
        <f t="shared" si="2"/>
        <v>نايف bin محمد bin عبدالرحمن Al-عبدالعزيز</v>
      </c>
      <c r="O212" s="1" t="str">
        <f t="shared" ca="1" si="3"/>
        <v/>
      </c>
      <c r="P212" s="1">
        <f t="shared" si="4"/>
        <v>0</v>
      </c>
      <c r="Q212" s="1"/>
      <c r="R212" s="1"/>
      <c r="S212" s="1" t="str">
        <f t="shared" si="5"/>
        <v>Living</v>
      </c>
    </row>
    <row r="213" spans="1:19" ht="15.75" hidden="1" customHeight="1" x14ac:dyDescent="0.2">
      <c r="A213" s="1" t="str">
        <f t="shared" si="0"/>
        <v>P212</v>
      </c>
      <c r="B213" s="1" t="s">
        <v>119</v>
      </c>
      <c r="C213" s="1" t="s">
        <v>100</v>
      </c>
      <c r="D213" s="1" t="s">
        <v>105</v>
      </c>
      <c r="E213" s="1" t="s">
        <v>108</v>
      </c>
      <c r="F213" s="1" t="s">
        <v>255</v>
      </c>
      <c r="G213" s="1" t="s">
        <v>35</v>
      </c>
      <c r="H213" s="1"/>
      <c r="I213" s="1"/>
      <c r="J213" s="1"/>
      <c r="K213" s="1">
        <f>IF(F213="",1,IFERROR(VLOOKUP(F213,A:K,11,FALSE)+1,1))</f>
        <v>8</v>
      </c>
      <c r="L213" s="1" t="str">
        <f>IF(F213="","الأصل",IF(VLOOKUP(F213,A:L,12,FALSE)="الأصل","الفرع "&amp;K213-1,VLOOKUP(F213,A:L,12,FALSE)))</f>
        <v>الفوزان</v>
      </c>
      <c r="M213" s="1" t="str">
        <f t="shared" si="1"/>
        <v>عبدالله بن محمد بن عبدالرحمن عبدالعزيز</v>
      </c>
      <c r="N213" s="1" t="str">
        <f t="shared" si="2"/>
        <v>عبدالله bin محمد bin عبدالرحمن Al-عبدالعزيز</v>
      </c>
      <c r="O213" s="1" t="str">
        <f t="shared" ca="1" si="3"/>
        <v/>
      </c>
      <c r="P213" s="1">
        <f t="shared" si="4"/>
        <v>0</v>
      </c>
      <c r="Q213" s="1"/>
      <c r="R213" s="1"/>
      <c r="S213" s="1" t="str">
        <f t="shared" si="5"/>
        <v>Living</v>
      </c>
    </row>
    <row r="214" spans="1:19" ht="15.75" hidden="1" customHeight="1" x14ac:dyDescent="0.2">
      <c r="A214" s="1" t="str">
        <f t="shared" si="0"/>
        <v>P213</v>
      </c>
      <c r="B214" s="1" t="s">
        <v>119</v>
      </c>
      <c r="C214" s="1" t="s">
        <v>100</v>
      </c>
      <c r="D214" s="1" t="s">
        <v>98</v>
      </c>
      <c r="E214" s="1" t="s">
        <v>108</v>
      </c>
      <c r="F214" s="1" t="s">
        <v>257</v>
      </c>
      <c r="G214" s="1" t="s">
        <v>35</v>
      </c>
      <c r="H214" s="1"/>
      <c r="I214" s="1"/>
      <c r="J214" s="1"/>
      <c r="K214" s="1">
        <f>IF(F214="",1,IFERROR(VLOOKUP(F214,A:K,11,FALSE)+1,1))</f>
        <v>6</v>
      </c>
      <c r="L214" s="1" t="str">
        <f>IF(F214="","الأصل",IF(VLOOKUP(F214,A:L,12,FALSE)="الأصل","الفرع "&amp;K214-1,VLOOKUP(F214,A:L,12,FALSE)))</f>
        <v>الفوزان</v>
      </c>
      <c r="M214" s="1" t="str">
        <f t="shared" si="1"/>
        <v>عبدالله بن محمد بن فوزان عبدالعزيز</v>
      </c>
      <c r="N214" s="1" t="str">
        <f t="shared" si="2"/>
        <v>عبدالله bin محمد bin فوزان Al-عبدالعزيز</v>
      </c>
      <c r="O214" s="1" t="str">
        <f t="shared" ca="1" si="3"/>
        <v/>
      </c>
      <c r="P214" s="1">
        <f t="shared" si="4"/>
        <v>0</v>
      </c>
      <c r="Q214" s="1"/>
      <c r="R214" s="1"/>
      <c r="S214" s="1" t="str">
        <f t="shared" si="5"/>
        <v>Living</v>
      </c>
    </row>
    <row r="215" spans="1:19" ht="15.75" hidden="1" customHeight="1" x14ac:dyDescent="0.2">
      <c r="A215" s="1" t="str">
        <f t="shared" si="0"/>
        <v>P214</v>
      </c>
      <c r="B215" s="1" t="s">
        <v>98</v>
      </c>
      <c r="C215" s="1" t="s">
        <v>100</v>
      </c>
      <c r="D215" s="1" t="s">
        <v>98</v>
      </c>
      <c r="E215" s="1" t="s">
        <v>108</v>
      </c>
      <c r="F215" s="1" t="s">
        <v>257</v>
      </c>
      <c r="G215" s="1" t="s">
        <v>35</v>
      </c>
      <c r="H215" s="1"/>
      <c r="I215" s="1"/>
      <c r="J215" s="1"/>
      <c r="K215" s="1">
        <f>IF(F215="",1,IFERROR(VLOOKUP(F215,A:K,11,FALSE)+1,1))</f>
        <v>6</v>
      </c>
      <c r="L215" s="1" t="str">
        <f>IF(F215="","الأصل",IF(VLOOKUP(F215,A:L,12,FALSE)="الأصل","الفرع "&amp;K215-1,VLOOKUP(F215,A:L,12,FALSE)))</f>
        <v>الفوزان</v>
      </c>
      <c r="M215" s="1" t="str">
        <f t="shared" si="1"/>
        <v>فوزان بن محمد بن فوزان عبدالعزيز</v>
      </c>
      <c r="N215" s="1" t="str">
        <f t="shared" si="2"/>
        <v>فوزان bin محمد bin فوزان Al-عبدالعزيز</v>
      </c>
      <c r="O215" s="1" t="str">
        <f t="shared" ca="1" si="3"/>
        <v/>
      </c>
      <c r="P215" s="1">
        <f t="shared" si="4"/>
        <v>0</v>
      </c>
      <c r="Q215" s="1"/>
      <c r="R215" s="1"/>
      <c r="S215" s="1" t="str">
        <f t="shared" si="5"/>
        <v>Living</v>
      </c>
    </row>
    <row r="216" spans="1:19" ht="15.75" hidden="1" customHeight="1" x14ac:dyDescent="0.2">
      <c r="A216" s="1" t="str">
        <f t="shared" si="0"/>
        <v>P215</v>
      </c>
      <c r="B216" s="1" t="s">
        <v>105</v>
      </c>
      <c r="C216" s="1" t="s">
        <v>100</v>
      </c>
      <c r="D216" s="1" t="s">
        <v>98</v>
      </c>
      <c r="E216" s="1" t="s">
        <v>108</v>
      </c>
      <c r="F216" s="1" t="s">
        <v>257</v>
      </c>
      <c r="G216" s="1" t="s">
        <v>35</v>
      </c>
      <c r="H216" s="1"/>
      <c r="I216" s="1"/>
      <c r="J216" s="1"/>
      <c r="K216" s="1">
        <f>IF(F216="",1,IFERROR(VLOOKUP(F216,A:K,11,FALSE)+1,1))</f>
        <v>6</v>
      </c>
      <c r="L216" s="1" t="str">
        <f>IF(F216="","الأصل",IF(VLOOKUP(F216,A:L,12,FALSE)="الأصل","الفرع "&amp;K216-1,VLOOKUP(F216,A:L,12,FALSE)))</f>
        <v>الفوزان</v>
      </c>
      <c r="M216" s="1" t="str">
        <f t="shared" si="1"/>
        <v>عبدالرحمن بن محمد بن فوزان عبدالعزيز</v>
      </c>
      <c r="N216" s="1" t="str">
        <f t="shared" si="2"/>
        <v>عبدالرحمن bin محمد bin فوزان Al-عبدالعزيز</v>
      </c>
      <c r="O216" s="1" t="str">
        <f t="shared" ca="1" si="3"/>
        <v/>
      </c>
      <c r="P216" s="1">
        <f t="shared" si="4"/>
        <v>0</v>
      </c>
      <c r="Q216" s="1"/>
      <c r="R216" s="1"/>
      <c r="S216" s="1" t="str">
        <f t="shared" si="5"/>
        <v>Living</v>
      </c>
    </row>
    <row r="217" spans="1:19" ht="15.75" hidden="1" customHeight="1" x14ac:dyDescent="0.2">
      <c r="A217" s="1" t="str">
        <f t="shared" si="0"/>
        <v>P216</v>
      </c>
      <c r="B217" s="1" t="s">
        <v>100</v>
      </c>
      <c r="C217" s="1" t="s">
        <v>105</v>
      </c>
      <c r="D217" s="1" t="s">
        <v>100</v>
      </c>
      <c r="E217" s="1" t="s">
        <v>98</v>
      </c>
      <c r="F217" s="1" t="s">
        <v>258</v>
      </c>
      <c r="G217" s="1" t="s">
        <v>35</v>
      </c>
      <c r="H217" s="1"/>
      <c r="I217" s="1"/>
      <c r="J217" s="1"/>
      <c r="K217" s="1">
        <f>IF(F217="",1,IFERROR(VLOOKUP(F217,A:K,11,FALSE)+1,1))</f>
        <v>7</v>
      </c>
      <c r="L217" s="1" t="str">
        <f>IF(F217="","الأصل",IF(VLOOKUP(F217,A:L,12,FALSE)="الأصل","الفرع "&amp;K217-1,VLOOKUP(F217,A:L,12,FALSE)))</f>
        <v>الفوزان</v>
      </c>
      <c r="M217" s="1" t="str">
        <f t="shared" si="1"/>
        <v>محمد بن عبدالرحمن بن محمد فوزان</v>
      </c>
      <c r="N217" s="1" t="str">
        <f t="shared" si="2"/>
        <v>محمد bin عبدالرحمن bin محمد Al-فوزان</v>
      </c>
      <c r="O217" s="1" t="str">
        <f t="shared" ca="1" si="3"/>
        <v/>
      </c>
      <c r="P217" s="1">
        <f t="shared" si="4"/>
        <v>0</v>
      </c>
      <c r="Q217" s="1"/>
      <c r="R217" s="1"/>
      <c r="S217" s="1" t="str">
        <f t="shared" si="5"/>
        <v>Living</v>
      </c>
    </row>
    <row r="218" spans="1:19" ht="15.75" hidden="1" customHeight="1" x14ac:dyDescent="0.2">
      <c r="A218" s="1" t="str">
        <f t="shared" si="0"/>
        <v>P217</v>
      </c>
      <c r="B218" s="1" t="s">
        <v>119</v>
      </c>
      <c r="C218" s="1" t="s">
        <v>105</v>
      </c>
      <c r="D218" s="1" t="s">
        <v>100</v>
      </c>
      <c r="E218" s="1" t="s">
        <v>98</v>
      </c>
      <c r="F218" s="1" t="s">
        <v>258</v>
      </c>
      <c r="G218" s="1" t="s">
        <v>35</v>
      </c>
      <c r="H218" s="1"/>
      <c r="I218" s="1"/>
      <c r="J218" s="1"/>
      <c r="K218" s="1">
        <f>IF(F218="",1,IFERROR(VLOOKUP(F218,A:K,11,FALSE)+1,1))</f>
        <v>7</v>
      </c>
      <c r="L218" s="1" t="str">
        <f>IF(F218="","الأصل",IF(VLOOKUP(F218,A:L,12,FALSE)="الأصل","الفرع "&amp;K218-1,VLOOKUP(F218,A:L,12,FALSE)))</f>
        <v>الفوزان</v>
      </c>
      <c r="M218" s="1" t="str">
        <f t="shared" si="1"/>
        <v>عبدالله بن عبدالرحمن بن محمد فوزان</v>
      </c>
      <c r="N218" s="1" t="str">
        <f t="shared" si="2"/>
        <v>عبدالله bin عبدالرحمن bin محمد Al-فوزان</v>
      </c>
      <c r="O218" s="1" t="str">
        <f t="shared" ca="1" si="3"/>
        <v/>
      </c>
      <c r="P218" s="1">
        <f t="shared" si="4"/>
        <v>0</v>
      </c>
      <c r="Q218" s="1"/>
      <c r="R218" s="1"/>
      <c r="S218" s="1" t="str">
        <f t="shared" si="5"/>
        <v>Living</v>
      </c>
    </row>
    <row r="219" spans="1:19" ht="15.75" hidden="1" customHeight="1" x14ac:dyDescent="0.2">
      <c r="A219" s="1" t="str">
        <f t="shared" si="0"/>
        <v>P218</v>
      </c>
      <c r="B219" s="1" t="s">
        <v>100</v>
      </c>
      <c r="C219" s="1" t="s">
        <v>98</v>
      </c>
      <c r="D219" s="1" t="s">
        <v>100</v>
      </c>
      <c r="E219" s="1" t="s">
        <v>98</v>
      </c>
      <c r="F219" s="1" t="s">
        <v>259</v>
      </c>
      <c r="G219" s="1" t="s">
        <v>35</v>
      </c>
      <c r="H219" s="1"/>
      <c r="I219" s="1"/>
      <c r="J219" s="1"/>
      <c r="K219" s="1">
        <f>IF(F219="",1,IFERROR(VLOOKUP(F219,A:K,11,FALSE)+1,1))</f>
        <v>7</v>
      </c>
      <c r="L219" s="1" t="str">
        <f>IF(F219="","الأصل",IF(VLOOKUP(F219,A:L,12,FALSE)="الأصل","الفرع "&amp;K219-1,VLOOKUP(F219,A:L,12,FALSE)))</f>
        <v>الفوزان</v>
      </c>
      <c r="M219" s="1" t="str">
        <f t="shared" si="1"/>
        <v>محمد بن فوزان بن محمد فوزان</v>
      </c>
      <c r="N219" s="1" t="str">
        <f t="shared" si="2"/>
        <v>محمد bin فوزان bin محمد Al-فوزان</v>
      </c>
      <c r="O219" s="1" t="str">
        <f t="shared" ca="1" si="3"/>
        <v/>
      </c>
      <c r="P219" s="1">
        <f t="shared" si="4"/>
        <v>0</v>
      </c>
      <c r="Q219" s="1"/>
      <c r="R219" s="1"/>
      <c r="S219" s="1" t="str">
        <f t="shared" si="5"/>
        <v>Living</v>
      </c>
    </row>
    <row r="220" spans="1:19" ht="15.75" hidden="1" customHeight="1" x14ac:dyDescent="0.2">
      <c r="A220" s="1" t="str">
        <f t="shared" si="0"/>
        <v>P219</v>
      </c>
      <c r="B220" s="1" t="s">
        <v>249</v>
      </c>
      <c r="C220" s="1" t="s">
        <v>98</v>
      </c>
      <c r="D220" s="1" t="s">
        <v>100</v>
      </c>
      <c r="E220" s="1" t="s">
        <v>98</v>
      </c>
      <c r="F220" s="1" t="s">
        <v>259</v>
      </c>
      <c r="G220" s="1" t="s">
        <v>35</v>
      </c>
      <c r="H220" s="1"/>
      <c r="I220" s="1"/>
      <c r="J220" s="1"/>
      <c r="K220" s="1">
        <f>IF(F220="",1,IFERROR(VLOOKUP(F220,A:K,11,FALSE)+1,1))</f>
        <v>7</v>
      </c>
      <c r="L220" s="1" t="str">
        <f>IF(F220="","الأصل",IF(VLOOKUP(F220,A:L,12,FALSE)="الأصل","الفرع "&amp;K220-1,VLOOKUP(F220,A:L,12,FALSE)))</f>
        <v>الفوزان</v>
      </c>
      <c r="M220" s="1" t="str">
        <f t="shared" si="1"/>
        <v>اسامه بن فوزان بن محمد فوزان</v>
      </c>
      <c r="N220" s="1" t="str">
        <f t="shared" si="2"/>
        <v>اسامه bin فوزان bin محمد Al-فوزان</v>
      </c>
      <c r="O220" s="1" t="str">
        <f t="shared" ca="1" si="3"/>
        <v/>
      </c>
      <c r="P220" s="1">
        <f t="shared" si="4"/>
        <v>0</v>
      </c>
      <c r="Q220" s="1"/>
      <c r="R220" s="1"/>
      <c r="S220" s="1" t="str">
        <f t="shared" si="5"/>
        <v>Living</v>
      </c>
    </row>
    <row r="221" spans="1:19" ht="15.75" hidden="1" customHeight="1" x14ac:dyDescent="0.2">
      <c r="A221" s="1" t="str">
        <f t="shared" si="0"/>
        <v>P220</v>
      </c>
      <c r="B221" s="1" t="s">
        <v>260</v>
      </c>
      <c r="C221" s="1" t="s">
        <v>98</v>
      </c>
      <c r="D221" s="1" t="s">
        <v>100</v>
      </c>
      <c r="E221" s="1" t="s">
        <v>98</v>
      </c>
      <c r="F221" s="1" t="s">
        <v>259</v>
      </c>
      <c r="G221" s="1" t="s">
        <v>35</v>
      </c>
      <c r="H221" s="1"/>
      <c r="I221" s="1"/>
      <c r="J221" s="1"/>
      <c r="K221" s="1">
        <f>IF(F221="",1,IFERROR(VLOOKUP(F221,A:K,11,FALSE)+1,1))</f>
        <v>7</v>
      </c>
      <c r="L221" s="1" t="str">
        <f>IF(F221="","الأصل",IF(VLOOKUP(F221,A:L,12,FALSE)="الأصل","الفرع "&amp;K221-1,VLOOKUP(F221,A:L,12,FALSE)))</f>
        <v>الفوزان</v>
      </c>
      <c r="M221" s="1" t="str">
        <f t="shared" si="1"/>
        <v>باسل بن فوزان بن محمد فوزان</v>
      </c>
      <c r="N221" s="1" t="str">
        <f t="shared" si="2"/>
        <v>باسل bin فوزان bin محمد Al-فوزان</v>
      </c>
      <c r="O221" s="1" t="str">
        <f t="shared" ca="1" si="3"/>
        <v/>
      </c>
      <c r="P221" s="1">
        <f t="shared" si="4"/>
        <v>0</v>
      </c>
      <c r="Q221" s="1"/>
      <c r="R221" s="1"/>
      <c r="S221" s="1" t="str">
        <f t="shared" si="5"/>
        <v>Living</v>
      </c>
    </row>
    <row r="222" spans="1:19" ht="15.75" hidden="1" customHeight="1" x14ac:dyDescent="0.2">
      <c r="A222" s="1" t="str">
        <f t="shared" si="0"/>
        <v>P221</v>
      </c>
      <c r="B222" s="1" t="s">
        <v>261</v>
      </c>
      <c r="C222" s="1" t="s">
        <v>98</v>
      </c>
      <c r="D222" s="1" t="s">
        <v>100</v>
      </c>
      <c r="E222" s="1" t="s">
        <v>98</v>
      </c>
      <c r="F222" s="1" t="s">
        <v>259</v>
      </c>
      <c r="G222" s="1" t="s">
        <v>35</v>
      </c>
      <c r="H222" s="1"/>
      <c r="I222" s="1"/>
      <c r="J222" s="1"/>
      <c r="K222" s="1">
        <f>IF(F222="",1,IFERROR(VLOOKUP(F222,A:K,11,FALSE)+1,1))</f>
        <v>7</v>
      </c>
      <c r="L222" s="1" t="str">
        <f>IF(F222="","الأصل",IF(VLOOKUP(F222,A:L,12,FALSE)="الأصل","الفرع "&amp;K222-1,VLOOKUP(F222,A:L,12,FALSE)))</f>
        <v>الفوزان</v>
      </c>
      <c r="M222" s="1" t="str">
        <f t="shared" si="1"/>
        <v>حسام بن فوزان بن محمد فوزان</v>
      </c>
      <c r="N222" s="1" t="str">
        <f t="shared" si="2"/>
        <v>حسام bin فوزان bin محمد Al-فوزان</v>
      </c>
      <c r="O222" s="1" t="str">
        <f t="shared" ca="1" si="3"/>
        <v/>
      </c>
      <c r="P222" s="1">
        <f t="shared" si="4"/>
        <v>0</v>
      </c>
      <c r="Q222" s="1"/>
      <c r="R222" s="1"/>
      <c r="S222" s="1" t="str">
        <f t="shared" si="5"/>
        <v>Living</v>
      </c>
    </row>
    <row r="223" spans="1:19" ht="15.75" hidden="1" customHeight="1" x14ac:dyDescent="0.2">
      <c r="A223" s="1" t="str">
        <f t="shared" si="0"/>
        <v>P222</v>
      </c>
      <c r="B223" s="1" t="s">
        <v>262</v>
      </c>
      <c r="C223" s="1" t="s">
        <v>98</v>
      </c>
      <c r="D223" s="1" t="s">
        <v>100</v>
      </c>
      <c r="E223" s="1" t="s">
        <v>98</v>
      </c>
      <c r="F223" s="1" t="s">
        <v>259</v>
      </c>
      <c r="G223" s="1" t="s">
        <v>35</v>
      </c>
      <c r="H223" s="1"/>
      <c r="I223" s="1"/>
      <c r="J223" s="1"/>
      <c r="K223" s="1">
        <f>IF(F223="",1,IFERROR(VLOOKUP(F223,A:K,11,FALSE)+1,1))</f>
        <v>7</v>
      </c>
      <c r="L223" s="1" t="str">
        <f>IF(F223="","الأصل",IF(VLOOKUP(F223,A:L,12,FALSE)="الأصل","الفرع "&amp;K223-1,VLOOKUP(F223,A:L,12,FALSE)))</f>
        <v>الفوزان</v>
      </c>
      <c r="M223" s="1" t="str">
        <f t="shared" si="1"/>
        <v>انس بن فوزان بن محمد فوزان</v>
      </c>
      <c r="N223" s="1" t="str">
        <f t="shared" si="2"/>
        <v>انس bin فوزان bin محمد Al-فوزان</v>
      </c>
      <c r="O223" s="1" t="str">
        <f t="shared" ca="1" si="3"/>
        <v/>
      </c>
      <c r="P223" s="1">
        <f t="shared" si="4"/>
        <v>0</v>
      </c>
      <c r="Q223" s="1"/>
      <c r="R223" s="1"/>
      <c r="S223" s="1" t="str">
        <f t="shared" si="5"/>
        <v>Living</v>
      </c>
    </row>
    <row r="224" spans="1:19" ht="15.75" hidden="1" customHeight="1" x14ac:dyDescent="0.2">
      <c r="A224" s="1" t="str">
        <f t="shared" si="0"/>
        <v>P223</v>
      </c>
      <c r="B224" s="1" t="s">
        <v>241</v>
      </c>
      <c r="C224" s="1" t="s">
        <v>100</v>
      </c>
      <c r="D224" s="1" t="s">
        <v>105</v>
      </c>
      <c r="E224" s="1" t="s">
        <v>100</v>
      </c>
      <c r="F224" s="1" t="s">
        <v>263</v>
      </c>
      <c r="G224" s="1" t="s">
        <v>35</v>
      </c>
      <c r="H224" s="1"/>
      <c r="I224" s="1"/>
      <c r="J224" s="1"/>
      <c r="K224" s="1">
        <f>IF(F224="",1,IFERROR(VLOOKUP(F224,A:K,11,FALSE)+1,1))</f>
        <v>8</v>
      </c>
      <c r="L224" s="1" t="str">
        <f>IF(F224="","الأصل",IF(VLOOKUP(F224,A:L,12,FALSE)="الأصل","الفرع "&amp;K224-1,VLOOKUP(F224,A:L,12,FALSE)))</f>
        <v>الفوزان</v>
      </c>
      <c r="M224" s="1" t="str">
        <f t="shared" si="1"/>
        <v>عمر بن محمد بن عبدالرحمن محمد</v>
      </c>
      <c r="N224" s="1" t="str">
        <f t="shared" si="2"/>
        <v>عمر bin محمد bin عبدالرحمن Al-محمد</v>
      </c>
      <c r="O224" s="1" t="str">
        <f t="shared" ca="1" si="3"/>
        <v/>
      </c>
      <c r="P224" s="1">
        <f t="shared" si="4"/>
        <v>0</v>
      </c>
      <c r="Q224" s="1"/>
      <c r="R224" s="1"/>
      <c r="S224" s="1" t="str">
        <f t="shared" si="5"/>
        <v>Living</v>
      </c>
    </row>
    <row r="225" spans="1:19" ht="15.75" hidden="1" customHeight="1" x14ac:dyDescent="0.2">
      <c r="A225" s="1" t="str">
        <f t="shared" si="0"/>
        <v>P224</v>
      </c>
      <c r="B225" s="1" t="s">
        <v>105</v>
      </c>
      <c r="C225" s="1" t="s">
        <v>100</v>
      </c>
      <c r="D225" s="1" t="s">
        <v>105</v>
      </c>
      <c r="E225" s="1" t="s">
        <v>100</v>
      </c>
      <c r="F225" s="1" t="s">
        <v>263</v>
      </c>
      <c r="G225" s="1" t="s">
        <v>35</v>
      </c>
      <c r="H225" s="1"/>
      <c r="I225" s="1"/>
      <c r="J225" s="1"/>
      <c r="K225" s="1">
        <f>IF(F225="",1,IFERROR(VLOOKUP(F225,A:K,11,FALSE)+1,1))</f>
        <v>8</v>
      </c>
      <c r="L225" s="1" t="str">
        <f>IF(F225="","الأصل",IF(VLOOKUP(F225,A:L,12,FALSE)="الأصل","الفرع "&amp;K225-1,VLOOKUP(F225,A:L,12,FALSE)))</f>
        <v>الفوزان</v>
      </c>
      <c r="M225" s="1" t="str">
        <f t="shared" si="1"/>
        <v>عبدالرحمن بن محمد بن عبدالرحمن محمد</v>
      </c>
      <c r="N225" s="1" t="str">
        <f t="shared" si="2"/>
        <v>عبدالرحمن bin محمد bin عبدالرحمن Al-محمد</v>
      </c>
      <c r="O225" s="1" t="str">
        <f t="shared" ca="1" si="3"/>
        <v/>
      </c>
      <c r="P225" s="1">
        <f t="shared" si="4"/>
        <v>0</v>
      </c>
      <c r="Q225" s="1"/>
      <c r="R225" s="1"/>
      <c r="S225" s="1" t="str">
        <f t="shared" si="5"/>
        <v>Living</v>
      </c>
    </row>
    <row r="226" spans="1:19" ht="15.75" hidden="1" customHeight="1" x14ac:dyDescent="0.2">
      <c r="A226" s="1" t="str">
        <f t="shared" si="0"/>
        <v>P225</v>
      </c>
      <c r="B226" s="1" t="s">
        <v>100</v>
      </c>
      <c r="C226" s="1" t="s">
        <v>119</v>
      </c>
      <c r="D226" s="1" t="s">
        <v>100</v>
      </c>
      <c r="E226" s="1" t="s">
        <v>98</v>
      </c>
      <c r="F226" s="1" t="s">
        <v>264</v>
      </c>
      <c r="G226" s="1" t="s">
        <v>35</v>
      </c>
      <c r="H226" s="1"/>
      <c r="I226" s="1"/>
      <c r="J226" s="1"/>
      <c r="K226" s="1">
        <f>IF(F226="",1,IFERROR(VLOOKUP(F226,A:K,11,FALSE)+1,1))</f>
        <v>7</v>
      </c>
      <c r="L226" s="1" t="str">
        <f>IF(F226="","الأصل",IF(VLOOKUP(F226,A:L,12,FALSE)="الأصل","الفرع "&amp;K226-1,VLOOKUP(F226,A:L,12,FALSE)))</f>
        <v>الفوزان</v>
      </c>
      <c r="M226" s="1" t="str">
        <f t="shared" si="1"/>
        <v>محمد بن عبدالله بن محمد فوزان</v>
      </c>
      <c r="N226" s="1" t="str">
        <f t="shared" si="2"/>
        <v>محمد bin عبدالله bin محمد Al-فوزان</v>
      </c>
      <c r="O226" s="1" t="str">
        <f t="shared" ca="1" si="3"/>
        <v/>
      </c>
      <c r="P226" s="1">
        <f t="shared" si="4"/>
        <v>0</v>
      </c>
      <c r="Q226" s="1"/>
      <c r="R226" s="1"/>
      <c r="S226" s="1" t="str">
        <f t="shared" si="5"/>
        <v>Living</v>
      </c>
    </row>
    <row r="227" spans="1:19" ht="15.75" hidden="1" customHeight="1" x14ac:dyDescent="0.2">
      <c r="A227" s="1" t="str">
        <f t="shared" si="0"/>
        <v>P226</v>
      </c>
      <c r="B227" s="1" t="s">
        <v>119</v>
      </c>
      <c r="C227" s="1" t="s">
        <v>100</v>
      </c>
      <c r="D227" s="1" t="s">
        <v>119</v>
      </c>
      <c r="E227" s="1" t="s">
        <v>100</v>
      </c>
      <c r="F227" s="1" t="s">
        <v>265</v>
      </c>
      <c r="G227" s="1" t="s">
        <v>35</v>
      </c>
      <c r="H227" s="1"/>
      <c r="I227" s="1"/>
      <c r="J227" s="1"/>
      <c r="K227" s="1">
        <f>IF(F227="",1,IFERROR(VLOOKUP(F227,A:K,11,FALSE)+1,1))</f>
        <v>8</v>
      </c>
      <c r="L227" s="1" t="str">
        <f>IF(F227="","الأصل",IF(VLOOKUP(F227,A:L,12,FALSE)="الأصل","الفرع "&amp;K227-1,VLOOKUP(F227,A:L,12,FALSE)))</f>
        <v>الفوزان</v>
      </c>
      <c r="M227" s="1" t="str">
        <f t="shared" si="1"/>
        <v>عبدالله بن محمد بن عبدالله محمد</v>
      </c>
      <c r="N227" s="1" t="str">
        <f t="shared" si="2"/>
        <v>عبدالله bin محمد bin عبدالله Al-محمد</v>
      </c>
      <c r="O227" s="1" t="str">
        <f t="shared" ca="1" si="3"/>
        <v/>
      </c>
      <c r="P227" s="1">
        <f t="shared" si="4"/>
        <v>0</v>
      </c>
      <c r="Q227" s="1"/>
      <c r="R227" s="1"/>
      <c r="S227" s="1" t="str">
        <f t="shared" si="5"/>
        <v>Living</v>
      </c>
    </row>
    <row r="228" spans="1:19" ht="15.75" hidden="1" customHeight="1" x14ac:dyDescent="0.2">
      <c r="A228" s="1" t="str">
        <f t="shared" si="0"/>
        <v>P227</v>
      </c>
      <c r="B228" s="1" t="s">
        <v>98</v>
      </c>
      <c r="C228" s="1" t="s">
        <v>100</v>
      </c>
      <c r="D228" s="1" t="s">
        <v>98</v>
      </c>
      <c r="E228" s="1" t="s">
        <v>108</v>
      </c>
      <c r="F228" s="1" t="s">
        <v>266</v>
      </c>
      <c r="G228" s="1" t="s">
        <v>35</v>
      </c>
      <c r="H228" s="1"/>
      <c r="I228" s="1"/>
      <c r="J228" s="1"/>
      <c r="K228" s="1">
        <f>IF(F228="",1,IFERROR(VLOOKUP(F228,A:K,11,FALSE)+1,1))</f>
        <v>8</v>
      </c>
      <c r="L228" s="1" t="str">
        <f>IF(F228="","الأصل",IF(VLOOKUP(F228,A:L,12,FALSE)="الأصل","الفرع "&amp;K228-1,VLOOKUP(F228,A:L,12,FALSE)))</f>
        <v>الفوزان</v>
      </c>
      <c r="M228" s="1" t="str">
        <f t="shared" si="1"/>
        <v>فوزان بن محمد بن فوزان عبدالعزيز</v>
      </c>
      <c r="N228" s="1" t="str">
        <f t="shared" si="2"/>
        <v>فوزان bin محمد bin فوزان Al-عبدالعزيز</v>
      </c>
      <c r="O228" s="1" t="str">
        <f t="shared" ca="1" si="3"/>
        <v/>
      </c>
      <c r="P228" s="1">
        <f t="shared" si="4"/>
        <v>0</v>
      </c>
      <c r="Q228" s="1"/>
      <c r="R228" s="1"/>
      <c r="S228" s="1" t="str">
        <f t="shared" si="5"/>
        <v>Living</v>
      </c>
    </row>
    <row r="229" spans="1:19" ht="15.75" hidden="1" customHeight="1" x14ac:dyDescent="0.2">
      <c r="A229" s="1" t="str">
        <f t="shared" si="0"/>
        <v>P228</v>
      </c>
      <c r="B229" s="1" t="s">
        <v>105</v>
      </c>
      <c r="C229" s="1" t="s">
        <v>100</v>
      </c>
      <c r="D229" s="1" t="s">
        <v>98</v>
      </c>
      <c r="E229" s="1" t="s">
        <v>108</v>
      </c>
      <c r="F229" s="1" t="s">
        <v>266</v>
      </c>
      <c r="G229" s="1" t="s">
        <v>35</v>
      </c>
      <c r="H229" s="1"/>
      <c r="I229" s="1"/>
      <c r="J229" s="1"/>
      <c r="K229" s="1">
        <f>IF(F229="",1,IFERROR(VLOOKUP(F229,A:K,11,FALSE)+1,1))</f>
        <v>8</v>
      </c>
      <c r="L229" s="1" t="str">
        <f>IF(F229="","الأصل",IF(VLOOKUP(F229,A:L,12,FALSE)="الأصل","الفرع "&amp;K229-1,VLOOKUP(F229,A:L,12,FALSE)))</f>
        <v>الفوزان</v>
      </c>
      <c r="M229" s="1" t="str">
        <f t="shared" si="1"/>
        <v>عبدالرحمن بن محمد بن فوزان عبدالعزيز</v>
      </c>
      <c r="N229" s="1" t="str">
        <f t="shared" si="2"/>
        <v>عبدالرحمن bin محمد bin فوزان Al-عبدالعزيز</v>
      </c>
      <c r="O229" s="1" t="str">
        <f t="shared" ca="1" si="3"/>
        <v/>
      </c>
      <c r="P229" s="1">
        <f t="shared" si="4"/>
        <v>0</v>
      </c>
      <c r="Q229" s="1"/>
      <c r="R229" s="1"/>
      <c r="S229" s="1" t="str">
        <f t="shared" si="5"/>
        <v>Living</v>
      </c>
    </row>
    <row r="230" spans="1:19" ht="15.75" hidden="1" customHeight="1" x14ac:dyDescent="0.2">
      <c r="A230" s="1" t="str">
        <f t="shared" si="0"/>
        <v>P229</v>
      </c>
      <c r="B230" s="1" t="s">
        <v>100</v>
      </c>
      <c r="C230" s="1" t="s">
        <v>98</v>
      </c>
      <c r="D230" s="1" t="s">
        <v>100</v>
      </c>
      <c r="E230" s="1" t="s">
        <v>98</v>
      </c>
      <c r="F230" s="1" t="s">
        <v>267</v>
      </c>
      <c r="G230" s="1" t="s">
        <v>35</v>
      </c>
      <c r="H230" s="1"/>
      <c r="I230" s="1"/>
      <c r="J230" s="1"/>
      <c r="K230" s="1">
        <f>IF(F230="",1,IFERROR(VLOOKUP(F230,A:K,11,FALSE)+1,1))</f>
        <v>9</v>
      </c>
      <c r="L230" s="1" t="str">
        <f>IF(F230="","الأصل",IF(VLOOKUP(F230,A:L,12,FALSE)="الأصل","الفرع "&amp;K230-1,VLOOKUP(F230,A:L,12,FALSE)))</f>
        <v>الفوزان</v>
      </c>
      <c r="M230" s="1" t="str">
        <f t="shared" si="1"/>
        <v>محمد بن فوزان بن محمد فوزان</v>
      </c>
      <c r="N230" s="1" t="str">
        <f t="shared" si="2"/>
        <v>محمد bin فوزان bin محمد Al-فوزان</v>
      </c>
      <c r="O230" s="1" t="str">
        <f t="shared" ca="1" si="3"/>
        <v/>
      </c>
      <c r="P230" s="1">
        <f t="shared" si="4"/>
        <v>0</v>
      </c>
      <c r="Q230" s="1"/>
      <c r="R230" s="1"/>
      <c r="S230" s="1" t="str">
        <f t="shared" si="5"/>
        <v>Living</v>
      </c>
    </row>
    <row r="231" spans="1:19" ht="15.75" hidden="1" customHeight="1" x14ac:dyDescent="0.2">
      <c r="A231" s="1" t="str">
        <f t="shared" si="0"/>
        <v>P230</v>
      </c>
      <c r="B231" s="1" t="s">
        <v>241</v>
      </c>
      <c r="C231" s="1" t="s">
        <v>100</v>
      </c>
      <c r="D231" s="1" t="s">
        <v>98</v>
      </c>
      <c r="E231" s="1" t="s">
        <v>100</v>
      </c>
      <c r="F231" s="1" t="s">
        <v>268</v>
      </c>
      <c r="G231" s="1" t="s">
        <v>35</v>
      </c>
      <c r="H231" s="1"/>
      <c r="I231" s="1"/>
      <c r="J231" s="1"/>
      <c r="K231" s="1">
        <f>IF(F231="",1,IFERROR(VLOOKUP(F231,A:K,11,FALSE)+1,1))</f>
        <v>10</v>
      </c>
      <c r="L231" s="1" t="str">
        <f>IF(F231="","الأصل",IF(VLOOKUP(F231,A:L,12,FALSE)="الأصل","الفرع "&amp;K231-1,VLOOKUP(F231,A:L,12,FALSE)))</f>
        <v>الفوزان</v>
      </c>
      <c r="M231" s="1" t="str">
        <f t="shared" si="1"/>
        <v>عمر بن محمد بن فوزان محمد</v>
      </c>
      <c r="N231" s="1" t="str">
        <f t="shared" si="2"/>
        <v>عمر bin محمد bin فوزان Al-محمد</v>
      </c>
      <c r="O231" s="1" t="str">
        <f t="shared" ca="1" si="3"/>
        <v/>
      </c>
      <c r="P231" s="1">
        <f t="shared" si="4"/>
        <v>0</v>
      </c>
      <c r="Q231" s="1"/>
      <c r="R231" s="1"/>
      <c r="S231" s="1" t="str">
        <f t="shared" si="5"/>
        <v>Living</v>
      </c>
    </row>
    <row r="232" spans="1:19" ht="15.75" hidden="1" customHeight="1" x14ac:dyDescent="0.2">
      <c r="A232" s="1" t="str">
        <f t="shared" si="0"/>
        <v>P231</v>
      </c>
      <c r="B232" s="1" t="s">
        <v>105</v>
      </c>
      <c r="C232" s="1" t="s">
        <v>100</v>
      </c>
      <c r="D232" s="1" t="s">
        <v>98</v>
      </c>
      <c r="E232" s="1" t="s">
        <v>100</v>
      </c>
      <c r="F232" s="1" t="s">
        <v>268</v>
      </c>
      <c r="G232" s="1" t="s">
        <v>35</v>
      </c>
      <c r="H232" s="1"/>
      <c r="I232" s="1"/>
      <c r="J232" s="1"/>
      <c r="K232" s="1">
        <f>IF(F232="",1,IFERROR(VLOOKUP(F232,A:K,11,FALSE)+1,1))</f>
        <v>10</v>
      </c>
      <c r="L232" s="1" t="str">
        <f>IF(F232="","الأصل",IF(VLOOKUP(F232,A:L,12,FALSE)="الأصل","الفرع "&amp;K232-1,VLOOKUP(F232,A:L,12,FALSE)))</f>
        <v>الفوزان</v>
      </c>
      <c r="M232" s="1" t="str">
        <f t="shared" si="1"/>
        <v>عبدالرحمن بن محمد بن فوزان محمد</v>
      </c>
      <c r="N232" s="1" t="str">
        <f t="shared" si="2"/>
        <v>عبدالرحمن bin محمد bin فوزان Al-محمد</v>
      </c>
      <c r="O232" s="1" t="str">
        <f t="shared" ca="1" si="3"/>
        <v/>
      </c>
      <c r="P232" s="1">
        <f t="shared" si="4"/>
        <v>0</v>
      </c>
      <c r="Q232" s="1"/>
      <c r="R232" s="1"/>
      <c r="S232" s="1" t="str">
        <f t="shared" si="5"/>
        <v>Living</v>
      </c>
    </row>
    <row r="233" spans="1:19" ht="15.75" hidden="1" customHeight="1" x14ac:dyDescent="0.2">
      <c r="A233" s="1" t="str">
        <f t="shared" si="0"/>
        <v>P232</v>
      </c>
      <c r="B233" s="1" t="s">
        <v>100</v>
      </c>
      <c r="C233" s="1" t="s">
        <v>105</v>
      </c>
      <c r="D233" s="1" t="s">
        <v>100</v>
      </c>
      <c r="E233" s="1" t="s">
        <v>98</v>
      </c>
      <c r="F233" s="1" t="s">
        <v>269</v>
      </c>
      <c r="G233" s="1" t="s">
        <v>35</v>
      </c>
      <c r="H233" s="1"/>
      <c r="I233" s="1"/>
      <c r="J233" s="1"/>
      <c r="K233" s="1">
        <f>IF(F233="",1,IFERROR(VLOOKUP(F233,A:K,11,FALSE)+1,1))</f>
        <v>9</v>
      </c>
      <c r="L233" s="1" t="str">
        <f>IF(F233="","الأصل",IF(VLOOKUP(F233,A:L,12,FALSE)="الأصل","الفرع "&amp;K233-1,VLOOKUP(F233,A:L,12,FALSE)))</f>
        <v>الفوزان</v>
      </c>
      <c r="M233" s="1" t="str">
        <f t="shared" si="1"/>
        <v>محمد بن عبدالرحمن بن محمد فوزان</v>
      </c>
      <c r="N233" s="1" t="str">
        <f t="shared" si="2"/>
        <v>محمد bin عبدالرحمن bin محمد Al-فوزان</v>
      </c>
      <c r="O233" s="1" t="str">
        <f t="shared" ca="1" si="3"/>
        <v/>
      </c>
      <c r="P233" s="1">
        <f t="shared" si="4"/>
        <v>0</v>
      </c>
      <c r="Q233" s="1"/>
      <c r="R233" s="1"/>
      <c r="S233" s="1" t="str">
        <f t="shared" si="5"/>
        <v>Living</v>
      </c>
    </row>
    <row r="234" spans="1:19" ht="15.75" hidden="1" customHeight="1" x14ac:dyDescent="0.2">
      <c r="A234" s="1" t="str">
        <f t="shared" si="0"/>
        <v>P233</v>
      </c>
      <c r="B234" s="1" t="s">
        <v>119</v>
      </c>
      <c r="C234" s="1" t="s">
        <v>105</v>
      </c>
      <c r="D234" s="1" t="s">
        <v>100</v>
      </c>
      <c r="E234" s="1" t="s">
        <v>98</v>
      </c>
      <c r="F234" s="1" t="s">
        <v>269</v>
      </c>
      <c r="G234" s="1" t="s">
        <v>35</v>
      </c>
      <c r="H234" s="1"/>
      <c r="I234" s="1"/>
      <c r="J234" s="1"/>
      <c r="K234" s="1">
        <f>IF(F234="",1,IFERROR(VLOOKUP(F234,A:K,11,FALSE)+1,1))</f>
        <v>9</v>
      </c>
      <c r="L234" s="1" t="str">
        <f>IF(F234="","الأصل",IF(VLOOKUP(F234,A:L,12,FALSE)="الأصل","الفرع "&amp;K234-1,VLOOKUP(F234,A:L,12,FALSE)))</f>
        <v>الفوزان</v>
      </c>
      <c r="M234" s="1" t="str">
        <f t="shared" si="1"/>
        <v>عبدالله بن عبدالرحمن بن محمد فوزان</v>
      </c>
      <c r="N234" s="1" t="str">
        <f t="shared" si="2"/>
        <v>عبدالله bin عبدالرحمن bin محمد Al-فوزان</v>
      </c>
      <c r="O234" s="1" t="str">
        <f t="shared" ca="1" si="3"/>
        <v/>
      </c>
      <c r="P234" s="1">
        <f t="shared" si="4"/>
        <v>0</v>
      </c>
      <c r="Q234" s="1"/>
      <c r="R234" s="1"/>
      <c r="S234" s="1" t="str">
        <f t="shared" si="5"/>
        <v>Living</v>
      </c>
    </row>
    <row r="235" spans="1:19" ht="15.75" customHeight="1" x14ac:dyDescent="0.2">
      <c r="A235" s="1" t="str">
        <f t="shared" si="0"/>
        <v>P234</v>
      </c>
      <c r="B235" s="1" t="s">
        <v>119</v>
      </c>
      <c r="C235" s="1" t="s">
        <v>96</v>
      </c>
      <c r="D235" s="1" t="s">
        <v>31</v>
      </c>
      <c r="E235" s="1"/>
      <c r="F235" s="1" t="s">
        <v>270</v>
      </c>
      <c r="G235" s="1" t="s">
        <v>35</v>
      </c>
      <c r="H235" s="1"/>
      <c r="I235" s="1"/>
      <c r="J235" s="1"/>
      <c r="K235" s="1">
        <f>IF(F235="",1,IFERROR(VLOOKUP(F235,A:K,11,FALSE)+1,1))</f>
        <v>3</v>
      </c>
      <c r="L235" s="1" t="str">
        <f>IF(F235="","الأصل",IF(VLOOKUP(F235,A:L,12,FALSE)="الأصل","الفرع "&amp;K235-1,VLOOKUP(F235,A:L,12,FALSE)))</f>
        <v>العبدالكريم</v>
      </c>
      <c r="M235" s="1" t="str">
        <f t="shared" si="1"/>
        <v xml:space="preserve">عبدالله بن عبدالكريم بن حمد </v>
      </c>
      <c r="N235" s="1" t="str">
        <f t="shared" si="2"/>
        <v>عبدالله bin عبدالكريم bin حمد Al-</v>
      </c>
      <c r="O235" s="1" t="str">
        <f t="shared" ca="1" si="3"/>
        <v/>
      </c>
      <c r="P235" s="1">
        <f t="shared" si="4"/>
        <v>0</v>
      </c>
      <c r="Q235" s="1"/>
      <c r="R235" s="1"/>
      <c r="S235" s="1" t="str">
        <f t="shared" si="5"/>
        <v>Living</v>
      </c>
    </row>
    <row r="236" spans="1:19" ht="15.75" customHeight="1" x14ac:dyDescent="0.2">
      <c r="A236" s="1" t="str">
        <f t="shared" si="0"/>
        <v>P235</v>
      </c>
      <c r="B236" s="1" t="s">
        <v>96</v>
      </c>
      <c r="C236" s="1" t="s">
        <v>119</v>
      </c>
      <c r="D236" s="1" t="s">
        <v>96</v>
      </c>
      <c r="E236" s="1" t="s">
        <v>31</v>
      </c>
      <c r="F236" s="1" t="s">
        <v>271</v>
      </c>
      <c r="G236" s="1" t="s">
        <v>35</v>
      </c>
      <c r="H236" s="1"/>
      <c r="I236" s="1"/>
      <c r="J236" s="1"/>
      <c r="K236" s="1">
        <f>IF(F236="",1,IFERROR(VLOOKUP(F236,A:K,11,FALSE)+1,1))</f>
        <v>4</v>
      </c>
      <c r="L236" s="1" t="str">
        <f>IF(F236="","الأصل",IF(VLOOKUP(F236,A:L,12,FALSE)="الأصل","الفرع "&amp;K236-1,VLOOKUP(F236,A:L,12,FALSE)))</f>
        <v>العبدالكريم</v>
      </c>
      <c r="M236" s="1" t="str">
        <f t="shared" si="1"/>
        <v>عبدالكريم بن عبدالله بن عبدالكريم حمد</v>
      </c>
      <c r="N236" s="1" t="str">
        <f t="shared" si="2"/>
        <v>عبدالكريم bin عبدالله bin عبدالكريم Al-حمد</v>
      </c>
      <c r="O236" s="1" t="str">
        <f t="shared" ca="1" si="3"/>
        <v/>
      </c>
      <c r="P236" s="1">
        <f t="shared" si="4"/>
        <v>0</v>
      </c>
      <c r="Q236" s="1"/>
      <c r="R236" s="1"/>
      <c r="S236" s="1" t="str">
        <f t="shared" si="5"/>
        <v>Living</v>
      </c>
    </row>
    <row r="237" spans="1:19" ht="15.75" customHeight="1" x14ac:dyDescent="0.2">
      <c r="A237" s="1" t="str">
        <f t="shared" si="0"/>
        <v>P236</v>
      </c>
      <c r="B237" s="1" t="s">
        <v>100</v>
      </c>
      <c r="C237" s="1" t="s">
        <v>119</v>
      </c>
      <c r="D237" s="1" t="s">
        <v>96</v>
      </c>
      <c r="E237" s="1" t="s">
        <v>31</v>
      </c>
      <c r="F237" s="1" t="s">
        <v>271</v>
      </c>
      <c r="G237" s="1" t="s">
        <v>35</v>
      </c>
      <c r="H237" s="1"/>
      <c r="I237" s="1"/>
      <c r="J237" s="1"/>
      <c r="K237" s="1">
        <f>IF(F237="",1,IFERROR(VLOOKUP(F237,A:K,11,FALSE)+1,1))</f>
        <v>4</v>
      </c>
      <c r="L237" s="1" t="str">
        <f>IF(F237="","الأصل",IF(VLOOKUP(F237,A:L,12,FALSE)="الأصل","الفرع "&amp;K237-1,VLOOKUP(F237,A:L,12,FALSE)))</f>
        <v>العبدالكريم</v>
      </c>
      <c r="M237" s="1" t="str">
        <f t="shared" si="1"/>
        <v>محمد بن عبدالله بن عبدالكريم حمد</v>
      </c>
      <c r="N237" s="1" t="str">
        <f t="shared" si="2"/>
        <v>محمد bin عبدالله bin عبدالكريم Al-حمد</v>
      </c>
      <c r="O237" s="1" t="str">
        <f t="shared" ca="1" si="3"/>
        <v/>
      </c>
      <c r="P237" s="1">
        <f t="shared" si="4"/>
        <v>0</v>
      </c>
      <c r="Q237" s="1"/>
      <c r="R237" s="1"/>
      <c r="S237" s="1" t="str">
        <f t="shared" si="5"/>
        <v>Living</v>
      </c>
    </row>
    <row r="238" spans="1:19" ht="15.75" customHeight="1" x14ac:dyDescent="0.2">
      <c r="A238" s="1" t="str">
        <f t="shared" si="0"/>
        <v>P237</v>
      </c>
      <c r="B238" s="1" t="s">
        <v>272</v>
      </c>
      <c r="C238" s="1" t="s">
        <v>100</v>
      </c>
      <c r="D238" s="1" t="s">
        <v>119</v>
      </c>
      <c r="E238" s="1" t="s">
        <v>96</v>
      </c>
      <c r="F238" s="1" t="s">
        <v>273</v>
      </c>
      <c r="G238" s="1" t="s">
        <v>35</v>
      </c>
      <c r="H238" s="1"/>
      <c r="I238" s="1"/>
      <c r="J238" s="1"/>
      <c r="K238" s="1">
        <f>IF(F238="",1,IFERROR(VLOOKUP(F238,A:K,11,FALSE)+1,1))</f>
        <v>5</v>
      </c>
      <c r="L238" s="1" t="str">
        <f>IF(F238="","الأصل",IF(VLOOKUP(F238,A:L,12,FALSE)="الأصل","الفرع "&amp;K238-1,VLOOKUP(F238,A:L,12,FALSE)))</f>
        <v>العبدالكريم</v>
      </c>
      <c r="M238" s="1" t="str">
        <f t="shared" si="1"/>
        <v>عثمان بن محمد بن عبدالله عبدالكريم</v>
      </c>
      <c r="N238" s="1" t="str">
        <f t="shared" si="2"/>
        <v>عثمان bin محمد bin عبدالله Al-عبدالكريم</v>
      </c>
      <c r="O238" s="1" t="str">
        <f t="shared" ca="1" si="3"/>
        <v/>
      </c>
      <c r="P238" s="1">
        <f t="shared" si="4"/>
        <v>0</v>
      </c>
      <c r="Q238" s="1"/>
      <c r="R238" s="1"/>
      <c r="S238" s="1" t="str">
        <f t="shared" si="5"/>
        <v>Living</v>
      </c>
    </row>
    <row r="239" spans="1:19" ht="15.75" customHeight="1" x14ac:dyDescent="0.2">
      <c r="A239" s="1" t="str">
        <f t="shared" si="0"/>
        <v>P238</v>
      </c>
      <c r="B239" s="1" t="s">
        <v>108</v>
      </c>
      <c r="C239" s="1" t="s">
        <v>100</v>
      </c>
      <c r="D239" s="1" t="s">
        <v>119</v>
      </c>
      <c r="E239" s="1" t="s">
        <v>96</v>
      </c>
      <c r="F239" s="1" t="s">
        <v>273</v>
      </c>
      <c r="G239" s="1" t="s">
        <v>35</v>
      </c>
      <c r="H239" s="1"/>
      <c r="I239" s="1"/>
      <c r="J239" s="1"/>
      <c r="K239" s="1">
        <f>IF(F239="",1,IFERROR(VLOOKUP(F239,A:K,11,FALSE)+1,1))</f>
        <v>5</v>
      </c>
      <c r="L239" s="1" t="str">
        <f>IF(F239="","الأصل",IF(VLOOKUP(F239,A:L,12,FALSE)="الأصل","الفرع "&amp;K239-1,VLOOKUP(F239,A:L,12,FALSE)))</f>
        <v>العبدالكريم</v>
      </c>
      <c r="M239" s="1" t="str">
        <f t="shared" si="1"/>
        <v>عبدالعزيز بن محمد بن عبدالله عبدالكريم</v>
      </c>
      <c r="N239" s="1" t="str">
        <f t="shared" si="2"/>
        <v>عبدالعزيز bin محمد bin عبدالله Al-عبدالكريم</v>
      </c>
      <c r="O239" s="1" t="str">
        <f t="shared" ca="1" si="3"/>
        <v/>
      </c>
      <c r="P239" s="1">
        <f t="shared" si="4"/>
        <v>0</v>
      </c>
      <c r="Q239" s="1"/>
      <c r="R239" s="1"/>
      <c r="S239" s="1" t="str">
        <f t="shared" si="5"/>
        <v>Living</v>
      </c>
    </row>
    <row r="240" spans="1:19" ht="15.75" customHeight="1" x14ac:dyDescent="0.2">
      <c r="A240" s="1" t="str">
        <f t="shared" si="0"/>
        <v>P239</v>
      </c>
      <c r="B240" s="1" t="s">
        <v>119</v>
      </c>
      <c r="C240" s="1" t="s">
        <v>100</v>
      </c>
      <c r="D240" s="1" t="s">
        <v>119</v>
      </c>
      <c r="E240" s="1" t="s">
        <v>96</v>
      </c>
      <c r="F240" s="1" t="s">
        <v>273</v>
      </c>
      <c r="G240" s="1" t="s">
        <v>35</v>
      </c>
      <c r="H240" s="1"/>
      <c r="I240" s="1"/>
      <c r="J240" s="1"/>
      <c r="K240" s="1">
        <f>IF(F240="",1,IFERROR(VLOOKUP(F240,A:K,11,FALSE)+1,1))</f>
        <v>5</v>
      </c>
      <c r="L240" s="1" t="str">
        <f>IF(F240="","الأصل",IF(VLOOKUP(F240,A:L,12,FALSE)="الأصل","الفرع "&amp;K240-1,VLOOKUP(F240,A:L,12,FALSE)))</f>
        <v>العبدالكريم</v>
      </c>
      <c r="M240" s="1" t="str">
        <f t="shared" si="1"/>
        <v>عبدالله بن محمد بن عبدالله عبدالكريم</v>
      </c>
      <c r="N240" s="1" t="str">
        <f t="shared" si="2"/>
        <v>عبدالله bin محمد bin عبدالله Al-عبدالكريم</v>
      </c>
      <c r="O240" s="1" t="str">
        <f t="shared" ca="1" si="3"/>
        <v/>
      </c>
      <c r="P240" s="1">
        <f t="shared" si="4"/>
        <v>0</v>
      </c>
      <c r="Q240" s="1"/>
      <c r="R240" s="1"/>
      <c r="S240" s="1" t="str">
        <f t="shared" si="5"/>
        <v>Living</v>
      </c>
    </row>
    <row r="241" spans="1:19" ht="15.75" customHeight="1" x14ac:dyDescent="0.2">
      <c r="A241" s="1" t="str">
        <f t="shared" si="0"/>
        <v>P240</v>
      </c>
      <c r="B241" s="1" t="s">
        <v>100</v>
      </c>
      <c r="C241" s="1" t="s">
        <v>119</v>
      </c>
      <c r="D241" s="1" t="s">
        <v>100</v>
      </c>
      <c r="E241" s="1" t="s">
        <v>119</v>
      </c>
      <c r="F241" s="1" t="s">
        <v>274</v>
      </c>
      <c r="G241" s="1" t="s">
        <v>35</v>
      </c>
      <c r="H241" s="1"/>
      <c r="I241" s="1"/>
      <c r="J241" s="1"/>
      <c r="K241" s="1">
        <f>IF(F241="",1,IFERROR(VLOOKUP(F241,A:K,11,FALSE)+1,1))</f>
        <v>6</v>
      </c>
      <c r="L241" s="1" t="str">
        <f>IF(F241="","الأصل",IF(VLOOKUP(F241,A:L,12,FALSE)="الأصل","الفرع "&amp;K241-1,VLOOKUP(F241,A:L,12,FALSE)))</f>
        <v>العبدالكريم</v>
      </c>
      <c r="M241" s="1" t="str">
        <f t="shared" si="1"/>
        <v>محمد بن عبدالله بن محمد عبدالله</v>
      </c>
      <c r="N241" s="1" t="str">
        <f t="shared" si="2"/>
        <v>محمد bin عبدالله bin محمد Al-عبدالله</v>
      </c>
      <c r="O241" s="1" t="str">
        <f t="shared" ca="1" si="3"/>
        <v/>
      </c>
      <c r="P241" s="1">
        <f t="shared" si="4"/>
        <v>0</v>
      </c>
      <c r="Q241" s="1"/>
      <c r="R241" s="1"/>
      <c r="S241" s="1" t="str">
        <f t="shared" si="5"/>
        <v>Living</v>
      </c>
    </row>
    <row r="242" spans="1:19" ht="15.75" customHeight="1" x14ac:dyDescent="0.2">
      <c r="A242" s="1" t="str">
        <f t="shared" si="0"/>
        <v>P241</v>
      </c>
      <c r="B242" s="1" t="s">
        <v>108</v>
      </c>
      <c r="C242" s="1" t="s">
        <v>119</v>
      </c>
      <c r="D242" s="1" t="s">
        <v>100</v>
      </c>
      <c r="E242" s="1" t="s">
        <v>119</v>
      </c>
      <c r="F242" s="1" t="s">
        <v>274</v>
      </c>
      <c r="G242" s="1" t="s">
        <v>35</v>
      </c>
      <c r="H242" s="1"/>
      <c r="I242" s="1"/>
      <c r="J242" s="1"/>
      <c r="K242" s="1">
        <f>IF(F242="",1,IFERROR(VLOOKUP(F242,A:K,11,FALSE)+1,1))</f>
        <v>6</v>
      </c>
      <c r="L242" s="1" t="str">
        <f>IF(F242="","الأصل",IF(VLOOKUP(F242,A:L,12,FALSE)="الأصل","الفرع "&amp;K242-1,VLOOKUP(F242,A:L,12,FALSE)))</f>
        <v>العبدالكريم</v>
      </c>
      <c r="M242" s="1" t="str">
        <f t="shared" si="1"/>
        <v>عبدالعزيز بن عبدالله بن محمد عبدالله</v>
      </c>
      <c r="N242" s="1" t="str">
        <f t="shared" si="2"/>
        <v>عبدالعزيز bin عبدالله bin محمد Al-عبدالله</v>
      </c>
      <c r="O242" s="1" t="str">
        <f t="shared" ca="1" si="3"/>
        <v/>
      </c>
      <c r="P242" s="1">
        <f t="shared" si="4"/>
        <v>0</v>
      </c>
      <c r="Q242" s="1"/>
      <c r="R242" s="1"/>
      <c r="S242" s="1" t="str">
        <f t="shared" si="5"/>
        <v>Living</v>
      </c>
    </row>
    <row r="243" spans="1:19" ht="15.75" customHeight="1" x14ac:dyDescent="0.2">
      <c r="A243" s="1" t="str">
        <f t="shared" si="0"/>
        <v>P242</v>
      </c>
      <c r="B243" s="1" t="s">
        <v>119</v>
      </c>
      <c r="C243" s="1" t="s">
        <v>100</v>
      </c>
      <c r="D243" s="1" t="s">
        <v>119</v>
      </c>
      <c r="E243" s="1" t="s">
        <v>100</v>
      </c>
      <c r="F243" s="1" t="s">
        <v>275</v>
      </c>
      <c r="G243" s="1" t="s">
        <v>35</v>
      </c>
      <c r="H243" s="1"/>
      <c r="I243" s="1"/>
      <c r="J243" s="1"/>
      <c r="K243" s="1">
        <f>IF(F243="",1,IFERROR(VLOOKUP(F243,A:K,11,FALSE)+1,1))</f>
        <v>7</v>
      </c>
      <c r="L243" s="1" t="str">
        <f>IF(F243="","الأصل",IF(VLOOKUP(F243,A:L,12,FALSE)="الأصل","الفرع "&amp;K243-1,VLOOKUP(F243,A:L,12,FALSE)))</f>
        <v>العبدالكريم</v>
      </c>
      <c r="M243" s="1" t="str">
        <f t="shared" si="1"/>
        <v>عبدالله بن محمد بن عبدالله محمد</v>
      </c>
      <c r="N243" s="1" t="str">
        <f t="shared" si="2"/>
        <v>عبدالله bin محمد bin عبدالله Al-محمد</v>
      </c>
      <c r="O243" s="1" t="str">
        <f t="shared" ca="1" si="3"/>
        <v/>
      </c>
      <c r="P243" s="1">
        <f t="shared" si="4"/>
        <v>0</v>
      </c>
      <c r="Q243" s="1"/>
      <c r="R243" s="1"/>
      <c r="S243" s="1" t="str">
        <f t="shared" si="5"/>
        <v>Living</v>
      </c>
    </row>
    <row r="244" spans="1:19" ht="15.75" customHeight="1" x14ac:dyDescent="0.2">
      <c r="A244" s="1" t="str">
        <f t="shared" si="0"/>
        <v>P243</v>
      </c>
      <c r="B244" s="1" t="s">
        <v>108</v>
      </c>
      <c r="C244" s="1" t="s">
        <v>100</v>
      </c>
      <c r="D244" s="1" t="s">
        <v>119</v>
      </c>
      <c r="E244" s="1" t="s">
        <v>100</v>
      </c>
      <c r="F244" s="1" t="s">
        <v>275</v>
      </c>
      <c r="G244" s="1" t="s">
        <v>35</v>
      </c>
      <c r="H244" s="1"/>
      <c r="I244" s="1"/>
      <c r="J244" s="1"/>
      <c r="K244" s="1">
        <f>IF(F244="",1,IFERROR(VLOOKUP(F244,A:K,11,FALSE)+1,1))</f>
        <v>7</v>
      </c>
      <c r="L244" s="1" t="str">
        <f>IF(F244="","الأصل",IF(VLOOKUP(F244,A:L,12,FALSE)="الأصل","الفرع "&amp;K244-1,VLOOKUP(F244,A:L,12,FALSE)))</f>
        <v>العبدالكريم</v>
      </c>
      <c r="M244" s="1" t="str">
        <f t="shared" si="1"/>
        <v>عبدالعزيز بن محمد بن عبدالله محمد</v>
      </c>
      <c r="N244" s="1" t="str">
        <f t="shared" si="2"/>
        <v>عبدالعزيز bin محمد bin عبدالله Al-محمد</v>
      </c>
      <c r="O244" s="1" t="str">
        <f t="shared" ca="1" si="3"/>
        <v/>
      </c>
      <c r="P244" s="1">
        <f t="shared" si="4"/>
        <v>0</v>
      </c>
      <c r="Q244" s="1"/>
      <c r="R244" s="1"/>
      <c r="S244" s="1" t="str">
        <f t="shared" si="5"/>
        <v>Living</v>
      </c>
    </row>
    <row r="245" spans="1:19" ht="15.75" customHeight="1" x14ac:dyDescent="0.2">
      <c r="A245" s="1" t="str">
        <f t="shared" si="0"/>
        <v>P244</v>
      </c>
      <c r="B245" s="1" t="s">
        <v>254</v>
      </c>
      <c r="C245" s="1" t="s">
        <v>100</v>
      </c>
      <c r="D245" s="1" t="s">
        <v>119</v>
      </c>
      <c r="E245" s="1" t="s">
        <v>100</v>
      </c>
      <c r="F245" s="1" t="s">
        <v>275</v>
      </c>
      <c r="G245" s="1" t="s">
        <v>35</v>
      </c>
      <c r="H245" s="1"/>
      <c r="I245" s="1"/>
      <c r="J245" s="1"/>
      <c r="K245" s="1">
        <f>IF(F245="",1,IFERROR(VLOOKUP(F245,A:K,11,FALSE)+1,1))</f>
        <v>7</v>
      </c>
      <c r="L245" s="1" t="str">
        <f>IF(F245="","الأصل",IF(VLOOKUP(F245,A:L,12,FALSE)="الأصل","الفرع "&amp;K245-1,VLOOKUP(F245,A:L,12,FALSE)))</f>
        <v>العبدالكريم</v>
      </c>
      <c r="M245" s="1" t="str">
        <f t="shared" si="1"/>
        <v>يوسف بن محمد بن عبدالله محمد</v>
      </c>
      <c r="N245" s="1" t="str">
        <f t="shared" si="2"/>
        <v>يوسف bin محمد bin عبدالله Al-محمد</v>
      </c>
      <c r="O245" s="1" t="str">
        <f t="shared" ca="1" si="3"/>
        <v/>
      </c>
      <c r="P245" s="1">
        <f t="shared" si="4"/>
        <v>0</v>
      </c>
      <c r="Q245" s="1"/>
      <c r="R245" s="1"/>
      <c r="S245" s="1" t="str">
        <f t="shared" si="5"/>
        <v>Living</v>
      </c>
    </row>
    <row r="246" spans="1:19" ht="15.75" customHeight="1" x14ac:dyDescent="0.2">
      <c r="A246" s="1" t="str">
        <f t="shared" si="0"/>
        <v>P245</v>
      </c>
      <c r="B246" s="1" t="s">
        <v>276</v>
      </c>
      <c r="C246" s="1" t="s">
        <v>100</v>
      </c>
      <c r="D246" s="1" t="s">
        <v>119</v>
      </c>
      <c r="E246" s="1" t="s">
        <v>100</v>
      </c>
      <c r="F246" s="1" t="s">
        <v>275</v>
      </c>
      <c r="G246" s="1" t="s">
        <v>132</v>
      </c>
      <c r="H246" s="1"/>
      <c r="I246" s="1"/>
      <c r="J246" s="1"/>
      <c r="K246" s="1">
        <f>IF(F246="",1,IFERROR(VLOOKUP(F246,A:K,11,FALSE)+1,1))</f>
        <v>7</v>
      </c>
      <c r="L246" s="1" t="str">
        <f>IF(F246="","الأصل",IF(VLOOKUP(F246,A:L,12,FALSE)="الأصل","الفرع "&amp;K246-1,VLOOKUP(F246,A:L,12,FALSE)))</f>
        <v>العبدالكريم</v>
      </c>
      <c r="M246" s="1" t="str">
        <f t="shared" si="1"/>
        <v>ربى بن محمد بن عبدالله محمد</v>
      </c>
      <c r="N246" s="1" t="str">
        <f t="shared" si="2"/>
        <v>ربى bin محمد bin عبدالله Al-محمد</v>
      </c>
      <c r="O246" s="1" t="str">
        <f t="shared" ca="1" si="3"/>
        <v/>
      </c>
      <c r="P246" s="1">
        <f t="shared" si="4"/>
        <v>0</v>
      </c>
      <c r="Q246" s="1"/>
      <c r="R246" s="1"/>
      <c r="S246" s="1" t="str">
        <f t="shared" si="5"/>
        <v>Living</v>
      </c>
    </row>
    <row r="247" spans="1:19" ht="15.75" customHeight="1" x14ac:dyDescent="0.2">
      <c r="A247" s="1" t="str">
        <f t="shared" si="0"/>
        <v>P246</v>
      </c>
      <c r="B247" s="1" t="s">
        <v>277</v>
      </c>
      <c r="C247" s="1" t="s">
        <v>100</v>
      </c>
      <c r="D247" s="1" t="s">
        <v>119</v>
      </c>
      <c r="E247" s="1" t="s">
        <v>100</v>
      </c>
      <c r="F247" s="1" t="s">
        <v>275</v>
      </c>
      <c r="G247" s="1" t="s">
        <v>132</v>
      </c>
      <c r="H247" s="1"/>
      <c r="I247" s="1"/>
      <c r="J247" s="1"/>
      <c r="K247" s="1">
        <f>IF(F247="",1,IFERROR(VLOOKUP(F247,A:K,11,FALSE)+1,1))</f>
        <v>7</v>
      </c>
      <c r="L247" s="1" t="str">
        <f>IF(F247="","الأصل",IF(VLOOKUP(F247,A:L,12,FALSE)="الأصل","الفرع "&amp;K247-1,VLOOKUP(F247,A:L,12,FALSE)))</f>
        <v>العبدالكريم</v>
      </c>
      <c r="M247" s="1" t="str">
        <f t="shared" si="1"/>
        <v>سارة بن محمد بن عبدالله محمد</v>
      </c>
      <c r="N247" s="1" t="str">
        <f t="shared" si="2"/>
        <v>سارة bin محمد bin عبدالله Al-محمد</v>
      </c>
      <c r="O247" s="1" t="str">
        <f t="shared" ca="1" si="3"/>
        <v/>
      </c>
      <c r="P247" s="1">
        <f t="shared" si="4"/>
        <v>0</v>
      </c>
      <c r="Q247" s="1"/>
      <c r="R247" s="1"/>
      <c r="S247" s="1" t="str">
        <f t="shared" si="5"/>
        <v>Living</v>
      </c>
    </row>
    <row r="248" spans="1:19" ht="15.75" customHeight="1" x14ac:dyDescent="0.2">
      <c r="A248" s="1" t="str">
        <f t="shared" si="0"/>
        <v>P247</v>
      </c>
      <c r="B248" s="1" t="s">
        <v>278</v>
      </c>
      <c r="C248" s="1" t="s">
        <v>100</v>
      </c>
      <c r="D248" s="1" t="s">
        <v>119</v>
      </c>
      <c r="E248" s="1" t="s">
        <v>100</v>
      </c>
      <c r="F248" s="1" t="s">
        <v>275</v>
      </c>
      <c r="G248" s="1" t="s">
        <v>132</v>
      </c>
      <c r="H248" s="1"/>
      <c r="I248" s="1"/>
      <c r="J248" s="1"/>
      <c r="K248" s="1">
        <f>IF(F248="",1,IFERROR(VLOOKUP(F248,A:K,11,FALSE)+1,1))</f>
        <v>7</v>
      </c>
      <c r="L248" s="1" t="str">
        <f>IF(F248="","الأصل",IF(VLOOKUP(F248,A:L,12,FALSE)="الأصل","الفرع "&amp;K248-1,VLOOKUP(F248,A:L,12,FALSE)))</f>
        <v>العبدالكريم</v>
      </c>
      <c r="M248" s="1" t="str">
        <f t="shared" si="1"/>
        <v>ديما بن محمد بن عبدالله محمد</v>
      </c>
      <c r="N248" s="1" t="str">
        <f t="shared" si="2"/>
        <v>ديما bin محمد bin عبدالله Al-محمد</v>
      </c>
      <c r="O248" s="1" t="str">
        <f t="shared" ca="1" si="3"/>
        <v/>
      </c>
      <c r="P248" s="1">
        <f t="shared" si="4"/>
        <v>0</v>
      </c>
      <c r="Q248" s="1"/>
      <c r="R248" s="1"/>
      <c r="S248" s="1" t="str">
        <f t="shared" si="5"/>
        <v>Living</v>
      </c>
    </row>
    <row r="249" spans="1:19" ht="15.75" customHeight="1" x14ac:dyDescent="0.2">
      <c r="A249" s="1" t="str">
        <f t="shared" si="0"/>
        <v>P248</v>
      </c>
      <c r="B249" s="1" t="s">
        <v>241</v>
      </c>
      <c r="C249" s="1" t="s">
        <v>100</v>
      </c>
      <c r="D249" s="1" t="s">
        <v>119</v>
      </c>
      <c r="E249" s="1" t="s">
        <v>100</v>
      </c>
      <c r="F249" s="1" t="s">
        <v>275</v>
      </c>
      <c r="G249" s="1" t="s">
        <v>35</v>
      </c>
      <c r="H249" s="1"/>
      <c r="I249" s="1"/>
      <c r="J249" s="1"/>
      <c r="K249" s="1">
        <f>IF(F249="",1,IFERROR(VLOOKUP(F249,A:K,11,FALSE)+1,1))</f>
        <v>7</v>
      </c>
      <c r="L249" s="1" t="str">
        <f>IF(F249="","الأصل",IF(VLOOKUP(F249,A:L,12,FALSE)="الأصل","الفرع "&amp;K249-1,VLOOKUP(F249,A:L,12,FALSE)))</f>
        <v>العبدالكريم</v>
      </c>
      <c r="M249" s="1" t="str">
        <f t="shared" si="1"/>
        <v>عمر بن محمد بن عبدالله محمد</v>
      </c>
      <c r="N249" s="1" t="str">
        <f t="shared" si="2"/>
        <v>عمر bin محمد bin عبدالله Al-محمد</v>
      </c>
      <c r="O249" s="1" t="str">
        <f t="shared" ca="1" si="3"/>
        <v/>
      </c>
      <c r="P249" s="1">
        <f t="shared" si="4"/>
        <v>0</v>
      </c>
      <c r="Q249" s="1"/>
      <c r="R249" s="1"/>
      <c r="S249" s="1" t="str">
        <f t="shared" si="5"/>
        <v>Living</v>
      </c>
    </row>
    <row r="250" spans="1:19" ht="15.75" customHeight="1" x14ac:dyDescent="0.2">
      <c r="A250" s="1" t="str">
        <f t="shared" si="0"/>
        <v>P249</v>
      </c>
      <c r="B250" s="1" t="s">
        <v>279</v>
      </c>
      <c r="C250" s="1" t="s">
        <v>100</v>
      </c>
      <c r="D250" s="1" t="s">
        <v>119</v>
      </c>
      <c r="E250" s="1" t="s">
        <v>100</v>
      </c>
      <c r="F250" s="1" t="s">
        <v>275</v>
      </c>
      <c r="G250" s="1" t="s">
        <v>132</v>
      </c>
      <c r="H250" s="1"/>
      <c r="I250" s="1"/>
      <c r="J250" s="1"/>
      <c r="K250" s="1">
        <f>IF(F250="",1,IFERROR(VLOOKUP(F250,A:K,11,FALSE)+1,1))</f>
        <v>7</v>
      </c>
      <c r="L250" s="1" t="str">
        <f>IF(F250="","الأصل",IF(VLOOKUP(F250,A:L,12,FALSE)="الأصل","الفرع "&amp;K250-1,VLOOKUP(F250,A:L,12,FALSE)))</f>
        <v>العبدالكريم</v>
      </c>
      <c r="M250" s="1" t="str">
        <f t="shared" si="1"/>
        <v>الين بن محمد بن عبدالله محمد</v>
      </c>
      <c r="N250" s="1" t="str">
        <f t="shared" si="2"/>
        <v>الين bin محمد bin عبدالله Al-محمد</v>
      </c>
      <c r="O250" s="1" t="str">
        <f t="shared" ca="1" si="3"/>
        <v/>
      </c>
      <c r="P250" s="1">
        <f t="shared" si="4"/>
        <v>0</v>
      </c>
      <c r="Q250" s="1"/>
      <c r="R250" s="1"/>
      <c r="S250" s="1" t="str">
        <f t="shared" si="5"/>
        <v>Living</v>
      </c>
    </row>
    <row r="251" spans="1:19" ht="15.75" customHeight="1" x14ac:dyDescent="0.2">
      <c r="A251" s="1" t="str">
        <f t="shared" si="0"/>
        <v>P250</v>
      </c>
      <c r="B251" s="1" t="s">
        <v>154</v>
      </c>
      <c r="C251" s="1" t="s">
        <v>100</v>
      </c>
      <c r="D251" s="1" t="s">
        <v>119</v>
      </c>
      <c r="E251" s="1" t="s">
        <v>100</v>
      </c>
      <c r="F251" s="1" t="s">
        <v>275</v>
      </c>
      <c r="G251" s="1" t="s">
        <v>132</v>
      </c>
      <c r="H251" s="1"/>
      <c r="I251" s="1"/>
      <c r="J251" s="1"/>
      <c r="K251" s="1">
        <f>IF(F251="",1,IFERROR(VLOOKUP(F251,A:K,11,FALSE)+1,1))</f>
        <v>7</v>
      </c>
      <c r="L251" s="1" t="str">
        <f>IF(F251="","الأصل",IF(VLOOKUP(F251,A:L,12,FALSE)="الأصل","الفرع "&amp;K251-1,VLOOKUP(F251,A:L,12,FALSE)))</f>
        <v>العبدالكريم</v>
      </c>
      <c r="M251" s="1" t="str">
        <f t="shared" si="1"/>
        <v>ريما بن محمد بن عبدالله محمد</v>
      </c>
      <c r="N251" s="1" t="str">
        <f t="shared" si="2"/>
        <v>ريما bin محمد bin عبدالله Al-محمد</v>
      </c>
      <c r="O251" s="1" t="str">
        <f t="shared" ca="1" si="3"/>
        <v/>
      </c>
      <c r="P251" s="1">
        <f t="shared" si="4"/>
        <v>0</v>
      </c>
      <c r="Q251" s="1"/>
      <c r="R251" s="1"/>
      <c r="S251" s="1" t="str">
        <f t="shared" si="5"/>
        <v>Living</v>
      </c>
    </row>
    <row r="252" spans="1:19" ht="15.75" customHeight="1" x14ac:dyDescent="0.2">
      <c r="A252" s="1" t="str">
        <f t="shared" si="0"/>
        <v>P251</v>
      </c>
      <c r="B252" s="1" t="s">
        <v>280</v>
      </c>
      <c r="C252" s="1" t="s">
        <v>108</v>
      </c>
      <c r="D252" s="1" t="s">
        <v>119</v>
      </c>
      <c r="E252" s="1" t="s">
        <v>100</v>
      </c>
      <c r="F252" s="1" t="s">
        <v>281</v>
      </c>
      <c r="G252" s="1" t="s">
        <v>132</v>
      </c>
      <c r="H252" s="1"/>
      <c r="I252" s="1"/>
      <c r="J252" s="1"/>
      <c r="K252" s="1">
        <f>IF(F252="",1,IFERROR(VLOOKUP(F252,A:K,11,FALSE)+1,1))</f>
        <v>7</v>
      </c>
      <c r="L252" s="1" t="str">
        <f>IF(F252="","الأصل",IF(VLOOKUP(F252,A:L,12,FALSE)="الأصل","الفرع "&amp;K252-1,VLOOKUP(F252,A:L,12,FALSE)))</f>
        <v>العبدالكريم</v>
      </c>
      <c r="M252" s="1" t="str">
        <f t="shared" si="1"/>
        <v>لبنى بن عبدالعزيز بن عبدالله محمد</v>
      </c>
      <c r="N252" s="1" t="str">
        <f t="shared" si="2"/>
        <v>لبنى bin عبدالعزيز bin عبدالله Al-محمد</v>
      </c>
      <c r="O252" s="1" t="str">
        <f t="shared" ca="1" si="3"/>
        <v/>
      </c>
      <c r="P252" s="1">
        <f t="shared" si="4"/>
        <v>0</v>
      </c>
      <c r="Q252" s="1"/>
      <c r="R252" s="1"/>
      <c r="S252" s="1" t="str">
        <f t="shared" si="5"/>
        <v>Living</v>
      </c>
    </row>
    <row r="253" spans="1:19" ht="15.75" customHeight="1" x14ac:dyDescent="0.2">
      <c r="A253" s="1" t="str">
        <f t="shared" si="0"/>
        <v>P252</v>
      </c>
      <c r="B253" s="1" t="s">
        <v>187</v>
      </c>
      <c r="C253" s="1" t="s">
        <v>108</v>
      </c>
      <c r="D253" s="1" t="s">
        <v>119</v>
      </c>
      <c r="E253" s="1" t="s">
        <v>100</v>
      </c>
      <c r="F253" s="1" t="s">
        <v>281</v>
      </c>
      <c r="G253" s="1" t="s">
        <v>132</v>
      </c>
      <c r="H253" s="1"/>
      <c r="I253" s="1"/>
      <c r="J253" s="1"/>
      <c r="K253" s="1">
        <f>IF(F253="",1,IFERROR(VLOOKUP(F253,A:K,11,FALSE)+1,1))</f>
        <v>7</v>
      </c>
      <c r="L253" s="1" t="str">
        <f>IF(F253="","الأصل",IF(VLOOKUP(F253,A:L,12,FALSE)="الأصل","الفرع "&amp;K253-1,VLOOKUP(F253,A:L,12,FALSE)))</f>
        <v>العبدالكريم</v>
      </c>
      <c r="M253" s="1" t="str">
        <f t="shared" si="1"/>
        <v>لمى بن عبدالعزيز بن عبدالله محمد</v>
      </c>
      <c r="N253" s="1" t="str">
        <f t="shared" si="2"/>
        <v>لمى bin عبدالعزيز bin عبدالله Al-محمد</v>
      </c>
      <c r="O253" s="1" t="str">
        <f t="shared" ca="1" si="3"/>
        <v/>
      </c>
      <c r="P253" s="1">
        <f t="shared" si="4"/>
        <v>0</v>
      </c>
      <c r="Q253" s="1"/>
      <c r="R253" s="1"/>
      <c r="S253" s="1" t="str">
        <f t="shared" si="5"/>
        <v>Living</v>
      </c>
    </row>
    <row r="254" spans="1:19" ht="15.75" customHeight="1" x14ac:dyDescent="0.2">
      <c r="A254" s="1" t="str">
        <f t="shared" si="0"/>
        <v>P253</v>
      </c>
      <c r="B254" s="1" t="s">
        <v>282</v>
      </c>
      <c r="C254" s="1" t="s">
        <v>108</v>
      </c>
      <c r="D254" s="1" t="s">
        <v>119</v>
      </c>
      <c r="E254" s="1" t="s">
        <v>100</v>
      </c>
      <c r="F254" s="1" t="s">
        <v>281</v>
      </c>
      <c r="G254" s="1" t="s">
        <v>132</v>
      </c>
      <c r="H254" s="1"/>
      <c r="I254" s="1"/>
      <c r="J254" s="1"/>
      <c r="K254" s="1">
        <f>IF(F254="",1,IFERROR(VLOOKUP(F254,A:K,11,FALSE)+1,1))</f>
        <v>7</v>
      </c>
      <c r="L254" s="1" t="str">
        <f>IF(F254="","الأصل",IF(VLOOKUP(F254,A:L,12,FALSE)="الأصل","الفرع "&amp;K254-1,VLOOKUP(F254,A:L,12,FALSE)))</f>
        <v>العبدالكريم</v>
      </c>
      <c r="M254" s="1" t="str">
        <f t="shared" si="1"/>
        <v>لينا بن عبدالعزيز بن عبدالله محمد</v>
      </c>
      <c r="N254" s="1" t="str">
        <f t="shared" si="2"/>
        <v>لينا bin عبدالعزيز bin عبدالله Al-محمد</v>
      </c>
      <c r="O254" s="1" t="str">
        <f t="shared" ca="1" si="3"/>
        <v/>
      </c>
      <c r="P254" s="1">
        <f t="shared" si="4"/>
        <v>0</v>
      </c>
      <c r="Q254" s="1"/>
      <c r="R254" s="1"/>
      <c r="S254" s="1" t="str">
        <f t="shared" si="5"/>
        <v>Living</v>
      </c>
    </row>
    <row r="255" spans="1:19" ht="15.75" customHeight="1" x14ac:dyDescent="0.2">
      <c r="A255" s="1" t="str">
        <f t="shared" si="0"/>
        <v>P254</v>
      </c>
      <c r="B255" s="1" t="s">
        <v>283</v>
      </c>
      <c r="C255" s="1" t="s">
        <v>108</v>
      </c>
      <c r="D255" s="1" t="s">
        <v>119</v>
      </c>
      <c r="E255" s="1" t="s">
        <v>100</v>
      </c>
      <c r="F255" s="1" t="s">
        <v>281</v>
      </c>
      <c r="G255" s="1" t="s">
        <v>35</v>
      </c>
      <c r="H255" s="1"/>
      <c r="I255" s="1"/>
      <c r="J255" s="1"/>
      <c r="K255" s="1">
        <f>IF(F255="",1,IFERROR(VLOOKUP(F255,A:K,11,FALSE)+1,1))</f>
        <v>7</v>
      </c>
      <c r="L255" s="1" t="str">
        <f>IF(F255="","الأصل",IF(VLOOKUP(F255,A:L,12,FALSE)="الأصل","الفرع "&amp;K255-1,VLOOKUP(F255,A:L,12,FALSE)))</f>
        <v>العبدالكريم</v>
      </c>
      <c r="M255" s="1" t="str">
        <f t="shared" si="1"/>
        <v>عبدالله  بن عبدالعزيز بن عبدالله محمد</v>
      </c>
      <c r="N255" s="1" t="str">
        <f t="shared" si="2"/>
        <v>عبدالله  bin عبدالعزيز bin عبدالله Al-محمد</v>
      </c>
      <c r="O255" s="1" t="str">
        <f t="shared" ca="1" si="3"/>
        <v/>
      </c>
      <c r="P255" s="1">
        <f t="shared" si="4"/>
        <v>0</v>
      </c>
      <c r="Q255" s="1"/>
      <c r="R255" s="1"/>
      <c r="S255" s="1" t="str">
        <f t="shared" si="5"/>
        <v>Living</v>
      </c>
    </row>
    <row r="256" spans="1:19" ht="15.75" customHeight="1" x14ac:dyDescent="0.2">
      <c r="A256" s="1" t="str">
        <f t="shared" si="0"/>
        <v>P255</v>
      </c>
      <c r="B256" s="1" t="s">
        <v>111</v>
      </c>
      <c r="C256" s="1" t="s">
        <v>108</v>
      </c>
      <c r="D256" s="1" t="s">
        <v>119</v>
      </c>
      <c r="E256" s="1" t="s">
        <v>100</v>
      </c>
      <c r="F256" s="1" t="s">
        <v>281</v>
      </c>
      <c r="G256" s="1" t="s">
        <v>35</v>
      </c>
      <c r="H256" s="1"/>
      <c r="I256" s="1"/>
      <c r="J256" s="1"/>
      <c r="K256" s="1">
        <f>IF(F256="",1,IFERROR(VLOOKUP(F256,A:K,11,FALSE)+1,1))</f>
        <v>7</v>
      </c>
      <c r="L256" s="1" t="str">
        <f>IF(F256="","الأصل",IF(VLOOKUP(F256,A:L,12,FALSE)="الأصل","الفرع "&amp;K256-1,VLOOKUP(F256,A:L,12,FALSE)))</f>
        <v>العبدالكريم</v>
      </c>
      <c r="M256" s="1" t="str">
        <f t="shared" si="1"/>
        <v>فهد بن عبدالعزيز بن عبدالله محمد</v>
      </c>
      <c r="N256" s="1" t="str">
        <f t="shared" si="2"/>
        <v>فهد bin عبدالعزيز bin عبدالله Al-محمد</v>
      </c>
      <c r="O256" s="1" t="str">
        <f t="shared" ca="1" si="3"/>
        <v/>
      </c>
      <c r="P256" s="1">
        <f t="shared" si="4"/>
        <v>0</v>
      </c>
      <c r="Q256" s="1"/>
      <c r="R256" s="1"/>
      <c r="S256" s="1" t="str">
        <f t="shared" si="5"/>
        <v>Living</v>
      </c>
    </row>
    <row r="257" spans="1:19" ht="15.75" customHeight="1" x14ac:dyDescent="0.2">
      <c r="A257" s="1" t="str">
        <f t="shared" ref="A257:A390" si="6">"P"&amp;TEXT(ROW()-1,"000")</f>
        <v>P256</v>
      </c>
      <c r="B257" s="1" t="s">
        <v>190</v>
      </c>
      <c r="C257" s="1" t="s">
        <v>119</v>
      </c>
      <c r="D257" s="1" t="s">
        <v>100</v>
      </c>
      <c r="E257" s="1" t="s">
        <v>119</v>
      </c>
      <c r="F257" s="1" t="s">
        <v>274</v>
      </c>
      <c r="G257" s="1" t="s">
        <v>132</v>
      </c>
      <c r="H257" s="1"/>
      <c r="I257" s="1"/>
      <c r="J257" s="1"/>
      <c r="K257" s="1">
        <f>IF(F257="",1,IFERROR(VLOOKUP(F257,A:K,11,FALSE)+1,1))</f>
        <v>6</v>
      </c>
      <c r="L257" s="1" t="str">
        <f>IF(F257="","الأصل",IF(VLOOKUP(F257,A:L,12,FALSE)="الأصل","الفرع "&amp;K257-1,VLOOKUP(F257,A:L,12,FALSE)))</f>
        <v>العبدالكريم</v>
      </c>
      <c r="M257" s="1" t="str">
        <f t="shared" ref="M257:M390" si="7">IF(B257&lt;&gt;"",IF(C257&lt;&gt;"",CONCATENATE(B257," بن ",C257," بن ",D257," ",E257),CONCATENATE(B257," ",E257)),"")</f>
        <v>الجوهرة بن عبدالله بن محمد عبدالله</v>
      </c>
      <c r="N257" s="1" t="str">
        <f t="shared" ref="N257:N390" si="8">IF(B257&lt;&gt;"",IF(C257&lt;&gt;"",CONCATENATE(B257," bin ",C257," bin ",D257," Al-",E257),CONCATENATE(B257," Al-",E257)),"")</f>
        <v>الجوهرة bin عبدالله bin محمد Al-عبدالله</v>
      </c>
      <c r="O257" s="1" t="str">
        <f t="shared" ref="O257:O390" ca="1" si="9">IF(H257&lt;&gt;"",YEAR(TODAY())-H257,"")</f>
        <v/>
      </c>
      <c r="P257" s="1">
        <f t="shared" ref="P257:P390" si="10">I257+J257</f>
        <v>0</v>
      </c>
      <c r="Q257" s="1"/>
      <c r="R257" s="1"/>
      <c r="S257" s="1" t="str">
        <f t="shared" ref="S257:S390" si="11">IF(B257&lt;&gt;"","Living","")</f>
        <v>Living</v>
      </c>
    </row>
    <row r="258" spans="1:19" ht="15.75" customHeight="1" x14ac:dyDescent="0.2">
      <c r="A258" s="1" t="str">
        <f t="shared" si="6"/>
        <v>P257</v>
      </c>
      <c r="B258" s="1" t="s">
        <v>216</v>
      </c>
      <c r="C258" s="1" t="s">
        <v>119</v>
      </c>
      <c r="D258" s="1" t="s">
        <v>100</v>
      </c>
      <c r="E258" s="1" t="s">
        <v>119</v>
      </c>
      <c r="F258" s="1" t="s">
        <v>274</v>
      </c>
      <c r="G258" s="1" t="s">
        <v>132</v>
      </c>
      <c r="H258" s="1"/>
      <c r="I258" s="1"/>
      <c r="J258" s="1"/>
      <c r="K258" s="1">
        <f>IF(F258="",1,IFERROR(VLOOKUP(F258,A:K,11,FALSE)+1,1))</f>
        <v>6</v>
      </c>
      <c r="L258" s="1" t="str">
        <f>IF(F258="","الأصل",IF(VLOOKUP(F258,A:L,12,FALSE)="الأصل","الفرع "&amp;K258-1,VLOOKUP(F258,A:L,12,FALSE)))</f>
        <v>العبدالكريم</v>
      </c>
      <c r="M258" s="1" t="str">
        <f t="shared" si="7"/>
        <v>قماشة بن عبدالله بن محمد عبدالله</v>
      </c>
      <c r="N258" s="1" t="str">
        <f t="shared" si="8"/>
        <v>قماشة bin عبدالله bin محمد Al-عبدالله</v>
      </c>
      <c r="O258" s="1" t="str">
        <f t="shared" ca="1" si="9"/>
        <v/>
      </c>
      <c r="P258" s="1">
        <f t="shared" si="10"/>
        <v>0</v>
      </c>
      <c r="Q258" s="1"/>
      <c r="R258" s="1"/>
      <c r="S258" s="1" t="str">
        <f t="shared" si="11"/>
        <v>Living</v>
      </c>
    </row>
    <row r="259" spans="1:19" ht="15.75" customHeight="1" x14ac:dyDescent="0.2">
      <c r="A259" s="1" t="str">
        <f t="shared" si="6"/>
        <v>P258</v>
      </c>
      <c r="B259" s="1" t="s">
        <v>284</v>
      </c>
      <c r="C259" s="1" t="s">
        <v>119</v>
      </c>
      <c r="D259" s="1" t="s">
        <v>100</v>
      </c>
      <c r="E259" s="1" t="s">
        <v>119</v>
      </c>
      <c r="F259" s="1" t="s">
        <v>274</v>
      </c>
      <c r="G259" s="1" t="s">
        <v>132</v>
      </c>
      <c r="H259" s="1"/>
      <c r="I259" s="1"/>
      <c r="J259" s="1"/>
      <c r="K259" s="1">
        <f>IF(F259="",1,IFERROR(VLOOKUP(F259,A:K,11,FALSE)+1,1))</f>
        <v>6</v>
      </c>
      <c r="L259" s="1" t="str">
        <f>IF(F259="","الأصل",IF(VLOOKUP(F259,A:L,12,FALSE)="الأصل","الفرع "&amp;K259-1,VLOOKUP(F259,A:L,12,FALSE)))</f>
        <v>العبدالكريم</v>
      </c>
      <c r="M259" s="1" t="str">
        <f t="shared" si="7"/>
        <v>هند بن عبدالله بن محمد عبدالله</v>
      </c>
      <c r="N259" s="1" t="str">
        <f t="shared" si="8"/>
        <v>هند bin عبدالله bin محمد Al-عبدالله</v>
      </c>
      <c r="O259" s="1" t="str">
        <f t="shared" ca="1" si="9"/>
        <v/>
      </c>
      <c r="P259" s="1">
        <f t="shared" si="10"/>
        <v>0</v>
      </c>
      <c r="Q259" s="1"/>
      <c r="R259" s="1"/>
      <c r="S259" s="1" t="str">
        <f t="shared" si="11"/>
        <v>Living</v>
      </c>
    </row>
    <row r="260" spans="1:19" ht="15.75" customHeight="1" x14ac:dyDescent="0.2">
      <c r="A260" s="1" t="str">
        <f t="shared" si="6"/>
        <v>P259</v>
      </c>
      <c r="B260" s="1" t="s">
        <v>285</v>
      </c>
      <c r="C260" s="1" t="s">
        <v>119</v>
      </c>
      <c r="D260" s="1" t="s">
        <v>100</v>
      </c>
      <c r="E260" s="1" t="s">
        <v>119</v>
      </c>
      <c r="F260" s="1" t="s">
        <v>274</v>
      </c>
      <c r="G260" s="1" t="s">
        <v>132</v>
      </c>
      <c r="H260" s="1"/>
      <c r="I260" s="1"/>
      <c r="J260" s="1"/>
      <c r="K260" s="1">
        <f>IF(F260="",1,IFERROR(VLOOKUP(F260,A:K,11,FALSE)+1,1))</f>
        <v>6</v>
      </c>
      <c r="L260" s="1" t="str">
        <f>IF(F260="","الأصل",IF(VLOOKUP(F260,A:L,12,FALSE)="الأصل","الفرع "&amp;K260-1,VLOOKUP(F260,A:L,12,FALSE)))</f>
        <v>العبدالكريم</v>
      </c>
      <c r="M260" s="1" t="str">
        <f t="shared" si="7"/>
        <v>لولوة بن عبدالله بن محمد عبدالله</v>
      </c>
      <c r="N260" s="1" t="str">
        <f t="shared" si="8"/>
        <v>لولوة bin عبدالله bin محمد Al-عبدالله</v>
      </c>
      <c r="O260" s="1" t="str">
        <f t="shared" ca="1" si="9"/>
        <v/>
      </c>
      <c r="P260" s="1">
        <f t="shared" si="10"/>
        <v>0</v>
      </c>
      <c r="Q260" s="1"/>
      <c r="R260" s="1"/>
      <c r="S260" s="1" t="str">
        <f t="shared" si="11"/>
        <v>Living</v>
      </c>
    </row>
    <row r="261" spans="1:19" ht="15.75" customHeight="1" x14ac:dyDescent="0.2">
      <c r="A261" s="1" t="str">
        <f t="shared" si="6"/>
        <v>P260</v>
      </c>
      <c r="B261" s="1" t="s">
        <v>218</v>
      </c>
      <c r="C261" s="1" t="s">
        <v>119</v>
      </c>
      <c r="D261" s="1" t="s">
        <v>100</v>
      </c>
      <c r="E261" s="1" t="s">
        <v>119</v>
      </c>
      <c r="F261" s="1" t="s">
        <v>274</v>
      </c>
      <c r="G261" s="1" t="s">
        <v>132</v>
      </c>
      <c r="H261" s="1"/>
      <c r="I261" s="1"/>
      <c r="J261" s="1"/>
      <c r="K261" s="1">
        <f>IF(F261="",1,IFERROR(VLOOKUP(F261,A:K,11,FALSE)+1,1))</f>
        <v>6</v>
      </c>
      <c r="L261" s="1" t="str">
        <f>IF(F261="","الأصل",IF(VLOOKUP(F261,A:L,12,FALSE)="الأصل","الفرع "&amp;K261-1,VLOOKUP(F261,A:L,12,FALSE)))</f>
        <v>العبدالكريم</v>
      </c>
      <c r="M261" s="1" t="str">
        <f t="shared" si="7"/>
        <v>فوزية بن عبدالله بن محمد عبدالله</v>
      </c>
      <c r="N261" s="1" t="str">
        <f t="shared" si="8"/>
        <v>فوزية bin عبدالله bin محمد Al-عبدالله</v>
      </c>
      <c r="O261" s="1" t="str">
        <f t="shared" ca="1" si="9"/>
        <v/>
      </c>
      <c r="P261" s="1">
        <f t="shared" si="10"/>
        <v>0</v>
      </c>
      <c r="Q261" s="1"/>
      <c r="R261" s="1"/>
      <c r="S261" s="1" t="str">
        <f t="shared" si="11"/>
        <v>Living</v>
      </c>
    </row>
    <row r="262" spans="1:19" ht="15.75" customHeight="1" x14ac:dyDescent="0.2">
      <c r="A262" s="1" t="str">
        <f t="shared" si="6"/>
        <v>P261</v>
      </c>
      <c r="B262" s="1" t="s">
        <v>286</v>
      </c>
      <c r="C262" s="1" t="s">
        <v>119</v>
      </c>
      <c r="D262" s="1" t="s">
        <v>100</v>
      </c>
      <c r="E262" s="1" t="s">
        <v>119</v>
      </c>
      <c r="F262" s="1" t="s">
        <v>274</v>
      </c>
      <c r="G262" s="1" t="s">
        <v>132</v>
      </c>
      <c r="H262" s="1"/>
      <c r="I262" s="1"/>
      <c r="J262" s="1"/>
      <c r="K262" s="1">
        <f>IF(F262="",1,IFERROR(VLOOKUP(F262,A:K,11,FALSE)+1,1))</f>
        <v>6</v>
      </c>
      <c r="L262" s="1" t="str">
        <f>IF(F262="","الأصل",IF(VLOOKUP(F262,A:L,12,FALSE)="الأصل","الفرع "&amp;K262-1,VLOOKUP(F262,A:L,12,FALSE)))</f>
        <v>العبدالكريم</v>
      </c>
      <c r="M262" s="1" t="str">
        <f t="shared" si="7"/>
        <v>اسماء بن عبدالله بن محمد عبدالله</v>
      </c>
      <c r="N262" s="1" t="str">
        <f t="shared" si="8"/>
        <v>اسماء bin عبدالله bin محمد Al-عبدالله</v>
      </c>
      <c r="O262" s="1" t="str">
        <f t="shared" ca="1" si="9"/>
        <v/>
      </c>
      <c r="P262" s="1">
        <f t="shared" si="10"/>
        <v>0</v>
      </c>
      <c r="Q262" s="1"/>
      <c r="R262" s="1"/>
      <c r="S262" s="1" t="str">
        <f t="shared" si="11"/>
        <v>Living</v>
      </c>
    </row>
    <row r="263" spans="1:19" ht="15.75" customHeight="1" x14ac:dyDescent="0.2">
      <c r="A263" s="1" t="str">
        <f t="shared" si="6"/>
        <v>P262</v>
      </c>
      <c r="B263" s="1" t="s">
        <v>217</v>
      </c>
      <c r="C263" s="1" t="s">
        <v>119</v>
      </c>
      <c r="D263" s="1" t="s">
        <v>100</v>
      </c>
      <c r="E263" s="1" t="s">
        <v>119</v>
      </c>
      <c r="F263" s="1" t="s">
        <v>274</v>
      </c>
      <c r="G263" s="1" t="s">
        <v>132</v>
      </c>
      <c r="H263" s="1"/>
      <c r="I263" s="1"/>
      <c r="J263" s="1"/>
      <c r="K263" s="1">
        <f>IF(F263="",1,IFERROR(VLOOKUP(F263,A:K,11,FALSE)+1,1))</f>
        <v>6</v>
      </c>
      <c r="L263" s="1" t="str">
        <f>IF(F263="","الأصل",IF(VLOOKUP(F263,A:L,12,FALSE)="الأصل","الفرع "&amp;K263-1,VLOOKUP(F263,A:L,12,FALSE)))</f>
        <v>العبدالكريم</v>
      </c>
      <c r="M263" s="1" t="str">
        <f t="shared" si="7"/>
        <v>منيرة بن عبدالله بن محمد عبدالله</v>
      </c>
      <c r="N263" s="1" t="str">
        <f t="shared" si="8"/>
        <v>منيرة bin عبدالله bin محمد Al-عبدالله</v>
      </c>
      <c r="O263" s="1" t="str">
        <f t="shared" ca="1" si="9"/>
        <v/>
      </c>
      <c r="P263" s="1">
        <f t="shared" si="10"/>
        <v>0</v>
      </c>
      <c r="Q263" s="1"/>
      <c r="R263" s="1"/>
      <c r="S263" s="1" t="str">
        <f t="shared" si="11"/>
        <v>Living</v>
      </c>
    </row>
    <row r="264" spans="1:19" ht="15.75" hidden="1" customHeight="1" x14ac:dyDescent="0.2">
      <c r="A264" s="1" t="str">
        <f t="shared" si="6"/>
        <v>P263</v>
      </c>
      <c r="B264" s="1" t="s">
        <v>27</v>
      </c>
      <c r="C264" s="1" t="s">
        <v>108</v>
      </c>
      <c r="D264" s="1" t="s">
        <v>27</v>
      </c>
      <c r="E264" s="1" t="s">
        <v>102</v>
      </c>
      <c r="F264" s="1" t="s">
        <v>287</v>
      </c>
      <c r="G264" s="1" t="s">
        <v>35</v>
      </c>
      <c r="H264" s="1"/>
      <c r="I264" s="1"/>
      <c r="J264" s="1"/>
      <c r="K264" s="1">
        <f>IF(F264="",1,IFERROR(VLOOKUP(F264,A:K,11,FALSE)+1,1))</f>
        <v>6</v>
      </c>
      <c r="L264" s="1" t="str">
        <f>IF(F264="","الأصل",IF(VLOOKUP(F264,A:L,12,FALSE)="الأصل","الفرع "&amp;K264-1,VLOOKUP(F264,A:L,12,FALSE)))</f>
        <v>الابراهيم</v>
      </c>
      <c r="M264" s="1" t="str">
        <f t="shared" si="7"/>
        <v>ابراهيم بن عبدالعزيز بن ابراهيم ناصر</v>
      </c>
      <c r="N264" s="1" t="str">
        <f t="shared" si="8"/>
        <v>ابراهيم bin عبدالعزيز bin ابراهيم Al-ناصر</v>
      </c>
      <c r="O264" s="1" t="str">
        <f t="shared" ca="1" si="9"/>
        <v/>
      </c>
      <c r="P264" s="1">
        <f t="shared" si="10"/>
        <v>0</v>
      </c>
      <c r="Q264" s="1"/>
      <c r="R264" s="1"/>
      <c r="S264" s="1" t="str">
        <f t="shared" si="11"/>
        <v>Living</v>
      </c>
    </row>
    <row r="265" spans="1:19" ht="15.75" hidden="1" customHeight="1" x14ac:dyDescent="0.2">
      <c r="A265" s="1" t="str">
        <f t="shared" si="6"/>
        <v>P264</v>
      </c>
      <c r="B265" s="1" t="s">
        <v>112</v>
      </c>
      <c r="C265" s="1" t="s">
        <v>108</v>
      </c>
      <c r="D265" s="1" t="s">
        <v>27</v>
      </c>
      <c r="E265" s="1" t="s">
        <v>102</v>
      </c>
      <c r="F265" s="1" t="s">
        <v>287</v>
      </c>
      <c r="G265" s="1" t="s">
        <v>35</v>
      </c>
      <c r="H265" s="1"/>
      <c r="I265" s="1"/>
      <c r="J265" s="1"/>
      <c r="K265" s="1">
        <f>IF(F265="",1,IFERROR(VLOOKUP(F265,A:K,11,FALSE)+1,1))</f>
        <v>6</v>
      </c>
      <c r="L265" s="1" t="str">
        <f>IF(F265="","الأصل",IF(VLOOKUP(F265,A:L,12,FALSE)="الأصل","الفرع "&amp;K265-1,VLOOKUP(F265,A:L,12,FALSE)))</f>
        <v>الابراهيم</v>
      </c>
      <c r="M265" s="1" t="str">
        <f t="shared" si="7"/>
        <v>خالد بن عبدالعزيز بن ابراهيم ناصر</v>
      </c>
      <c r="N265" s="1" t="str">
        <f t="shared" si="8"/>
        <v>خالد bin عبدالعزيز bin ابراهيم Al-ناصر</v>
      </c>
      <c r="O265" s="1" t="str">
        <f t="shared" ca="1" si="9"/>
        <v/>
      </c>
      <c r="P265" s="1">
        <f t="shared" si="10"/>
        <v>0</v>
      </c>
      <c r="Q265" s="1"/>
      <c r="R265" s="1"/>
      <c r="S265" s="1" t="str">
        <f t="shared" si="11"/>
        <v>Living</v>
      </c>
    </row>
    <row r="266" spans="1:19" ht="15.75" hidden="1" customHeight="1" x14ac:dyDescent="0.2">
      <c r="A266" s="1" t="str">
        <f t="shared" si="6"/>
        <v>P265</v>
      </c>
      <c r="B266" s="1" t="s">
        <v>119</v>
      </c>
      <c r="C266" s="1" t="s">
        <v>108</v>
      </c>
      <c r="D266" s="1" t="s">
        <v>27</v>
      </c>
      <c r="E266" s="1" t="s">
        <v>102</v>
      </c>
      <c r="F266" s="1" t="s">
        <v>287</v>
      </c>
      <c r="G266" s="1" t="s">
        <v>35</v>
      </c>
      <c r="H266" s="1"/>
      <c r="I266" s="1"/>
      <c r="J266" s="1"/>
      <c r="K266" s="1">
        <f>IF(F266="",1,IFERROR(VLOOKUP(F266,A:K,11,FALSE)+1,1))</f>
        <v>6</v>
      </c>
      <c r="L266" s="1" t="str">
        <f>IF(F266="","الأصل",IF(VLOOKUP(F266,A:L,12,FALSE)="الأصل","الفرع "&amp;K266-1,VLOOKUP(F266,A:L,12,FALSE)))</f>
        <v>الابراهيم</v>
      </c>
      <c r="M266" s="1" t="str">
        <f t="shared" si="7"/>
        <v>عبدالله بن عبدالعزيز بن ابراهيم ناصر</v>
      </c>
      <c r="N266" s="1" t="str">
        <f t="shared" si="8"/>
        <v>عبدالله bin عبدالعزيز bin ابراهيم Al-ناصر</v>
      </c>
      <c r="O266" s="1" t="str">
        <f t="shared" ca="1" si="9"/>
        <v/>
      </c>
      <c r="P266" s="1">
        <f t="shared" si="10"/>
        <v>0</v>
      </c>
      <c r="Q266" s="1"/>
      <c r="R266" s="1"/>
      <c r="S266" s="1" t="str">
        <f t="shared" si="11"/>
        <v>Living</v>
      </c>
    </row>
    <row r="267" spans="1:19" ht="15.75" hidden="1" customHeight="1" x14ac:dyDescent="0.2">
      <c r="A267" s="1" t="str">
        <f t="shared" si="6"/>
        <v>P266</v>
      </c>
      <c r="B267" s="1" t="s">
        <v>288</v>
      </c>
      <c r="C267" s="1" t="s">
        <v>108</v>
      </c>
      <c r="D267" s="1" t="s">
        <v>27</v>
      </c>
      <c r="E267" s="1" t="s">
        <v>102</v>
      </c>
      <c r="F267" s="1" t="s">
        <v>287</v>
      </c>
      <c r="G267" s="1" t="s">
        <v>132</v>
      </c>
      <c r="H267" s="1"/>
      <c r="I267" s="1"/>
      <c r="J267" s="1"/>
      <c r="K267" s="1">
        <f>IF(F267="",1,IFERROR(VLOOKUP(F267,A:K,11,FALSE)+1,1))</f>
        <v>6</v>
      </c>
      <c r="L267" s="1" t="str">
        <f>IF(F267="","الأصل",IF(VLOOKUP(F267,A:L,12,FALSE)="الأصل","الفرع "&amp;K267-1,VLOOKUP(F267,A:L,12,FALSE)))</f>
        <v>الابراهيم</v>
      </c>
      <c r="M267" s="1" t="str">
        <f t="shared" si="7"/>
        <v>وسمية بن عبدالعزيز بن ابراهيم ناصر</v>
      </c>
      <c r="N267" s="1" t="str">
        <f t="shared" si="8"/>
        <v>وسمية bin عبدالعزيز bin ابراهيم Al-ناصر</v>
      </c>
      <c r="O267" s="1" t="str">
        <f t="shared" ca="1" si="9"/>
        <v/>
      </c>
      <c r="P267" s="1">
        <f t="shared" si="10"/>
        <v>0</v>
      </c>
      <c r="Q267" s="1"/>
      <c r="R267" s="1"/>
      <c r="S267" s="1" t="str">
        <f t="shared" si="11"/>
        <v>Living</v>
      </c>
    </row>
    <row r="268" spans="1:19" ht="15.75" hidden="1" customHeight="1" x14ac:dyDescent="0.2">
      <c r="A268" s="1" t="str">
        <f t="shared" si="6"/>
        <v>P267</v>
      </c>
      <c r="B268" s="1" t="s">
        <v>156</v>
      </c>
      <c r="C268" s="1" t="s">
        <v>108</v>
      </c>
      <c r="D268" s="1" t="s">
        <v>27</v>
      </c>
      <c r="E268" s="1" t="s">
        <v>102</v>
      </c>
      <c r="F268" s="1" t="s">
        <v>287</v>
      </c>
      <c r="G268" s="1" t="s">
        <v>132</v>
      </c>
      <c r="H268" s="1"/>
      <c r="I268" s="1"/>
      <c r="J268" s="1"/>
      <c r="K268" s="1">
        <f>IF(F268="",1,IFERROR(VLOOKUP(F268,A:K,11,FALSE)+1,1))</f>
        <v>6</v>
      </c>
      <c r="L268" s="1" t="str">
        <f>IF(F268="","الأصل",IF(VLOOKUP(F268,A:L,12,FALSE)="الأصل","الفرع "&amp;K268-1,VLOOKUP(F268,A:L,12,FALSE)))</f>
        <v>الابراهيم</v>
      </c>
      <c r="M268" s="1" t="str">
        <f t="shared" si="7"/>
        <v>خلود بن عبدالعزيز بن ابراهيم ناصر</v>
      </c>
      <c r="N268" s="1" t="str">
        <f t="shared" si="8"/>
        <v>خلود bin عبدالعزيز bin ابراهيم Al-ناصر</v>
      </c>
      <c r="O268" s="1" t="str">
        <f t="shared" ca="1" si="9"/>
        <v/>
      </c>
      <c r="P268" s="1">
        <f t="shared" si="10"/>
        <v>0</v>
      </c>
      <c r="Q268" s="1"/>
      <c r="R268" s="1"/>
      <c r="S268" s="1" t="str">
        <f t="shared" si="11"/>
        <v>Living</v>
      </c>
    </row>
    <row r="269" spans="1:19" ht="15.75" hidden="1" customHeight="1" x14ac:dyDescent="0.2">
      <c r="A269" s="1" t="str">
        <f t="shared" si="6"/>
        <v>P268</v>
      </c>
      <c r="B269" s="1" t="s">
        <v>289</v>
      </c>
      <c r="C269" s="1" t="s">
        <v>108</v>
      </c>
      <c r="D269" s="1" t="s">
        <v>27</v>
      </c>
      <c r="E269" s="1" t="s">
        <v>102</v>
      </c>
      <c r="F269" s="1" t="s">
        <v>287</v>
      </c>
      <c r="G269" s="1" t="s">
        <v>132</v>
      </c>
      <c r="H269" s="1"/>
      <c r="I269" s="1"/>
      <c r="J269" s="1"/>
      <c r="K269" s="1">
        <f>IF(F269="",1,IFERROR(VLOOKUP(F269,A:K,11,FALSE)+1,1))</f>
        <v>6</v>
      </c>
      <c r="L269" s="1" t="str">
        <f>IF(F269="","الأصل",IF(VLOOKUP(F269,A:L,12,FALSE)="الأصل","الفرع "&amp;K269-1,VLOOKUP(F269,A:L,12,FALSE)))</f>
        <v>الابراهيم</v>
      </c>
      <c r="M269" s="1" t="str">
        <f t="shared" si="7"/>
        <v>هالة بن عبدالعزيز بن ابراهيم ناصر</v>
      </c>
      <c r="N269" s="1" t="str">
        <f t="shared" si="8"/>
        <v>هالة bin عبدالعزيز bin ابراهيم Al-ناصر</v>
      </c>
      <c r="O269" s="1" t="str">
        <f t="shared" ca="1" si="9"/>
        <v/>
      </c>
      <c r="P269" s="1">
        <f t="shared" si="10"/>
        <v>0</v>
      </c>
      <c r="Q269" s="1"/>
      <c r="R269" s="1"/>
      <c r="S269" s="1" t="str">
        <f t="shared" si="11"/>
        <v>Living</v>
      </c>
    </row>
    <row r="270" spans="1:19" ht="15.75" customHeight="1" x14ac:dyDescent="0.2">
      <c r="A270" s="1" t="str">
        <f t="shared" si="6"/>
        <v>P269</v>
      </c>
      <c r="B270" s="1" t="s">
        <v>272</v>
      </c>
      <c r="C270" s="1" t="s">
        <v>96</v>
      </c>
      <c r="D270" s="1" t="s">
        <v>31</v>
      </c>
      <c r="E270" s="1"/>
      <c r="F270" s="1" t="s">
        <v>270</v>
      </c>
      <c r="G270" s="1" t="s">
        <v>35</v>
      </c>
      <c r="H270" s="1"/>
      <c r="I270" s="1"/>
      <c r="J270" s="1"/>
      <c r="K270" s="1">
        <f>IF(F270="",1,IFERROR(VLOOKUP(F270,A:K,11,FALSE)+1,1))</f>
        <v>3</v>
      </c>
      <c r="L270" s="1" t="str">
        <f>IF(F270="","الأصل",IF(VLOOKUP(F270,A:L,12,FALSE)="الأصل","الفرع "&amp;K270-1,VLOOKUP(F270,A:L,12,FALSE)))</f>
        <v>العبدالكريم</v>
      </c>
      <c r="M270" s="1" t="str">
        <f t="shared" si="7"/>
        <v xml:space="preserve">عثمان بن عبدالكريم بن حمد </v>
      </c>
      <c r="N270" s="1" t="str">
        <f t="shared" si="8"/>
        <v>عثمان bin عبدالكريم bin حمد Al-</v>
      </c>
      <c r="O270" s="1" t="str">
        <f t="shared" ca="1" si="9"/>
        <v/>
      </c>
      <c r="P270" s="1">
        <f t="shared" si="10"/>
        <v>0</v>
      </c>
      <c r="Q270" s="1"/>
      <c r="R270" s="1"/>
      <c r="S270" s="1" t="str">
        <f t="shared" si="11"/>
        <v>Living</v>
      </c>
    </row>
    <row r="271" spans="1:19" ht="15.75" customHeight="1" x14ac:dyDescent="0.2">
      <c r="A271" s="1" t="str">
        <f t="shared" si="6"/>
        <v>P270</v>
      </c>
      <c r="B271" s="1" t="s">
        <v>105</v>
      </c>
      <c r="C271" s="1" t="s">
        <v>272</v>
      </c>
      <c r="D271" s="1" t="s">
        <v>96</v>
      </c>
      <c r="E271" s="1" t="s">
        <v>31</v>
      </c>
      <c r="F271" s="1" t="s">
        <v>290</v>
      </c>
      <c r="G271" s="1" t="s">
        <v>35</v>
      </c>
      <c r="H271" s="1"/>
      <c r="I271" s="1"/>
      <c r="J271" s="1"/>
      <c r="K271" s="1">
        <f>IF(F271="",1,IFERROR(VLOOKUP(F271,A:K,11,FALSE)+1,1))</f>
        <v>4</v>
      </c>
      <c r="L271" s="1" t="str">
        <f>IF(F271="","الأصل",IF(VLOOKUP(F271,A:L,12,FALSE)="الأصل","الفرع "&amp;K271-1,VLOOKUP(F271,A:L,12,FALSE)))</f>
        <v>العبدالكريم</v>
      </c>
      <c r="M271" s="1" t="str">
        <f t="shared" si="7"/>
        <v>عبدالرحمن بن عثمان بن عبدالكريم حمد</v>
      </c>
      <c r="N271" s="1" t="str">
        <f t="shared" si="8"/>
        <v>عبدالرحمن bin عثمان bin عبدالكريم Al-حمد</v>
      </c>
      <c r="O271" s="1" t="str">
        <f t="shared" ca="1" si="9"/>
        <v/>
      </c>
      <c r="P271" s="1">
        <f t="shared" si="10"/>
        <v>0</v>
      </c>
      <c r="Q271" s="1"/>
      <c r="R271" s="1"/>
      <c r="S271" s="1" t="str">
        <f t="shared" si="11"/>
        <v>Living</v>
      </c>
    </row>
    <row r="272" spans="1:19" ht="15.75" customHeight="1" x14ac:dyDescent="0.2">
      <c r="A272" s="1" t="str">
        <f t="shared" si="6"/>
        <v>P271</v>
      </c>
      <c r="B272" s="1" t="s">
        <v>96</v>
      </c>
      <c r="C272" s="1" t="s">
        <v>272</v>
      </c>
      <c r="D272" s="1" t="s">
        <v>96</v>
      </c>
      <c r="E272" s="1" t="s">
        <v>31</v>
      </c>
      <c r="F272" s="1" t="s">
        <v>290</v>
      </c>
      <c r="G272" s="1" t="s">
        <v>35</v>
      </c>
      <c r="H272" s="1"/>
      <c r="I272" s="1"/>
      <c r="J272" s="1"/>
      <c r="K272" s="1">
        <f>IF(F272="",1,IFERROR(VLOOKUP(F272,A:K,11,FALSE)+1,1))</f>
        <v>4</v>
      </c>
      <c r="L272" s="1" t="str">
        <f>IF(F272="","الأصل",IF(VLOOKUP(F272,A:L,12,FALSE)="الأصل","الفرع "&amp;K272-1,VLOOKUP(F272,A:L,12,FALSE)))</f>
        <v>العبدالكريم</v>
      </c>
      <c r="M272" s="1" t="str">
        <f t="shared" si="7"/>
        <v>عبدالكريم بن عثمان بن عبدالكريم حمد</v>
      </c>
      <c r="N272" s="1" t="str">
        <f t="shared" si="8"/>
        <v>عبدالكريم bin عثمان bin عبدالكريم Al-حمد</v>
      </c>
      <c r="O272" s="1" t="str">
        <f t="shared" ca="1" si="9"/>
        <v/>
      </c>
      <c r="P272" s="1">
        <f t="shared" si="10"/>
        <v>0</v>
      </c>
      <c r="Q272" s="1"/>
      <c r="R272" s="1"/>
      <c r="S272" s="1" t="str">
        <f t="shared" si="11"/>
        <v>Living</v>
      </c>
    </row>
    <row r="273" spans="1:19" ht="15.75" customHeight="1" x14ac:dyDescent="0.2">
      <c r="A273" s="1" t="str">
        <f t="shared" si="6"/>
        <v>P272</v>
      </c>
      <c r="B273" s="1" t="s">
        <v>291</v>
      </c>
      <c r="C273" s="1" t="s">
        <v>272</v>
      </c>
      <c r="D273" s="1" t="s">
        <v>96</v>
      </c>
      <c r="E273" s="1" t="s">
        <v>31</v>
      </c>
      <c r="F273" s="1" t="s">
        <v>290</v>
      </c>
      <c r="G273" s="1" t="s">
        <v>35</v>
      </c>
      <c r="H273" s="1"/>
      <c r="I273" s="1"/>
      <c r="J273" s="1"/>
      <c r="K273" s="1">
        <f>IF(F273="",1,IFERROR(VLOOKUP(F273,A:K,11,FALSE)+1,1))</f>
        <v>4</v>
      </c>
      <c r="L273" s="1" t="str">
        <f>IF(F273="","الأصل",IF(VLOOKUP(F273,A:L,12,FALSE)="الأصل","الفرع "&amp;K273-1,VLOOKUP(F273,A:L,12,FALSE)))</f>
        <v>العبدالكريم</v>
      </c>
      <c r="M273" s="1" t="str">
        <f t="shared" si="7"/>
        <v>دخيل بن عثمان بن عبدالكريم حمد</v>
      </c>
      <c r="N273" s="1" t="str">
        <f t="shared" si="8"/>
        <v>دخيل bin عثمان bin عبدالكريم Al-حمد</v>
      </c>
      <c r="O273" s="1" t="str">
        <f t="shared" ca="1" si="9"/>
        <v/>
      </c>
      <c r="P273" s="1">
        <f t="shared" si="10"/>
        <v>0</v>
      </c>
      <c r="Q273" s="1"/>
      <c r="R273" s="1"/>
      <c r="S273" s="1" t="str">
        <f t="shared" si="11"/>
        <v>Living</v>
      </c>
    </row>
    <row r="274" spans="1:19" ht="15.75" customHeight="1" x14ac:dyDescent="0.2">
      <c r="A274" s="1" t="str">
        <f t="shared" si="6"/>
        <v>P273</v>
      </c>
      <c r="B274" s="1" t="s">
        <v>272</v>
      </c>
      <c r="C274" s="1" t="s">
        <v>96</v>
      </c>
      <c r="D274" s="1" t="s">
        <v>272</v>
      </c>
      <c r="E274" s="1" t="s">
        <v>96</v>
      </c>
      <c r="F274" s="1" t="s">
        <v>292</v>
      </c>
      <c r="G274" s="1" t="s">
        <v>35</v>
      </c>
      <c r="H274" s="1"/>
      <c r="I274" s="1"/>
      <c r="J274" s="1"/>
      <c r="K274" s="1">
        <f>IF(F274="",1,IFERROR(VLOOKUP(F274,A:K,11,FALSE)+1,1))</f>
        <v>5</v>
      </c>
      <c r="L274" s="1" t="str">
        <f>IF(F274="","الأصل",IF(VLOOKUP(F274,A:L,12,FALSE)="الأصل","الفرع "&amp;K274-1,VLOOKUP(F274,A:L,12,FALSE)))</f>
        <v>العبدالكريم</v>
      </c>
      <c r="M274" s="1" t="str">
        <f t="shared" si="7"/>
        <v>عثمان بن عبدالكريم بن عثمان عبدالكريم</v>
      </c>
      <c r="N274" s="1" t="str">
        <f t="shared" si="8"/>
        <v>عثمان bin عبدالكريم bin عثمان Al-عبدالكريم</v>
      </c>
      <c r="O274" s="1" t="str">
        <f t="shared" ca="1" si="9"/>
        <v/>
      </c>
      <c r="P274" s="1">
        <f t="shared" si="10"/>
        <v>0</v>
      </c>
      <c r="Q274" s="1"/>
      <c r="R274" s="1"/>
      <c r="S274" s="1" t="str">
        <f t="shared" si="11"/>
        <v>Living</v>
      </c>
    </row>
    <row r="275" spans="1:19" ht="15.75" customHeight="1" x14ac:dyDescent="0.2">
      <c r="A275" s="1" t="str">
        <f t="shared" si="6"/>
        <v>P274</v>
      </c>
      <c r="B275" s="1" t="s">
        <v>105</v>
      </c>
      <c r="C275" s="1" t="s">
        <v>96</v>
      </c>
      <c r="D275" s="1" t="s">
        <v>272</v>
      </c>
      <c r="E275" s="1" t="s">
        <v>96</v>
      </c>
      <c r="F275" s="1" t="s">
        <v>292</v>
      </c>
      <c r="G275" s="1" t="s">
        <v>35</v>
      </c>
      <c r="H275" s="1"/>
      <c r="I275" s="1"/>
      <c r="J275" s="1"/>
      <c r="K275" s="1">
        <f>IF(F275="",1,IFERROR(VLOOKUP(F275,A:K,11,FALSE)+1,1))</f>
        <v>5</v>
      </c>
      <c r="L275" s="1" t="str">
        <f>IF(F275="","الأصل",IF(VLOOKUP(F275,A:L,12,FALSE)="الأصل","الفرع "&amp;K275-1,VLOOKUP(F275,A:L,12,FALSE)))</f>
        <v>العبدالكريم</v>
      </c>
      <c r="M275" s="1" t="str">
        <f t="shared" si="7"/>
        <v>عبدالرحمن بن عبدالكريم بن عثمان عبدالكريم</v>
      </c>
      <c r="N275" s="1" t="str">
        <f t="shared" si="8"/>
        <v>عبدالرحمن bin عبدالكريم bin عثمان Al-عبدالكريم</v>
      </c>
      <c r="O275" s="1" t="str">
        <f t="shared" ca="1" si="9"/>
        <v/>
      </c>
      <c r="P275" s="1">
        <f t="shared" si="10"/>
        <v>0</v>
      </c>
      <c r="Q275" s="1"/>
      <c r="R275" s="1"/>
      <c r="S275" s="1" t="str">
        <f t="shared" si="11"/>
        <v>Living</v>
      </c>
    </row>
    <row r="276" spans="1:19" ht="15.75" customHeight="1" x14ac:dyDescent="0.2">
      <c r="A276" s="1" t="str">
        <f t="shared" si="6"/>
        <v>P275</v>
      </c>
      <c r="B276" s="1" t="s">
        <v>100</v>
      </c>
      <c r="C276" s="1" t="s">
        <v>272</v>
      </c>
      <c r="D276" s="1" t="s">
        <v>96</v>
      </c>
      <c r="E276" s="1" t="s">
        <v>272</v>
      </c>
      <c r="F276" s="1" t="s">
        <v>293</v>
      </c>
      <c r="G276" s="1" t="s">
        <v>35</v>
      </c>
      <c r="H276" s="1"/>
      <c r="I276" s="1"/>
      <c r="J276" s="1"/>
      <c r="K276" s="1">
        <f>IF(F276="",1,IFERROR(VLOOKUP(F276,A:K,11,FALSE)+1,1))</f>
        <v>6</v>
      </c>
      <c r="L276" s="1" t="str">
        <f>IF(F276="","الأصل",IF(VLOOKUP(F276,A:L,12,FALSE)="الأصل","الفرع "&amp;K276-1,VLOOKUP(F276,A:L,12,FALSE)))</f>
        <v>العبدالكريم</v>
      </c>
      <c r="M276" s="1" t="str">
        <f t="shared" si="7"/>
        <v>محمد بن عثمان بن عبدالكريم عثمان</v>
      </c>
      <c r="N276" s="1" t="str">
        <f t="shared" si="8"/>
        <v>محمد bin عثمان bin عبدالكريم Al-عثمان</v>
      </c>
      <c r="O276" s="1" t="str">
        <f t="shared" ca="1" si="9"/>
        <v/>
      </c>
      <c r="P276" s="1">
        <f t="shared" si="10"/>
        <v>0</v>
      </c>
      <c r="Q276" s="1"/>
      <c r="R276" s="1"/>
      <c r="S276" s="1" t="str">
        <f t="shared" si="11"/>
        <v>Living</v>
      </c>
    </row>
    <row r="277" spans="1:19" ht="15.75" customHeight="1" x14ac:dyDescent="0.2">
      <c r="A277" s="1" t="str">
        <f t="shared" si="6"/>
        <v>P276</v>
      </c>
      <c r="B277" s="1" t="s">
        <v>96</v>
      </c>
      <c r="C277" s="1" t="s">
        <v>272</v>
      </c>
      <c r="D277" s="1" t="s">
        <v>96</v>
      </c>
      <c r="E277" s="1" t="s">
        <v>272</v>
      </c>
      <c r="F277" s="1" t="s">
        <v>293</v>
      </c>
      <c r="G277" s="1" t="s">
        <v>35</v>
      </c>
      <c r="H277" s="1"/>
      <c r="I277" s="1"/>
      <c r="J277" s="1"/>
      <c r="K277" s="1">
        <f>IF(F277="",1,IFERROR(VLOOKUP(F277,A:K,11,FALSE)+1,1))</f>
        <v>6</v>
      </c>
      <c r="L277" s="1" t="str">
        <f>IF(F277="","الأصل",IF(VLOOKUP(F277,A:L,12,FALSE)="الأصل","الفرع "&amp;K277-1,VLOOKUP(F277,A:L,12,FALSE)))</f>
        <v>العبدالكريم</v>
      </c>
      <c r="M277" s="1" t="str">
        <f t="shared" si="7"/>
        <v>عبدالكريم بن عثمان بن عبدالكريم عثمان</v>
      </c>
      <c r="N277" s="1" t="str">
        <f t="shared" si="8"/>
        <v>عبدالكريم bin عثمان bin عبدالكريم Al-عثمان</v>
      </c>
      <c r="O277" s="1" t="str">
        <f t="shared" ca="1" si="9"/>
        <v/>
      </c>
      <c r="P277" s="1">
        <f t="shared" si="10"/>
        <v>0</v>
      </c>
      <c r="Q277" s="1"/>
      <c r="R277" s="1"/>
      <c r="S277" s="1" t="str">
        <f t="shared" si="11"/>
        <v>Living</v>
      </c>
    </row>
    <row r="278" spans="1:19" ht="15.75" customHeight="1" x14ac:dyDescent="0.2">
      <c r="A278" s="1" t="str">
        <f t="shared" si="6"/>
        <v>P277</v>
      </c>
      <c r="B278" s="1" t="s">
        <v>113</v>
      </c>
      <c r="C278" s="1" t="s">
        <v>272</v>
      </c>
      <c r="D278" s="1" t="s">
        <v>96</v>
      </c>
      <c r="E278" s="1" t="s">
        <v>272</v>
      </c>
      <c r="F278" s="1" t="s">
        <v>293</v>
      </c>
      <c r="G278" s="1" t="s">
        <v>35</v>
      </c>
      <c r="H278" s="1"/>
      <c r="I278" s="1"/>
      <c r="J278" s="1"/>
      <c r="K278" s="1">
        <f>IF(F278="",1,IFERROR(VLOOKUP(F278,A:K,11,FALSE)+1,1))</f>
        <v>6</v>
      </c>
      <c r="L278" s="1" t="str">
        <f>IF(F278="","الأصل",IF(VLOOKUP(F278,A:L,12,FALSE)="الأصل","الفرع "&amp;K278-1,VLOOKUP(F278,A:L,12,FALSE)))</f>
        <v>العبدالكريم</v>
      </c>
      <c r="M278" s="1" t="str">
        <f t="shared" si="7"/>
        <v>شايع بن عثمان بن عبدالكريم عثمان</v>
      </c>
      <c r="N278" s="1" t="str">
        <f t="shared" si="8"/>
        <v>شايع bin عثمان bin عبدالكريم Al-عثمان</v>
      </c>
      <c r="O278" s="1" t="str">
        <f t="shared" ca="1" si="9"/>
        <v/>
      </c>
      <c r="P278" s="1">
        <f t="shared" si="10"/>
        <v>0</v>
      </c>
      <c r="Q278" s="1"/>
      <c r="R278" s="1"/>
      <c r="S278" s="1" t="str">
        <f t="shared" si="11"/>
        <v>Living</v>
      </c>
    </row>
    <row r="279" spans="1:19" ht="15.75" customHeight="1" x14ac:dyDescent="0.2">
      <c r="A279" s="1" t="str">
        <f t="shared" si="6"/>
        <v>P278</v>
      </c>
      <c r="B279" s="1" t="s">
        <v>112</v>
      </c>
      <c r="C279" s="1" t="s">
        <v>272</v>
      </c>
      <c r="D279" s="1" t="s">
        <v>96</v>
      </c>
      <c r="E279" s="1" t="s">
        <v>272</v>
      </c>
      <c r="F279" s="1" t="s">
        <v>293</v>
      </c>
      <c r="G279" s="1" t="s">
        <v>35</v>
      </c>
      <c r="H279" s="1"/>
      <c r="I279" s="1"/>
      <c r="J279" s="1"/>
      <c r="K279" s="1">
        <f>IF(F279="",1,IFERROR(VLOOKUP(F279,A:K,11,FALSE)+1,1))</f>
        <v>6</v>
      </c>
      <c r="L279" s="1" t="str">
        <f>IF(F279="","الأصل",IF(VLOOKUP(F279,A:L,12,FALSE)="الأصل","الفرع "&amp;K279-1,VLOOKUP(F279,A:L,12,FALSE)))</f>
        <v>العبدالكريم</v>
      </c>
      <c r="M279" s="1" t="str">
        <f t="shared" si="7"/>
        <v>خالد بن عثمان بن عبدالكريم عثمان</v>
      </c>
      <c r="N279" s="1" t="str">
        <f t="shared" si="8"/>
        <v>خالد bin عثمان bin عبدالكريم Al-عثمان</v>
      </c>
      <c r="O279" s="1" t="str">
        <f t="shared" ca="1" si="9"/>
        <v/>
      </c>
      <c r="P279" s="1">
        <f t="shared" si="10"/>
        <v>0</v>
      </c>
      <c r="Q279" s="1"/>
      <c r="R279" s="1"/>
      <c r="S279" s="1" t="str">
        <f t="shared" si="11"/>
        <v>Living</v>
      </c>
    </row>
    <row r="280" spans="1:19" ht="15.75" customHeight="1" x14ac:dyDescent="0.2">
      <c r="A280" s="1" t="str">
        <f t="shared" si="6"/>
        <v>P279</v>
      </c>
      <c r="B280" s="1" t="s">
        <v>294</v>
      </c>
      <c r="C280" s="1" t="s">
        <v>100</v>
      </c>
      <c r="D280" s="1" t="s">
        <v>272</v>
      </c>
      <c r="E280" s="1" t="s">
        <v>96</v>
      </c>
      <c r="F280" s="1" t="s">
        <v>295</v>
      </c>
      <c r="G280" s="1" t="s">
        <v>35</v>
      </c>
      <c r="H280" s="1"/>
      <c r="I280" s="1"/>
      <c r="J280" s="1"/>
      <c r="K280" s="1">
        <f>IF(F280="",1,IFERROR(VLOOKUP(F280,A:K,11,FALSE)+1,1))</f>
        <v>7</v>
      </c>
      <c r="L280" s="1" t="str">
        <f>IF(F280="","الأصل",IF(VLOOKUP(F280,A:L,12,FALSE)="الأصل","الفرع "&amp;K280-1,VLOOKUP(F280,A:L,12,FALSE)))</f>
        <v>العبدالكريم</v>
      </c>
      <c r="M280" s="1" t="str">
        <f t="shared" si="7"/>
        <v>تركي بن محمد بن عثمان عبدالكريم</v>
      </c>
      <c r="N280" s="1" t="str">
        <f t="shared" si="8"/>
        <v>تركي bin محمد bin عثمان Al-عبدالكريم</v>
      </c>
      <c r="O280" s="1" t="str">
        <f t="shared" ca="1" si="9"/>
        <v/>
      </c>
      <c r="P280" s="1">
        <f t="shared" si="10"/>
        <v>0</v>
      </c>
      <c r="Q280" s="1"/>
      <c r="R280" s="1"/>
      <c r="S280" s="1" t="str">
        <f t="shared" si="11"/>
        <v>Living</v>
      </c>
    </row>
    <row r="281" spans="1:19" ht="15.75" customHeight="1" x14ac:dyDescent="0.2">
      <c r="A281" s="1" t="str">
        <f t="shared" si="6"/>
        <v>P280</v>
      </c>
      <c r="B281" s="1" t="s">
        <v>105</v>
      </c>
      <c r="C281" s="1" t="s">
        <v>100</v>
      </c>
      <c r="D281" s="1" t="s">
        <v>272</v>
      </c>
      <c r="E281" s="1" t="s">
        <v>96</v>
      </c>
      <c r="F281" s="1" t="s">
        <v>295</v>
      </c>
      <c r="G281" s="1" t="s">
        <v>35</v>
      </c>
      <c r="H281" s="1"/>
      <c r="I281" s="1"/>
      <c r="J281" s="1"/>
      <c r="K281" s="1">
        <f>IF(F281="",1,IFERROR(VLOOKUP(F281,A:K,11,FALSE)+1,1))</f>
        <v>7</v>
      </c>
      <c r="L281" s="1" t="str">
        <f>IF(F281="","الأصل",IF(VLOOKUP(F281,A:L,12,FALSE)="الأصل","الفرع "&amp;K281-1,VLOOKUP(F281,A:L,12,FALSE)))</f>
        <v>العبدالكريم</v>
      </c>
      <c r="M281" s="1" t="str">
        <f t="shared" si="7"/>
        <v>عبدالرحمن بن محمد بن عثمان عبدالكريم</v>
      </c>
      <c r="N281" s="1" t="str">
        <f t="shared" si="8"/>
        <v>عبدالرحمن bin محمد bin عثمان Al-عبدالكريم</v>
      </c>
      <c r="O281" s="1" t="str">
        <f t="shared" ca="1" si="9"/>
        <v/>
      </c>
      <c r="P281" s="1">
        <f t="shared" si="10"/>
        <v>0</v>
      </c>
      <c r="Q281" s="1"/>
      <c r="R281" s="1"/>
      <c r="S281" s="1" t="str">
        <f t="shared" si="11"/>
        <v>Living</v>
      </c>
    </row>
    <row r="282" spans="1:19" ht="15.75" customHeight="1" x14ac:dyDescent="0.2">
      <c r="A282" s="1" t="str">
        <f t="shared" si="6"/>
        <v>P281</v>
      </c>
      <c r="B282" s="1" t="s">
        <v>96</v>
      </c>
      <c r="C282" s="1" t="s">
        <v>113</v>
      </c>
      <c r="D282" s="1" t="s">
        <v>272</v>
      </c>
      <c r="E282" s="1" t="s">
        <v>96</v>
      </c>
      <c r="F282" s="1" t="s">
        <v>296</v>
      </c>
      <c r="G282" s="1" t="s">
        <v>35</v>
      </c>
      <c r="H282" s="1"/>
      <c r="I282" s="1"/>
      <c r="J282" s="1"/>
      <c r="K282" s="1">
        <f>IF(F282="",1,IFERROR(VLOOKUP(F282,A:K,11,FALSE)+1,1))</f>
        <v>7</v>
      </c>
      <c r="L282" s="1" t="str">
        <f>IF(F282="","الأصل",IF(VLOOKUP(F282,A:L,12,FALSE)="الأصل","الفرع "&amp;K282-1,VLOOKUP(F282,A:L,12,FALSE)))</f>
        <v>العبدالكريم</v>
      </c>
      <c r="M282" s="1" t="str">
        <f t="shared" si="7"/>
        <v>عبدالكريم بن شايع بن عثمان عبدالكريم</v>
      </c>
      <c r="N282" s="1" t="str">
        <f t="shared" si="8"/>
        <v>عبدالكريم bin شايع bin عثمان Al-عبدالكريم</v>
      </c>
      <c r="O282" s="1" t="str">
        <f t="shared" ca="1" si="9"/>
        <v/>
      </c>
      <c r="P282" s="1">
        <f t="shared" si="10"/>
        <v>0</v>
      </c>
      <c r="Q282" s="1"/>
      <c r="R282" s="1"/>
      <c r="S282" s="1" t="str">
        <f t="shared" si="11"/>
        <v>Living</v>
      </c>
    </row>
    <row r="283" spans="1:19" ht="15.75" customHeight="1" x14ac:dyDescent="0.2">
      <c r="A283" s="1" t="str">
        <f t="shared" si="6"/>
        <v>P282</v>
      </c>
      <c r="B283" s="1" t="s">
        <v>108</v>
      </c>
      <c r="C283" s="1" t="s">
        <v>105</v>
      </c>
      <c r="D283" s="1" t="s">
        <v>96</v>
      </c>
      <c r="E283" s="1" t="s">
        <v>272</v>
      </c>
      <c r="F283" s="1" t="s">
        <v>297</v>
      </c>
      <c r="G283" s="1" t="s">
        <v>35</v>
      </c>
      <c r="H283" s="1"/>
      <c r="I283" s="1"/>
      <c r="J283" s="1"/>
      <c r="K283" s="1">
        <f>IF(F283="",1,IFERROR(VLOOKUP(F283,A:K,11,FALSE)+1,1))</f>
        <v>6</v>
      </c>
      <c r="L283" s="1" t="str">
        <f>IF(F283="","الأصل",IF(VLOOKUP(F283,A:L,12,FALSE)="الأصل","الفرع "&amp;K283-1,VLOOKUP(F283,A:L,12,FALSE)))</f>
        <v>العبدالكريم</v>
      </c>
      <c r="M283" s="1" t="str">
        <f t="shared" si="7"/>
        <v>عبدالعزيز بن عبدالرحمن بن عبدالكريم عثمان</v>
      </c>
      <c r="N283" s="1" t="str">
        <f t="shared" si="8"/>
        <v>عبدالعزيز bin عبدالرحمن bin عبدالكريم Al-عثمان</v>
      </c>
      <c r="O283" s="1" t="str">
        <f t="shared" ca="1" si="9"/>
        <v/>
      </c>
      <c r="P283" s="1">
        <f t="shared" si="10"/>
        <v>0</v>
      </c>
      <c r="Q283" s="1"/>
      <c r="R283" s="1"/>
      <c r="S283" s="1" t="str">
        <f t="shared" si="11"/>
        <v>Living</v>
      </c>
    </row>
    <row r="284" spans="1:19" ht="15.75" customHeight="1" x14ac:dyDescent="0.2">
      <c r="A284" s="1" t="str">
        <f t="shared" si="6"/>
        <v>P283</v>
      </c>
      <c r="B284" s="1" t="s">
        <v>119</v>
      </c>
      <c r="C284" s="1" t="s">
        <v>105</v>
      </c>
      <c r="D284" s="1" t="s">
        <v>96</v>
      </c>
      <c r="E284" s="1" t="s">
        <v>272</v>
      </c>
      <c r="F284" s="1" t="s">
        <v>297</v>
      </c>
      <c r="G284" s="1" t="s">
        <v>35</v>
      </c>
      <c r="H284" s="1"/>
      <c r="I284" s="1"/>
      <c r="J284" s="1"/>
      <c r="K284" s="1">
        <f>IF(F284="",1,IFERROR(VLOOKUP(F284,A:K,11,FALSE)+1,1))</f>
        <v>6</v>
      </c>
      <c r="L284" s="1" t="str">
        <f>IF(F284="","الأصل",IF(VLOOKUP(F284,A:L,12,FALSE)="الأصل","الفرع "&amp;K284-1,VLOOKUP(F284,A:L,12,FALSE)))</f>
        <v>العبدالكريم</v>
      </c>
      <c r="M284" s="1" t="str">
        <f t="shared" si="7"/>
        <v>عبدالله بن عبدالرحمن بن عبدالكريم عثمان</v>
      </c>
      <c r="N284" s="1" t="str">
        <f t="shared" si="8"/>
        <v>عبدالله bin عبدالرحمن bin عبدالكريم Al-عثمان</v>
      </c>
      <c r="O284" s="1" t="str">
        <f t="shared" ca="1" si="9"/>
        <v/>
      </c>
      <c r="P284" s="1">
        <f t="shared" si="10"/>
        <v>0</v>
      </c>
      <c r="Q284" s="1"/>
      <c r="R284" s="1"/>
      <c r="S284" s="1" t="str">
        <f t="shared" si="11"/>
        <v>Living</v>
      </c>
    </row>
    <row r="285" spans="1:19" ht="15.75" customHeight="1" x14ac:dyDescent="0.2">
      <c r="A285" s="1" t="str">
        <f t="shared" si="6"/>
        <v>P284</v>
      </c>
      <c r="B285" s="1" t="s">
        <v>251</v>
      </c>
      <c r="C285" s="1" t="s">
        <v>105</v>
      </c>
      <c r="D285" s="1" t="s">
        <v>96</v>
      </c>
      <c r="E285" s="1" t="s">
        <v>272</v>
      </c>
      <c r="F285" s="1" t="s">
        <v>297</v>
      </c>
      <c r="G285" s="1" t="s">
        <v>35</v>
      </c>
      <c r="H285" s="1"/>
      <c r="I285" s="1"/>
      <c r="J285" s="1"/>
      <c r="K285" s="1">
        <f>IF(F285="",1,IFERROR(VLOOKUP(F285,A:K,11,FALSE)+1,1))</f>
        <v>6</v>
      </c>
      <c r="L285" s="1" t="str">
        <f>IF(F285="","الأصل",IF(VLOOKUP(F285,A:L,12,FALSE)="الأصل","الفرع "&amp;K285-1,VLOOKUP(F285,A:L,12,FALSE)))</f>
        <v>العبدالكريم</v>
      </c>
      <c r="M285" s="1" t="str">
        <f t="shared" si="7"/>
        <v>صالح بن عبدالرحمن بن عبدالكريم عثمان</v>
      </c>
      <c r="N285" s="1" t="str">
        <f t="shared" si="8"/>
        <v>صالح bin عبدالرحمن bin عبدالكريم Al-عثمان</v>
      </c>
      <c r="O285" s="1" t="str">
        <f t="shared" ca="1" si="9"/>
        <v/>
      </c>
      <c r="P285" s="1">
        <f t="shared" si="10"/>
        <v>0</v>
      </c>
      <c r="Q285" s="1"/>
      <c r="R285" s="1"/>
      <c r="S285" s="1" t="str">
        <f t="shared" si="11"/>
        <v>Living</v>
      </c>
    </row>
    <row r="286" spans="1:19" ht="15.75" customHeight="1" x14ac:dyDescent="0.2">
      <c r="A286" s="1" t="str">
        <f t="shared" si="6"/>
        <v>P285</v>
      </c>
      <c r="B286" s="1" t="s">
        <v>96</v>
      </c>
      <c r="C286" s="1" t="s">
        <v>105</v>
      </c>
      <c r="D286" s="1" t="s">
        <v>96</v>
      </c>
      <c r="E286" s="1" t="s">
        <v>272</v>
      </c>
      <c r="F286" s="1" t="s">
        <v>297</v>
      </c>
      <c r="G286" s="1" t="s">
        <v>35</v>
      </c>
      <c r="H286" s="1"/>
      <c r="I286" s="1"/>
      <c r="J286" s="1"/>
      <c r="K286" s="1">
        <f>IF(F286="",1,IFERROR(VLOOKUP(F286,A:K,11,FALSE)+1,1))</f>
        <v>6</v>
      </c>
      <c r="L286" s="1" t="str">
        <f>IF(F286="","الأصل",IF(VLOOKUP(F286,A:L,12,FALSE)="الأصل","الفرع "&amp;K286-1,VLOOKUP(F286,A:L,12,FALSE)))</f>
        <v>العبدالكريم</v>
      </c>
      <c r="M286" s="1" t="str">
        <f t="shared" si="7"/>
        <v>عبدالكريم بن عبدالرحمن بن عبدالكريم عثمان</v>
      </c>
      <c r="N286" s="1" t="str">
        <f t="shared" si="8"/>
        <v>عبدالكريم bin عبدالرحمن bin عبدالكريم Al-عثمان</v>
      </c>
      <c r="O286" s="1" t="str">
        <f t="shared" ca="1" si="9"/>
        <v/>
      </c>
      <c r="P286" s="1">
        <f t="shared" si="10"/>
        <v>0</v>
      </c>
      <c r="Q286" s="1"/>
      <c r="R286" s="1"/>
      <c r="S286" s="1" t="str">
        <f t="shared" si="11"/>
        <v>Living</v>
      </c>
    </row>
    <row r="287" spans="1:19" ht="15.75" customHeight="1" x14ac:dyDescent="0.2">
      <c r="A287" s="1" t="str">
        <f t="shared" si="6"/>
        <v>P286</v>
      </c>
      <c r="B287" s="1" t="s">
        <v>291</v>
      </c>
      <c r="C287" s="1" t="s">
        <v>105</v>
      </c>
      <c r="D287" s="1" t="s">
        <v>96</v>
      </c>
      <c r="E287" s="1" t="s">
        <v>272</v>
      </c>
      <c r="F287" s="1" t="s">
        <v>297</v>
      </c>
      <c r="G287" s="1" t="s">
        <v>35</v>
      </c>
      <c r="H287" s="1"/>
      <c r="I287" s="1"/>
      <c r="J287" s="1"/>
      <c r="K287" s="1">
        <f>IF(F287="",1,IFERROR(VLOOKUP(F287,A:K,11,FALSE)+1,1))</f>
        <v>6</v>
      </c>
      <c r="L287" s="1" t="str">
        <f>IF(F287="","الأصل",IF(VLOOKUP(F287,A:L,12,FALSE)="الأصل","الفرع "&amp;K287-1,VLOOKUP(F287,A:L,12,FALSE)))</f>
        <v>العبدالكريم</v>
      </c>
      <c r="M287" s="1" t="str">
        <f t="shared" si="7"/>
        <v>دخيل بن عبدالرحمن بن عبدالكريم عثمان</v>
      </c>
      <c r="N287" s="1" t="str">
        <f t="shared" si="8"/>
        <v>دخيل bin عبدالرحمن bin عبدالكريم Al-عثمان</v>
      </c>
      <c r="O287" s="1" t="str">
        <f t="shared" ca="1" si="9"/>
        <v/>
      </c>
      <c r="P287" s="1">
        <f t="shared" si="10"/>
        <v>0</v>
      </c>
      <c r="Q287" s="1"/>
      <c r="R287" s="1"/>
      <c r="S287" s="1" t="str">
        <f t="shared" si="11"/>
        <v>Living</v>
      </c>
    </row>
    <row r="288" spans="1:19" ht="15.75" customHeight="1" x14ac:dyDescent="0.2">
      <c r="A288" s="1" t="str">
        <f t="shared" si="6"/>
        <v>P287</v>
      </c>
      <c r="B288" s="1" t="s">
        <v>298</v>
      </c>
      <c r="C288" s="1" t="s">
        <v>108</v>
      </c>
      <c r="D288" s="1" t="s">
        <v>105</v>
      </c>
      <c r="E288" s="1" t="s">
        <v>96</v>
      </c>
      <c r="F288" s="1" t="s">
        <v>299</v>
      </c>
      <c r="G288" s="1" t="s">
        <v>35</v>
      </c>
      <c r="H288" s="1"/>
      <c r="I288" s="1"/>
      <c r="J288" s="1"/>
      <c r="K288" s="1">
        <f>IF(F288="",1,IFERROR(VLOOKUP(F288,A:K,11,FALSE)+1,1))</f>
        <v>7</v>
      </c>
      <c r="L288" s="1" t="str">
        <f>IF(F288="","الأصل",IF(VLOOKUP(F288,A:L,12,FALSE)="الأصل","الفرع "&amp;K288-1,VLOOKUP(F288,A:L,12,FALSE)))</f>
        <v>العبدالكريم</v>
      </c>
      <c r="M288" s="1" t="str">
        <f t="shared" si="7"/>
        <v>سامي بن عبدالعزيز بن عبدالرحمن عبدالكريم</v>
      </c>
      <c r="N288" s="1" t="str">
        <f t="shared" si="8"/>
        <v>سامي bin عبدالعزيز bin عبدالرحمن Al-عبدالكريم</v>
      </c>
      <c r="O288" s="1" t="str">
        <f t="shared" ca="1" si="9"/>
        <v/>
      </c>
      <c r="P288" s="1">
        <f t="shared" si="10"/>
        <v>0</v>
      </c>
      <c r="Q288" s="1"/>
      <c r="R288" s="1"/>
      <c r="S288" s="1" t="str">
        <f t="shared" si="11"/>
        <v>Living</v>
      </c>
    </row>
    <row r="289" spans="1:19" ht="15.75" customHeight="1" x14ac:dyDescent="0.2">
      <c r="A289" s="1" t="str">
        <f t="shared" si="6"/>
        <v>P288</v>
      </c>
      <c r="B289" s="1" t="s">
        <v>119</v>
      </c>
      <c r="C289" s="1" t="s">
        <v>108</v>
      </c>
      <c r="D289" s="1" t="s">
        <v>105</v>
      </c>
      <c r="E289" s="1" t="s">
        <v>96</v>
      </c>
      <c r="F289" s="1" t="s">
        <v>299</v>
      </c>
      <c r="G289" s="1" t="s">
        <v>35</v>
      </c>
      <c r="H289" s="1"/>
      <c r="I289" s="1"/>
      <c r="J289" s="1"/>
      <c r="K289" s="1">
        <f>IF(F289="",1,IFERROR(VLOOKUP(F289,A:K,11,FALSE)+1,1))</f>
        <v>7</v>
      </c>
      <c r="L289" s="1" t="str">
        <f>IF(F289="","الأصل",IF(VLOOKUP(F289,A:L,12,FALSE)="الأصل","الفرع "&amp;K289-1,VLOOKUP(F289,A:L,12,FALSE)))</f>
        <v>العبدالكريم</v>
      </c>
      <c r="M289" s="1" t="str">
        <f t="shared" si="7"/>
        <v>عبدالله بن عبدالعزيز بن عبدالرحمن عبدالكريم</v>
      </c>
      <c r="N289" s="1" t="str">
        <f t="shared" si="8"/>
        <v>عبدالله bin عبدالعزيز bin عبدالرحمن Al-عبدالكريم</v>
      </c>
      <c r="O289" s="1" t="str">
        <f t="shared" ca="1" si="9"/>
        <v/>
      </c>
      <c r="P289" s="1">
        <f t="shared" si="10"/>
        <v>0</v>
      </c>
      <c r="Q289" s="1"/>
      <c r="R289" s="1"/>
      <c r="S289" s="1" t="str">
        <f t="shared" si="11"/>
        <v>Living</v>
      </c>
    </row>
    <row r="290" spans="1:19" ht="15.75" customHeight="1" x14ac:dyDescent="0.2">
      <c r="A290" s="1" t="str">
        <f t="shared" si="6"/>
        <v>P289</v>
      </c>
      <c r="B290" s="1" t="s">
        <v>105</v>
      </c>
      <c r="C290" s="1" t="s">
        <v>108</v>
      </c>
      <c r="D290" s="1" t="s">
        <v>105</v>
      </c>
      <c r="E290" s="1" t="s">
        <v>96</v>
      </c>
      <c r="F290" s="1" t="s">
        <v>299</v>
      </c>
      <c r="G290" s="1" t="s">
        <v>35</v>
      </c>
      <c r="H290" s="1"/>
      <c r="I290" s="1"/>
      <c r="J290" s="1"/>
      <c r="K290" s="1">
        <f>IF(F290="",1,IFERROR(VLOOKUP(F290,A:K,11,FALSE)+1,1))</f>
        <v>7</v>
      </c>
      <c r="L290" s="1" t="str">
        <f>IF(F290="","الأصل",IF(VLOOKUP(F290,A:L,12,FALSE)="الأصل","الفرع "&amp;K290-1,VLOOKUP(F290,A:L,12,FALSE)))</f>
        <v>العبدالكريم</v>
      </c>
      <c r="M290" s="1" t="str">
        <f t="shared" si="7"/>
        <v>عبدالرحمن بن عبدالعزيز بن عبدالرحمن عبدالكريم</v>
      </c>
      <c r="N290" s="1" t="str">
        <f t="shared" si="8"/>
        <v>عبدالرحمن bin عبدالعزيز bin عبدالرحمن Al-عبدالكريم</v>
      </c>
      <c r="O290" s="1" t="str">
        <f t="shared" ca="1" si="9"/>
        <v/>
      </c>
      <c r="P290" s="1">
        <f t="shared" si="10"/>
        <v>0</v>
      </c>
      <c r="Q290" s="1"/>
      <c r="R290" s="1"/>
      <c r="S290" s="1" t="str">
        <f t="shared" si="11"/>
        <v>Living</v>
      </c>
    </row>
    <row r="291" spans="1:19" ht="15.75" customHeight="1" x14ac:dyDescent="0.2">
      <c r="A291" s="1" t="str">
        <f t="shared" si="6"/>
        <v>P290</v>
      </c>
      <c r="B291" s="1" t="s">
        <v>112</v>
      </c>
      <c r="C291" s="1" t="s">
        <v>108</v>
      </c>
      <c r="D291" s="1" t="s">
        <v>105</v>
      </c>
      <c r="E291" s="1" t="s">
        <v>96</v>
      </c>
      <c r="F291" s="1" t="s">
        <v>299</v>
      </c>
      <c r="G291" s="1" t="s">
        <v>35</v>
      </c>
      <c r="H291" s="1"/>
      <c r="I291" s="1"/>
      <c r="J291" s="1"/>
      <c r="K291" s="1">
        <f>IF(F291="",1,IFERROR(VLOOKUP(F291,A:K,11,FALSE)+1,1))</f>
        <v>7</v>
      </c>
      <c r="L291" s="1" t="str">
        <f>IF(F291="","الأصل",IF(VLOOKUP(F291,A:L,12,FALSE)="الأصل","الفرع "&amp;K291-1,VLOOKUP(F291,A:L,12,FALSE)))</f>
        <v>العبدالكريم</v>
      </c>
      <c r="M291" s="1" t="str">
        <f t="shared" si="7"/>
        <v>خالد بن عبدالعزيز بن عبدالرحمن عبدالكريم</v>
      </c>
      <c r="N291" s="1" t="str">
        <f t="shared" si="8"/>
        <v>خالد bin عبدالعزيز bin عبدالرحمن Al-عبدالكريم</v>
      </c>
      <c r="O291" s="1" t="str">
        <f t="shared" ca="1" si="9"/>
        <v/>
      </c>
      <c r="P291" s="1">
        <f t="shared" si="10"/>
        <v>0</v>
      </c>
      <c r="Q291" s="1"/>
      <c r="R291" s="1"/>
      <c r="S291" s="1" t="str">
        <f t="shared" si="11"/>
        <v>Living</v>
      </c>
    </row>
    <row r="292" spans="1:19" ht="15.75" customHeight="1" x14ac:dyDescent="0.2">
      <c r="A292" s="1" t="str">
        <f t="shared" si="6"/>
        <v>P291</v>
      </c>
      <c r="B292" s="1" t="s">
        <v>300</v>
      </c>
      <c r="C292" s="1" t="s">
        <v>108</v>
      </c>
      <c r="D292" s="1" t="s">
        <v>105</v>
      </c>
      <c r="E292" s="1" t="s">
        <v>96</v>
      </c>
      <c r="F292" s="1" t="s">
        <v>299</v>
      </c>
      <c r="G292" s="1" t="s">
        <v>35</v>
      </c>
      <c r="H292" s="1"/>
      <c r="I292" s="1"/>
      <c r="J292" s="1"/>
      <c r="K292" s="1">
        <f>IF(F292="",1,IFERROR(VLOOKUP(F292,A:K,11,FALSE)+1,1))</f>
        <v>7</v>
      </c>
      <c r="L292" s="1" t="str">
        <f>IF(F292="","الأصل",IF(VLOOKUP(F292,A:L,12,FALSE)="الأصل","الفرع "&amp;K292-1,VLOOKUP(F292,A:L,12,FALSE)))</f>
        <v>العبدالكريم</v>
      </c>
      <c r="M292" s="1" t="str">
        <f t="shared" si="7"/>
        <v>رياض بن عبدالعزيز بن عبدالرحمن عبدالكريم</v>
      </c>
      <c r="N292" s="1" t="str">
        <f t="shared" si="8"/>
        <v>رياض bin عبدالعزيز bin عبدالرحمن Al-عبدالكريم</v>
      </c>
      <c r="O292" s="1" t="str">
        <f t="shared" ca="1" si="9"/>
        <v/>
      </c>
      <c r="P292" s="1">
        <f t="shared" si="10"/>
        <v>0</v>
      </c>
      <c r="Q292" s="1"/>
      <c r="R292" s="1"/>
      <c r="S292" s="1" t="str">
        <f t="shared" si="11"/>
        <v>Living</v>
      </c>
    </row>
    <row r="293" spans="1:19" ht="15.75" customHeight="1" x14ac:dyDescent="0.2">
      <c r="A293" s="1" t="str">
        <f t="shared" si="6"/>
        <v>P292</v>
      </c>
      <c r="B293" s="1" t="s">
        <v>301</v>
      </c>
      <c r="C293" s="1" t="s">
        <v>108</v>
      </c>
      <c r="D293" s="1" t="s">
        <v>105</v>
      </c>
      <c r="E293" s="1" t="s">
        <v>96</v>
      </c>
      <c r="F293" s="1" t="s">
        <v>299</v>
      </c>
      <c r="G293" s="1" t="s">
        <v>35</v>
      </c>
      <c r="H293" s="1"/>
      <c r="I293" s="1"/>
      <c r="J293" s="1"/>
      <c r="K293" s="1">
        <f>IF(F293="",1,IFERROR(VLOOKUP(F293,A:K,11,FALSE)+1,1))</f>
        <v>7</v>
      </c>
      <c r="L293" s="1" t="str">
        <f>IF(F293="","الأصل",IF(VLOOKUP(F293,A:L,12,FALSE)="الأصل","الفرع "&amp;K293-1,VLOOKUP(F293,A:L,12,FALSE)))</f>
        <v>العبدالكريم</v>
      </c>
      <c r="M293" s="1" t="str">
        <f t="shared" si="7"/>
        <v>رائد بن عبدالعزيز بن عبدالرحمن عبدالكريم</v>
      </c>
      <c r="N293" s="1" t="str">
        <f t="shared" si="8"/>
        <v>رائد bin عبدالعزيز bin عبدالرحمن Al-عبدالكريم</v>
      </c>
      <c r="O293" s="1" t="str">
        <f t="shared" ca="1" si="9"/>
        <v/>
      </c>
      <c r="P293" s="1">
        <f t="shared" si="10"/>
        <v>0</v>
      </c>
      <c r="Q293" s="1"/>
      <c r="R293" s="1"/>
      <c r="S293" s="1" t="str">
        <f t="shared" si="11"/>
        <v>Living</v>
      </c>
    </row>
    <row r="294" spans="1:19" ht="15.75" customHeight="1" x14ac:dyDescent="0.2">
      <c r="A294" s="1" t="str">
        <f t="shared" si="6"/>
        <v>P293</v>
      </c>
      <c r="B294" s="1" t="s">
        <v>241</v>
      </c>
      <c r="C294" s="1" t="s">
        <v>251</v>
      </c>
      <c r="D294" s="1" t="s">
        <v>105</v>
      </c>
      <c r="E294" s="1" t="s">
        <v>96</v>
      </c>
      <c r="F294" s="1" t="s">
        <v>302</v>
      </c>
      <c r="G294" s="1" t="s">
        <v>35</v>
      </c>
      <c r="H294" s="1"/>
      <c r="I294" s="1"/>
      <c r="J294" s="1"/>
      <c r="K294" s="1">
        <f>IF(F294="",1,IFERROR(VLOOKUP(F294,A:K,11,FALSE)+1,1))</f>
        <v>7</v>
      </c>
      <c r="L294" s="1" t="str">
        <f>IF(F294="","الأصل",IF(VLOOKUP(F294,A:L,12,FALSE)="الأصل","الفرع "&amp;K294-1,VLOOKUP(F294,A:L,12,FALSE)))</f>
        <v>العبدالكريم</v>
      </c>
      <c r="M294" s="1" t="str">
        <f t="shared" si="7"/>
        <v>عمر بن صالح بن عبدالرحمن عبدالكريم</v>
      </c>
      <c r="N294" s="1" t="str">
        <f t="shared" si="8"/>
        <v>عمر bin صالح bin عبدالرحمن Al-عبدالكريم</v>
      </c>
      <c r="O294" s="1" t="str">
        <f t="shared" ca="1" si="9"/>
        <v/>
      </c>
      <c r="P294" s="1">
        <f t="shared" si="10"/>
        <v>0</v>
      </c>
      <c r="Q294" s="1"/>
      <c r="R294" s="1"/>
      <c r="S294" s="1" t="str">
        <f t="shared" si="11"/>
        <v>Living</v>
      </c>
    </row>
    <row r="295" spans="1:19" ht="15.75" customHeight="1" x14ac:dyDescent="0.2">
      <c r="A295" s="1" t="str">
        <f t="shared" si="6"/>
        <v>P294</v>
      </c>
      <c r="B295" s="1" t="s">
        <v>119</v>
      </c>
      <c r="C295" s="1" t="s">
        <v>96</v>
      </c>
      <c r="D295" s="1" t="s">
        <v>105</v>
      </c>
      <c r="E295" s="1" t="s">
        <v>96</v>
      </c>
      <c r="F295" s="1" t="s">
        <v>303</v>
      </c>
      <c r="G295" s="1" t="s">
        <v>35</v>
      </c>
      <c r="H295" s="1"/>
      <c r="I295" s="1"/>
      <c r="J295" s="1"/>
      <c r="K295" s="1">
        <f>IF(F295="",1,IFERROR(VLOOKUP(F295,A:K,11,FALSE)+1,1))</f>
        <v>7</v>
      </c>
      <c r="L295" s="1" t="str">
        <f>IF(F295="","الأصل",IF(VLOOKUP(F295,A:L,12,FALSE)="الأصل","الفرع "&amp;K295-1,VLOOKUP(F295,A:L,12,FALSE)))</f>
        <v>العبدالكريم</v>
      </c>
      <c r="M295" s="1" t="str">
        <f t="shared" si="7"/>
        <v>عبدالله بن عبدالكريم بن عبدالرحمن عبدالكريم</v>
      </c>
      <c r="N295" s="1" t="str">
        <f t="shared" si="8"/>
        <v>عبدالله bin عبدالكريم bin عبدالرحمن Al-عبدالكريم</v>
      </c>
      <c r="O295" s="1" t="str">
        <f t="shared" ca="1" si="9"/>
        <v/>
      </c>
      <c r="P295" s="1">
        <f t="shared" si="10"/>
        <v>0</v>
      </c>
      <c r="Q295" s="1"/>
      <c r="R295" s="1"/>
      <c r="S295" s="1" t="str">
        <f t="shared" si="11"/>
        <v>Living</v>
      </c>
    </row>
    <row r="296" spans="1:19" ht="15.75" customHeight="1" x14ac:dyDescent="0.2">
      <c r="A296" s="1" t="str">
        <f t="shared" si="6"/>
        <v>P295</v>
      </c>
      <c r="B296" s="1" t="s">
        <v>142</v>
      </c>
      <c r="C296" s="1" t="s">
        <v>96</v>
      </c>
      <c r="D296" s="1" t="s">
        <v>105</v>
      </c>
      <c r="E296" s="1" t="s">
        <v>96</v>
      </c>
      <c r="F296" s="1" t="s">
        <v>303</v>
      </c>
      <c r="G296" s="1" t="s">
        <v>35</v>
      </c>
      <c r="H296" s="1"/>
      <c r="I296" s="1"/>
      <c r="J296" s="1"/>
      <c r="K296" s="1">
        <f>IF(F296="",1,IFERROR(VLOOKUP(F296,A:K,11,FALSE)+1,1))</f>
        <v>7</v>
      </c>
      <c r="L296" s="1" t="str">
        <f>IF(F296="","الأصل",IF(VLOOKUP(F296,A:L,12,FALSE)="الأصل","الفرع "&amp;K296-1,VLOOKUP(F296,A:L,12,FALSE)))</f>
        <v>العبدالكريم</v>
      </c>
      <c r="M296" s="1" t="str">
        <f t="shared" si="7"/>
        <v>تميم بن عبدالكريم بن عبدالرحمن عبدالكريم</v>
      </c>
      <c r="N296" s="1" t="str">
        <f t="shared" si="8"/>
        <v>تميم bin عبدالكريم bin عبدالرحمن Al-عبدالكريم</v>
      </c>
      <c r="O296" s="1" t="str">
        <f t="shared" ca="1" si="9"/>
        <v/>
      </c>
      <c r="P296" s="1">
        <f t="shared" si="10"/>
        <v>0</v>
      </c>
      <c r="Q296" s="1"/>
      <c r="R296" s="1"/>
      <c r="S296" s="1" t="str">
        <f t="shared" si="11"/>
        <v>Living</v>
      </c>
    </row>
    <row r="297" spans="1:19" ht="15.75" customHeight="1" x14ac:dyDescent="0.2">
      <c r="A297" s="1" t="str">
        <f t="shared" si="6"/>
        <v>P296</v>
      </c>
      <c r="B297" s="1" t="s">
        <v>254</v>
      </c>
      <c r="C297" s="1" t="s">
        <v>96</v>
      </c>
      <c r="D297" s="1" t="s">
        <v>105</v>
      </c>
      <c r="E297" s="1" t="s">
        <v>96</v>
      </c>
      <c r="F297" s="1" t="s">
        <v>303</v>
      </c>
      <c r="G297" s="1" t="s">
        <v>35</v>
      </c>
      <c r="H297" s="1"/>
      <c r="I297" s="1"/>
      <c r="J297" s="1"/>
      <c r="K297" s="1">
        <f>IF(F297="",1,IFERROR(VLOOKUP(F297,A:K,11,FALSE)+1,1))</f>
        <v>7</v>
      </c>
      <c r="L297" s="1" t="str">
        <f>IF(F297="","الأصل",IF(VLOOKUP(F297,A:L,12,FALSE)="الأصل","الفرع "&amp;K297-1,VLOOKUP(F297,A:L,12,FALSE)))</f>
        <v>العبدالكريم</v>
      </c>
      <c r="M297" s="1" t="str">
        <f t="shared" si="7"/>
        <v>يوسف بن عبدالكريم بن عبدالرحمن عبدالكريم</v>
      </c>
      <c r="N297" s="1" t="str">
        <f t="shared" si="8"/>
        <v>يوسف bin عبدالكريم bin عبدالرحمن Al-عبدالكريم</v>
      </c>
      <c r="O297" s="1" t="str">
        <f t="shared" ca="1" si="9"/>
        <v/>
      </c>
      <c r="P297" s="1">
        <f t="shared" si="10"/>
        <v>0</v>
      </c>
      <c r="Q297" s="1"/>
      <c r="R297" s="1"/>
      <c r="S297" s="1" t="str">
        <f t="shared" si="11"/>
        <v>Living</v>
      </c>
    </row>
    <row r="298" spans="1:19" ht="15.75" customHeight="1" x14ac:dyDescent="0.2">
      <c r="A298" s="1" t="str">
        <f t="shared" si="6"/>
        <v>P297</v>
      </c>
      <c r="B298" s="1" t="s">
        <v>111</v>
      </c>
      <c r="C298" s="1" t="s">
        <v>291</v>
      </c>
      <c r="D298" s="1" t="s">
        <v>105</v>
      </c>
      <c r="E298" s="1" t="s">
        <v>96</v>
      </c>
      <c r="F298" s="1" t="s">
        <v>304</v>
      </c>
      <c r="G298" s="1" t="s">
        <v>35</v>
      </c>
      <c r="H298" s="1"/>
      <c r="I298" s="1"/>
      <c r="J298" s="1"/>
      <c r="K298" s="1">
        <f>IF(F298="",1,IFERROR(VLOOKUP(F298,A:K,11,FALSE)+1,1))</f>
        <v>7</v>
      </c>
      <c r="L298" s="1" t="str">
        <f>IF(F298="","الأصل",IF(VLOOKUP(F298,A:L,12,FALSE)="الأصل","الفرع "&amp;K298-1,VLOOKUP(F298,A:L,12,FALSE)))</f>
        <v>العبدالكريم</v>
      </c>
      <c r="M298" s="1" t="str">
        <f t="shared" si="7"/>
        <v>فهد بن دخيل بن عبدالرحمن عبدالكريم</v>
      </c>
      <c r="N298" s="1" t="str">
        <f t="shared" si="8"/>
        <v>فهد bin دخيل bin عبدالرحمن Al-عبدالكريم</v>
      </c>
      <c r="O298" s="1" t="str">
        <f t="shared" ca="1" si="9"/>
        <v/>
      </c>
      <c r="P298" s="1">
        <f t="shared" si="10"/>
        <v>0</v>
      </c>
      <c r="Q298" s="1"/>
      <c r="R298" s="1"/>
      <c r="S298" s="1" t="str">
        <f t="shared" si="11"/>
        <v>Living</v>
      </c>
    </row>
    <row r="299" spans="1:19" ht="15.75" customHeight="1" x14ac:dyDescent="0.2">
      <c r="A299" s="1" t="str">
        <f t="shared" si="6"/>
        <v>P298</v>
      </c>
      <c r="B299" s="1" t="s">
        <v>119</v>
      </c>
      <c r="C299" s="1" t="s">
        <v>291</v>
      </c>
      <c r="D299" s="1" t="s">
        <v>105</v>
      </c>
      <c r="E299" s="1" t="s">
        <v>96</v>
      </c>
      <c r="F299" s="1" t="s">
        <v>304</v>
      </c>
      <c r="G299" s="1" t="s">
        <v>35</v>
      </c>
      <c r="H299" s="1"/>
      <c r="I299" s="1"/>
      <c r="J299" s="1"/>
      <c r="K299" s="1">
        <f>IF(F299="",1,IFERROR(VLOOKUP(F299,A:K,11,FALSE)+1,1))</f>
        <v>7</v>
      </c>
      <c r="L299" s="1" t="str">
        <f>IF(F299="","الأصل",IF(VLOOKUP(F299,A:L,12,FALSE)="الأصل","الفرع "&amp;K299-1,VLOOKUP(F299,A:L,12,FALSE)))</f>
        <v>العبدالكريم</v>
      </c>
      <c r="M299" s="1" t="str">
        <f t="shared" si="7"/>
        <v>عبدالله بن دخيل بن عبدالرحمن عبدالكريم</v>
      </c>
      <c r="N299" s="1" t="str">
        <f t="shared" si="8"/>
        <v>عبدالله bin دخيل bin عبدالرحمن Al-عبدالكريم</v>
      </c>
      <c r="O299" s="1" t="str">
        <f t="shared" ca="1" si="9"/>
        <v/>
      </c>
      <c r="P299" s="1">
        <f t="shared" si="10"/>
        <v>0</v>
      </c>
      <c r="Q299" s="1"/>
      <c r="R299" s="1"/>
      <c r="S299" s="1" t="str">
        <f t="shared" si="11"/>
        <v>Living</v>
      </c>
    </row>
    <row r="300" spans="1:19" ht="15.75" customHeight="1" x14ac:dyDescent="0.2">
      <c r="A300" s="1" t="str">
        <f t="shared" si="6"/>
        <v>P299</v>
      </c>
      <c r="B300" s="1" t="s">
        <v>112</v>
      </c>
      <c r="C300" s="1" t="s">
        <v>291</v>
      </c>
      <c r="D300" s="1" t="s">
        <v>105</v>
      </c>
      <c r="E300" s="1" t="s">
        <v>96</v>
      </c>
      <c r="F300" s="1" t="s">
        <v>304</v>
      </c>
      <c r="G300" s="1" t="s">
        <v>35</v>
      </c>
      <c r="H300" s="1"/>
      <c r="I300" s="1"/>
      <c r="J300" s="1"/>
      <c r="K300" s="1">
        <f>IF(F300="",1,IFERROR(VLOOKUP(F300,A:K,11,FALSE)+1,1))</f>
        <v>7</v>
      </c>
      <c r="L300" s="1" t="str">
        <f>IF(F300="","الأصل",IF(VLOOKUP(F300,A:L,12,FALSE)="الأصل","الفرع "&amp;K300-1,VLOOKUP(F300,A:L,12,FALSE)))</f>
        <v>العبدالكريم</v>
      </c>
      <c r="M300" s="1" t="str">
        <f t="shared" si="7"/>
        <v>خالد بن دخيل بن عبدالرحمن عبدالكريم</v>
      </c>
      <c r="N300" s="1" t="str">
        <f t="shared" si="8"/>
        <v>خالد bin دخيل bin عبدالرحمن Al-عبدالكريم</v>
      </c>
      <c r="O300" s="1" t="str">
        <f t="shared" ca="1" si="9"/>
        <v/>
      </c>
      <c r="P300" s="1">
        <f t="shared" si="10"/>
        <v>0</v>
      </c>
      <c r="Q300" s="1"/>
      <c r="R300" s="1"/>
      <c r="S300" s="1" t="str">
        <f t="shared" si="11"/>
        <v>Living</v>
      </c>
    </row>
    <row r="301" spans="1:19" ht="15.75" customHeight="1" x14ac:dyDescent="0.2">
      <c r="A301" s="1" t="str">
        <f t="shared" si="6"/>
        <v>P300</v>
      </c>
      <c r="B301" s="1" t="s">
        <v>105</v>
      </c>
      <c r="C301" s="1" t="s">
        <v>291</v>
      </c>
      <c r="D301" s="1" t="s">
        <v>105</v>
      </c>
      <c r="E301" s="1" t="s">
        <v>96</v>
      </c>
      <c r="F301" s="1" t="s">
        <v>304</v>
      </c>
      <c r="G301" s="1" t="s">
        <v>35</v>
      </c>
      <c r="H301" s="1"/>
      <c r="I301" s="1"/>
      <c r="J301" s="1"/>
      <c r="K301" s="1">
        <f>IF(F301="",1,IFERROR(VLOOKUP(F301,A:K,11,FALSE)+1,1))</f>
        <v>7</v>
      </c>
      <c r="L301" s="1" t="str">
        <f>IF(F301="","الأصل",IF(VLOOKUP(F301,A:L,12,FALSE)="الأصل","الفرع "&amp;K301-1,VLOOKUP(F301,A:L,12,FALSE)))</f>
        <v>العبدالكريم</v>
      </c>
      <c r="M301" s="1" t="str">
        <f t="shared" si="7"/>
        <v>عبدالرحمن بن دخيل بن عبدالرحمن عبدالكريم</v>
      </c>
      <c r="N301" s="1" t="str">
        <f t="shared" si="8"/>
        <v>عبدالرحمن bin دخيل bin عبدالرحمن Al-عبدالكريم</v>
      </c>
      <c r="O301" s="1" t="str">
        <f t="shared" ca="1" si="9"/>
        <v/>
      </c>
      <c r="P301" s="1">
        <f t="shared" si="10"/>
        <v>0</v>
      </c>
      <c r="Q301" s="1"/>
      <c r="R301" s="1"/>
      <c r="S301" s="1" t="str">
        <f t="shared" si="11"/>
        <v>Living</v>
      </c>
    </row>
    <row r="302" spans="1:19" ht="15.75" customHeight="1" x14ac:dyDescent="0.2">
      <c r="A302" s="1" t="str">
        <f t="shared" si="6"/>
        <v>P301</v>
      </c>
      <c r="B302" s="1" t="s">
        <v>272</v>
      </c>
      <c r="C302" s="1" t="s">
        <v>291</v>
      </c>
      <c r="D302" s="1" t="s">
        <v>272</v>
      </c>
      <c r="E302" s="1" t="s">
        <v>96</v>
      </c>
      <c r="F302" s="1" t="s">
        <v>305</v>
      </c>
      <c r="G302" s="1" t="s">
        <v>35</v>
      </c>
      <c r="H302" s="1"/>
      <c r="I302" s="1"/>
      <c r="J302" s="1"/>
      <c r="K302" s="1">
        <f>IF(F302="",1,IFERROR(VLOOKUP(F302,A:K,11,FALSE)+1,1))</f>
        <v>5</v>
      </c>
      <c r="L302" s="1" t="str">
        <f>IF(F302="","الأصل",IF(VLOOKUP(F302,A:L,12,FALSE)="الأصل","الفرع "&amp;K302-1,VLOOKUP(F302,A:L,12,FALSE)))</f>
        <v>العبدالكريم</v>
      </c>
      <c r="M302" s="1" t="str">
        <f t="shared" si="7"/>
        <v>عثمان بن دخيل بن عثمان عبدالكريم</v>
      </c>
      <c r="N302" s="1" t="str">
        <f t="shared" si="8"/>
        <v>عثمان bin دخيل bin عثمان Al-عبدالكريم</v>
      </c>
      <c r="O302" s="1" t="str">
        <f t="shared" ca="1" si="9"/>
        <v/>
      </c>
      <c r="P302" s="1">
        <f t="shared" si="10"/>
        <v>0</v>
      </c>
      <c r="Q302" s="1"/>
      <c r="R302" s="1"/>
      <c r="S302" s="1" t="str">
        <f t="shared" si="11"/>
        <v>Living</v>
      </c>
    </row>
    <row r="303" spans="1:19" ht="15.75" customHeight="1" x14ac:dyDescent="0.2">
      <c r="A303" s="1" t="str">
        <f t="shared" si="6"/>
        <v>P302</v>
      </c>
      <c r="B303" s="1" t="s">
        <v>100</v>
      </c>
      <c r="C303" s="1" t="s">
        <v>291</v>
      </c>
      <c r="D303" s="1" t="s">
        <v>272</v>
      </c>
      <c r="E303" s="1" t="s">
        <v>96</v>
      </c>
      <c r="F303" s="1" t="s">
        <v>305</v>
      </c>
      <c r="G303" s="1" t="s">
        <v>35</v>
      </c>
      <c r="H303" s="1"/>
      <c r="I303" s="1"/>
      <c r="J303" s="1"/>
      <c r="K303" s="1">
        <f>IF(F303="",1,IFERROR(VLOOKUP(F303,A:K,11,FALSE)+1,1))</f>
        <v>5</v>
      </c>
      <c r="L303" s="1" t="str">
        <f>IF(F303="","الأصل",IF(VLOOKUP(F303,A:L,12,FALSE)="الأصل","الفرع "&amp;K303-1,VLOOKUP(F303,A:L,12,FALSE)))</f>
        <v>العبدالكريم</v>
      </c>
      <c r="M303" s="1" t="str">
        <f t="shared" si="7"/>
        <v>محمد بن دخيل بن عثمان عبدالكريم</v>
      </c>
      <c r="N303" s="1" t="str">
        <f t="shared" si="8"/>
        <v>محمد bin دخيل bin عثمان Al-عبدالكريم</v>
      </c>
      <c r="O303" s="1" t="str">
        <f t="shared" ca="1" si="9"/>
        <v/>
      </c>
      <c r="P303" s="1">
        <f t="shared" si="10"/>
        <v>0</v>
      </c>
      <c r="Q303" s="1"/>
      <c r="R303" s="1"/>
      <c r="S303" s="1" t="str">
        <f t="shared" si="11"/>
        <v>Living</v>
      </c>
    </row>
    <row r="304" spans="1:19" ht="15.75" customHeight="1" x14ac:dyDescent="0.2">
      <c r="A304" s="1" t="str">
        <f t="shared" si="6"/>
        <v>P303</v>
      </c>
      <c r="B304" s="1" t="s">
        <v>306</v>
      </c>
      <c r="C304" s="1" t="s">
        <v>100</v>
      </c>
      <c r="D304" s="1" t="s">
        <v>291</v>
      </c>
      <c r="E304" s="1" t="s">
        <v>272</v>
      </c>
      <c r="F304" s="1" t="s">
        <v>307</v>
      </c>
      <c r="G304" s="1" t="s">
        <v>35</v>
      </c>
      <c r="H304" s="1"/>
      <c r="I304" s="1"/>
      <c r="J304" s="1"/>
      <c r="K304" s="1">
        <f>IF(F304="",1,IFERROR(VLOOKUP(F304,A:K,11,FALSE)+1,1))</f>
        <v>6</v>
      </c>
      <c r="L304" s="1" t="str">
        <f>IF(F304="","الأصل",IF(VLOOKUP(F304,A:L,12,FALSE)="الأصل","الفرع "&amp;K304-1,VLOOKUP(F304,A:L,12,FALSE)))</f>
        <v>العبدالكريم</v>
      </c>
      <c r="M304" s="1" t="str">
        <f t="shared" si="7"/>
        <v>بشار بن محمد بن دخيل عثمان</v>
      </c>
      <c r="N304" s="1" t="str">
        <f t="shared" si="8"/>
        <v>بشار bin محمد bin دخيل Al-عثمان</v>
      </c>
      <c r="O304" s="1" t="str">
        <f t="shared" ca="1" si="9"/>
        <v/>
      </c>
      <c r="P304" s="1">
        <f t="shared" si="10"/>
        <v>0</v>
      </c>
      <c r="Q304" s="1"/>
      <c r="R304" s="1"/>
      <c r="S304" s="1" t="str">
        <f t="shared" si="11"/>
        <v>Living</v>
      </c>
    </row>
    <row r="305" spans="1:19" ht="15.75" customHeight="1" x14ac:dyDescent="0.2">
      <c r="A305" s="1" t="str">
        <f t="shared" si="6"/>
        <v>P304</v>
      </c>
      <c r="B305" s="1" t="s">
        <v>105</v>
      </c>
      <c r="C305" s="1" t="s">
        <v>272</v>
      </c>
      <c r="D305" s="1" t="s">
        <v>291</v>
      </c>
      <c r="E305" s="1" t="s">
        <v>272</v>
      </c>
      <c r="F305" s="1" t="s">
        <v>308</v>
      </c>
      <c r="G305" s="1" t="s">
        <v>35</v>
      </c>
      <c r="H305" s="1"/>
      <c r="I305" s="1"/>
      <c r="J305" s="1"/>
      <c r="K305" s="1">
        <f>IF(F305="",1,IFERROR(VLOOKUP(F305,A:K,11,FALSE)+1,1))</f>
        <v>6</v>
      </c>
      <c r="L305" s="1" t="str">
        <f>IF(F305="","الأصل",IF(VLOOKUP(F305,A:L,12,FALSE)="الأصل","الفرع "&amp;K305-1,VLOOKUP(F305,A:L,12,FALSE)))</f>
        <v>العبدالكريم</v>
      </c>
      <c r="M305" s="1" t="str">
        <f t="shared" si="7"/>
        <v>عبدالرحمن بن عثمان بن دخيل عثمان</v>
      </c>
      <c r="N305" s="1" t="str">
        <f t="shared" si="8"/>
        <v>عبدالرحمن bin عثمان bin دخيل Al-عثمان</v>
      </c>
      <c r="O305" s="1" t="str">
        <f t="shared" ca="1" si="9"/>
        <v/>
      </c>
      <c r="P305" s="1">
        <f t="shared" si="10"/>
        <v>0</v>
      </c>
      <c r="Q305" s="1"/>
      <c r="R305" s="1"/>
      <c r="S305" s="1" t="str">
        <f t="shared" si="11"/>
        <v>Living</v>
      </c>
    </row>
    <row r="306" spans="1:19" ht="15.75" customHeight="1" x14ac:dyDescent="0.2">
      <c r="A306" s="1" t="str">
        <f t="shared" si="6"/>
        <v>P305</v>
      </c>
      <c r="B306" s="1" t="s">
        <v>291</v>
      </c>
      <c r="C306" s="1" t="s">
        <v>272</v>
      </c>
      <c r="D306" s="1" t="s">
        <v>291</v>
      </c>
      <c r="E306" s="1" t="s">
        <v>272</v>
      </c>
      <c r="F306" s="1" t="s">
        <v>308</v>
      </c>
      <c r="G306" s="1" t="s">
        <v>35</v>
      </c>
      <c r="H306" s="1"/>
      <c r="I306" s="1"/>
      <c r="J306" s="1"/>
      <c r="K306" s="1">
        <f>IF(F306="",1,IFERROR(VLOOKUP(F306,A:K,11,FALSE)+1,1))</f>
        <v>6</v>
      </c>
      <c r="L306" s="1" t="str">
        <f>IF(F306="","الأصل",IF(VLOOKUP(F306,A:L,12,FALSE)="الأصل","الفرع "&amp;K306-1,VLOOKUP(F306,A:L,12,FALSE)))</f>
        <v>العبدالكريم</v>
      </c>
      <c r="M306" s="1" t="str">
        <f t="shared" si="7"/>
        <v>دخيل بن عثمان بن دخيل عثمان</v>
      </c>
      <c r="N306" s="1" t="str">
        <f t="shared" si="8"/>
        <v>دخيل bin عثمان bin دخيل Al-عثمان</v>
      </c>
      <c r="O306" s="1" t="str">
        <f t="shared" ca="1" si="9"/>
        <v/>
      </c>
      <c r="P306" s="1">
        <f t="shared" si="10"/>
        <v>0</v>
      </c>
      <c r="Q306" s="1"/>
      <c r="R306" s="1"/>
      <c r="S306" s="1" t="str">
        <f t="shared" si="11"/>
        <v>Living</v>
      </c>
    </row>
    <row r="307" spans="1:19" ht="15.75" customHeight="1" x14ac:dyDescent="0.2">
      <c r="A307" s="1" t="str">
        <f t="shared" si="6"/>
        <v>P306</v>
      </c>
      <c r="B307" s="1" t="s">
        <v>96</v>
      </c>
      <c r="C307" s="1" t="s">
        <v>272</v>
      </c>
      <c r="D307" s="1" t="s">
        <v>291</v>
      </c>
      <c r="E307" s="1" t="s">
        <v>272</v>
      </c>
      <c r="F307" s="1" t="s">
        <v>308</v>
      </c>
      <c r="G307" s="1" t="s">
        <v>35</v>
      </c>
      <c r="H307" s="1"/>
      <c r="I307" s="1"/>
      <c r="J307" s="1"/>
      <c r="K307" s="1">
        <f>IF(F307="",1,IFERROR(VLOOKUP(F307,A:K,11,FALSE)+1,1))</f>
        <v>6</v>
      </c>
      <c r="L307" s="1" t="str">
        <f>IF(F307="","الأصل",IF(VLOOKUP(F307,A:L,12,FALSE)="الأصل","الفرع "&amp;K307-1,VLOOKUP(F307,A:L,12,FALSE)))</f>
        <v>العبدالكريم</v>
      </c>
      <c r="M307" s="1" t="str">
        <f t="shared" si="7"/>
        <v>عبدالكريم بن عثمان بن دخيل عثمان</v>
      </c>
      <c r="N307" s="1" t="str">
        <f t="shared" si="8"/>
        <v>عبدالكريم bin عثمان bin دخيل Al-عثمان</v>
      </c>
      <c r="O307" s="1" t="str">
        <f t="shared" ca="1" si="9"/>
        <v/>
      </c>
      <c r="P307" s="1">
        <f t="shared" si="10"/>
        <v>0</v>
      </c>
      <c r="Q307" s="1"/>
      <c r="R307" s="1"/>
      <c r="S307" s="1" t="str">
        <f t="shared" si="11"/>
        <v>Living</v>
      </c>
    </row>
    <row r="308" spans="1:19" ht="15.75" customHeight="1" x14ac:dyDescent="0.2">
      <c r="A308" s="1" t="str">
        <f t="shared" si="6"/>
        <v>P307</v>
      </c>
      <c r="B308" s="1" t="s">
        <v>100</v>
      </c>
      <c r="C308" s="1" t="s">
        <v>272</v>
      </c>
      <c r="D308" s="1" t="s">
        <v>291</v>
      </c>
      <c r="E308" s="1" t="s">
        <v>272</v>
      </c>
      <c r="F308" s="1" t="s">
        <v>308</v>
      </c>
      <c r="G308" s="1" t="s">
        <v>35</v>
      </c>
      <c r="H308" s="1"/>
      <c r="I308" s="1"/>
      <c r="J308" s="1"/>
      <c r="K308" s="1">
        <f>IF(F308="",1,IFERROR(VLOOKUP(F308,A:K,11,FALSE)+1,1))</f>
        <v>6</v>
      </c>
      <c r="L308" s="1" t="str">
        <f>IF(F308="","الأصل",IF(VLOOKUP(F308,A:L,12,FALSE)="الأصل","الفرع "&amp;K308-1,VLOOKUP(F308,A:L,12,FALSE)))</f>
        <v>العبدالكريم</v>
      </c>
      <c r="M308" s="1" t="str">
        <f t="shared" si="7"/>
        <v>محمد بن عثمان بن دخيل عثمان</v>
      </c>
      <c r="N308" s="1" t="str">
        <f t="shared" si="8"/>
        <v>محمد bin عثمان bin دخيل Al-عثمان</v>
      </c>
      <c r="O308" s="1" t="str">
        <f t="shared" ca="1" si="9"/>
        <v/>
      </c>
      <c r="P308" s="1">
        <f t="shared" si="10"/>
        <v>0</v>
      </c>
      <c r="Q308" s="1"/>
      <c r="R308" s="1"/>
      <c r="S308" s="1" t="str">
        <f t="shared" si="11"/>
        <v>Living</v>
      </c>
    </row>
    <row r="309" spans="1:19" ht="15.75" customHeight="1" x14ac:dyDescent="0.2">
      <c r="A309" s="1" t="str">
        <f t="shared" si="6"/>
        <v>P308</v>
      </c>
      <c r="B309" s="1" t="s">
        <v>100</v>
      </c>
      <c r="C309" s="1" t="s">
        <v>105</v>
      </c>
      <c r="D309" s="1" t="s">
        <v>272</v>
      </c>
      <c r="E309" s="1" t="s">
        <v>291</v>
      </c>
      <c r="F309" s="1" t="s">
        <v>309</v>
      </c>
      <c r="G309" s="1" t="s">
        <v>35</v>
      </c>
      <c r="H309" s="1"/>
      <c r="I309" s="1"/>
      <c r="J309" s="1"/>
      <c r="K309" s="1">
        <f>IF(F309="",1,IFERROR(VLOOKUP(F309,A:K,11,FALSE)+1,1))</f>
        <v>7</v>
      </c>
      <c r="L309" s="1" t="str">
        <f>IF(F309="","الأصل",IF(VLOOKUP(F309,A:L,12,FALSE)="الأصل","الفرع "&amp;K309-1,VLOOKUP(F309,A:L,12,FALSE)))</f>
        <v>العبدالكريم</v>
      </c>
      <c r="M309" s="1" t="str">
        <f t="shared" si="7"/>
        <v>محمد بن عبدالرحمن بن عثمان دخيل</v>
      </c>
      <c r="N309" s="1" t="str">
        <f t="shared" si="8"/>
        <v>محمد bin عبدالرحمن bin عثمان Al-دخيل</v>
      </c>
      <c r="O309" s="1" t="str">
        <f t="shared" ca="1" si="9"/>
        <v/>
      </c>
      <c r="P309" s="1">
        <f t="shared" si="10"/>
        <v>0</v>
      </c>
      <c r="Q309" s="1"/>
      <c r="R309" s="1"/>
      <c r="S309" s="1" t="str">
        <f t="shared" si="11"/>
        <v>Living</v>
      </c>
    </row>
    <row r="310" spans="1:19" ht="15.75" customHeight="1" x14ac:dyDescent="0.2">
      <c r="A310" s="1" t="str">
        <f t="shared" si="6"/>
        <v>P309</v>
      </c>
      <c r="B310" s="1" t="s">
        <v>108</v>
      </c>
      <c r="C310" s="1" t="s">
        <v>105</v>
      </c>
      <c r="D310" s="1" t="s">
        <v>272</v>
      </c>
      <c r="E310" s="1" t="s">
        <v>291</v>
      </c>
      <c r="F310" s="1" t="s">
        <v>309</v>
      </c>
      <c r="G310" s="1" t="s">
        <v>35</v>
      </c>
      <c r="H310" s="1"/>
      <c r="I310" s="1"/>
      <c r="J310" s="1"/>
      <c r="K310" s="1">
        <f>IF(F310="",1,IFERROR(VLOOKUP(F310,A:K,11,FALSE)+1,1))</f>
        <v>7</v>
      </c>
      <c r="L310" s="1" t="str">
        <f>IF(F310="","الأصل",IF(VLOOKUP(F310,A:L,12,FALSE)="الأصل","الفرع "&amp;K310-1,VLOOKUP(F310,A:L,12,FALSE)))</f>
        <v>العبدالكريم</v>
      </c>
      <c r="M310" s="1" t="str">
        <f t="shared" si="7"/>
        <v>عبدالعزيز بن عبدالرحمن بن عثمان دخيل</v>
      </c>
      <c r="N310" s="1" t="str">
        <f t="shared" si="8"/>
        <v>عبدالعزيز bin عبدالرحمن bin عثمان Al-دخيل</v>
      </c>
      <c r="O310" s="1" t="str">
        <f t="shared" ca="1" si="9"/>
        <v/>
      </c>
      <c r="P310" s="1">
        <f t="shared" si="10"/>
        <v>0</v>
      </c>
      <c r="Q310" s="1"/>
      <c r="R310" s="1"/>
      <c r="S310" s="1" t="str">
        <f t="shared" si="11"/>
        <v>Living</v>
      </c>
    </row>
    <row r="311" spans="1:19" ht="15.75" customHeight="1" x14ac:dyDescent="0.2">
      <c r="A311" s="1" t="str">
        <f t="shared" si="6"/>
        <v>P310</v>
      </c>
      <c r="B311" s="1" t="s">
        <v>119</v>
      </c>
      <c r="C311" s="1" t="s">
        <v>105</v>
      </c>
      <c r="D311" s="1" t="s">
        <v>272</v>
      </c>
      <c r="E311" s="1" t="s">
        <v>291</v>
      </c>
      <c r="F311" s="1" t="s">
        <v>309</v>
      </c>
      <c r="G311" s="1" t="s">
        <v>35</v>
      </c>
      <c r="H311" s="1"/>
      <c r="I311" s="1"/>
      <c r="J311" s="1"/>
      <c r="K311" s="1">
        <f>IF(F311="",1,IFERROR(VLOOKUP(F311,A:K,11,FALSE)+1,1))</f>
        <v>7</v>
      </c>
      <c r="L311" s="1" t="str">
        <f>IF(F311="","الأصل",IF(VLOOKUP(F311,A:L,12,FALSE)="الأصل","الفرع "&amp;K311-1,VLOOKUP(F311,A:L,12,FALSE)))</f>
        <v>العبدالكريم</v>
      </c>
      <c r="M311" s="1" t="str">
        <f t="shared" si="7"/>
        <v>عبدالله بن عبدالرحمن بن عثمان دخيل</v>
      </c>
      <c r="N311" s="1" t="str">
        <f t="shared" si="8"/>
        <v>عبدالله bin عبدالرحمن bin عثمان Al-دخيل</v>
      </c>
      <c r="O311" s="1" t="str">
        <f t="shared" ca="1" si="9"/>
        <v/>
      </c>
      <c r="P311" s="1">
        <f t="shared" si="10"/>
        <v>0</v>
      </c>
      <c r="Q311" s="1"/>
      <c r="R311" s="1"/>
      <c r="S311" s="1" t="str">
        <f t="shared" si="11"/>
        <v>Living</v>
      </c>
    </row>
    <row r="312" spans="1:19" ht="15.75" customHeight="1" x14ac:dyDescent="0.2">
      <c r="A312" s="1" t="str">
        <f t="shared" si="6"/>
        <v>P311</v>
      </c>
      <c r="B312" s="1" t="s">
        <v>310</v>
      </c>
      <c r="C312" s="1" t="s">
        <v>105</v>
      </c>
      <c r="D312" s="1" t="s">
        <v>272</v>
      </c>
      <c r="E312" s="1" t="s">
        <v>291</v>
      </c>
      <c r="F312" s="1" t="s">
        <v>309</v>
      </c>
      <c r="G312" s="1" t="s">
        <v>35</v>
      </c>
      <c r="H312" s="1"/>
      <c r="I312" s="1"/>
      <c r="J312" s="1"/>
      <c r="K312" s="1">
        <f>IF(F312="",1,IFERROR(VLOOKUP(F312,A:K,11,FALSE)+1,1))</f>
        <v>7</v>
      </c>
      <c r="L312" s="1" t="str">
        <f>IF(F312="","الأصل",IF(VLOOKUP(F312,A:L,12,FALSE)="الأصل","الفرع "&amp;K312-1,VLOOKUP(F312,A:L,12,FALSE)))</f>
        <v>العبدالكريم</v>
      </c>
      <c r="M312" s="1" t="str">
        <f t="shared" si="7"/>
        <v>سليمان بن عبدالرحمن بن عثمان دخيل</v>
      </c>
      <c r="N312" s="1" t="str">
        <f t="shared" si="8"/>
        <v>سليمان bin عبدالرحمن bin عثمان Al-دخيل</v>
      </c>
      <c r="O312" s="1" t="str">
        <f t="shared" ca="1" si="9"/>
        <v/>
      </c>
      <c r="P312" s="1">
        <f t="shared" si="10"/>
        <v>0</v>
      </c>
      <c r="Q312" s="1"/>
      <c r="R312" s="1"/>
      <c r="S312" s="1" t="str">
        <f t="shared" si="11"/>
        <v>Living</v>
      </c>
    </row>
    <row r="313" spans="1:19" ht="15.75" customHeight="1" x14ac:dyDescent="0.2">
      <c r="A313" s="1" t="str">
        <f t="shared" si="6"/>
        <v>P312</v>
      </c>
      <c r="B313" s="1" t="s">
        <v>272</v>
      </c>
      <c r="C313" s="1" t="s">
        <v>105</v>
      </c>
      <c r="D313" s="1" t="s">
        <v>272</v>
      </c>
      <c r="E313" s="1" t="s">
        <v>291</v>
      </c>
      <c r="F313" s="1" t="s">
        <v>309</v>
      </c>
      <c r="G313" s="1" t="s">
        <v>35</v>
      </c>
      <c r="H313" s="1"/>
      <c r="I313" s="1"/>
      <c r="J313" s="1"/>
      <c r="K313" s="1">
        <f>IF(F313="",1,IFERROR(VLOOKUP(F313,A:K,11,FALSE)+1,1))</f>
        <v>7</v>
      </c>
      <c r="L313" s="1" t="str">
        <f>IF(F313="","الأصل",IF(VLOOKUP(F313,A:L,12,FALSE)="الأصل","الفرع "&amp;K313-1,VLOOKUP(F313,A:L,12,FALSE)))</f>
        <v>العبدالكريم</v>
      </c>
      <c r="M313" s="1" t="str">
        <f t="shared" si="7"/>
        <v>عثمان بن عبدالرحمن بن عثمان دخيل</v>
      </c>
      <c r="N313" s="1" t="str">
        <f t="shared" si="8"/>
        <v>عثمان bin عبدالرحمن bin عثمان Al-دخيل</v>
      </c>
      <c r="O313" s="1" t="str">
        <f t="shared" ca="1" si="9"/>
        <v/>
      </c>
      <c r="P313" s="1">
        <f t="shared" si="10"/>
        <v>0</v>
      </c>
      <c r="Q313" s="1"/>
      <c r="R313" s="1"/>
      <c r="S313" s="1" t="str">
        <f t="shared" si="11"/>
        <v>Living</v>
      </c>
    </row>
    <row r="314" spans="1:19" ht="15.75" customHeight="1" x14ac:dyDescent="0.2">
      <c r="A314" s="1" t="str">
        <f t="shared" si="6"/>
        <v>P313</v>
      </c>
      <c r="B314" s="1" t="s">
        <v>115</v>
      </c>
      <c r="C314" s="1" t="s">
        <v>105</v>
      </c>
      <c r="D314" s="1" t="s">
        <v>272</v>
      </c>
      <c r="E314" s="1" t="s">
        <v>291</v>
      </c>
      <c r="F314" s="1" t="s">
        <v>309</v>
      </c>
      <c r="G314" s="1" t="s">
        <v>35</v>
      </c>
      <c r="H314" s="1"/>
      <c r="I314" s="1"/>
      <c r="J314" s="1"/>
      <c r="K314" s="1">
        <f>IF(F314="",1,IFERROR(VLOOKUP(F314,A:K,11,FALSE)+1,1))</f>
        <v>7</v>
      </c>
      <c r="L314" s="1" t="str">
        <f>IF(F314="","الأصل",IF(VLOOKUP(F314,A:L,12,FALSE)="الأصل","الفرع "&amp;K314-1,VLOOKUP(F314,A:L,12,FALSE)))</f>
        <v>العبدالكريم</v>
      </c>
      <c r="M314" s="1" t="str">
        <f t="shared" si="7"/>
        <v>وليد بن عبدالرحمن بن عثمان دخيل</v>
      </c>
      <c r="N314" s="1" t="str">
        <f t="shared" si="8"/>
        <v>وليد bin عبدالرحمن bin عثمان Al-دخيل</v>
      </c>
      <c r="O314" s="1" t="str">
        <f t="shared" ca="1" si="9"/>
        <v/>
      </c>
      <c r="P314" s="1">
        <f t="shared" si="10"/>
        <v>0</v>
      </c>
      <c r="Q314" s="1"/>
      <c r="R314" s="1"/>
      <c r="S314" s="1" t="str">
        <f t="shared" si="11"/>
        <v>Living</v>
      </c>
    </row>
    <row r="315" spans="1:19" ht="15.75" customHeight="1" x14ac:dyDescent="0.2">
      <c r="A315" s="1" t="str">
        <f t="shared" si="6"/>
        <v>P314</v>
      </c>
      <c r="B315" s="1" t="s">
        <v>111</v>
      </c>
      <c r="C315" s="1" t="s">
        <v>291</v>
      </c>
      <c r="D315" s="1" t="s">
        <v>272</v>
      </c>
      <c r="E315" s="1" t="s">
        <v>291</v>
      </c>
      <c r="F315" s="1" t="s">
        <v>311</v>
      </c>
      <c r="G315" s="1" t="s">
        <v>35</v>
      </c>
      <c r="H315" s="1"/>
      <c r="I315" s="1"/>
      <c r="J315" s="1"/>
      <c r="K315" s="1">
        <f>IF(F315="",1,IFERROR(VLOOKUP(F315,A:K,11,FALSE)+1,1))</f>
        <v>7</v>
      </c>
      <c r="L315" s="1" t="str">
        <f>IF(F315="","الأصل",IF(VLOOKUP(F315,A:L,12,FALSE)="الأصل","الفرع "&amp;K315-1,VLOOKUP(F315,A:L,12,FALSE)))</f>
        <v>العبدالكريم</v>
      </c>
      <c r="M315" s="1" t="str">
        <f t="shared" si="7"/>
        <v>فهد بن دخيل بن عثمان دخيل</v>
      </c>
      <c r="N315" s="1" t="str">
        <f t="shared" si="8"/>
        <v>فهد bin دخيل bin عثمان Al-دخيل</v>
      </c>
      <c r="O315" s="1" t="str">
        <f t="shared" ca="1" si="9"/>
        <v/>
      </c>
      <c r="P315" s="1">
        <f t="shared" si="10"/>
        <v>0</v>
      </c>
      <c r="Q315" s="1"/>
      <c r="R315" s="1"/>
      <c r="S315" s="1" t="str">
        <f t="shared" si="11"/>
        <v>Living</v>
      </c>
    </row>
    <row r="316" spans="1:19" ht="15.75" customHeight="1" x14ac:dyDescent="0.2">
      <c r="A316" s="1" t="str">
        <f t="shared" si="6"/>
        <v>P315</v>
      </c>
      <c r="B316" s="1" t="s">
        <v>272</v>
      </c>
      <c r="C316" s="1" t="s">
        <v>291</v>
      </c>
      <c r="D316" s="1" t="s">
        <v>272</v>
      </c>
      <c r="E316" s="1" t="s">
        <v>291</v>
      </c>
      <c r="F316" s="1" t="s">
        <v>311</v>
      </c>
      <c r="G316" s="1" t="s">
        <v>35</v>
      </c>
      <c r="H316" s="1"/>
      <c r="I316" s="1"/>
      <c r="J316" s="1"/>
      <c r="K316" s="1">
        <f>IF(F316="",1,IFERROR(VLOOKUP(F316,A:K,11,FALSE)+1,1))</f>
        <v>7</v>
      </c>
      <c r="L316" s="1" t="str">
        <f>IF(F316="","الأصل",IF(VLOOKUP(F316,A:L,12,FALSE)="الأصل","الفرع "&amp;K316-1,VLOOKUP(F316,A:L,12,FALSE)))</f>
        <v>العبدالكريم</v>
      </c>
      <c r="M316" s="1" t="str">
        <f t="shared" si="7"/>
        <v>عثمان بن دخيل بن عثمان دخيل</v>
      </c>
      <c r="N316" s="1" t="str">
        <f t="shared" si="8"/>
        <v>عثمان bin دخيل bin عثمان Al-دخيل</v>
      </c>
      <c r="O316" s="1" t="str">
        <f t="shared" ca="1" si="9"/>
        <v/>
      </c>
      <c r="P316" s="1">
        <f t="shared" si="10"/>
        <v>0</v>
      </c>
      <c r="Q316" s="1"/>
      <c r="R316" s="1"/>
      <c r="S316" s="1" t="str">
        <f t="shared" si="11"/>
        <v>Living</v>
      </c>
    </row>
    <row r="317" spans="1:19" ht="15.75" customHeight="1" x14ac:dyDescent="0.2">
      <c r="A317" s="1" t="str">
        <f t="shared" si="6"/>
        <v>P316</v>
      </c>
      <c r="B317" s="1" t="s">
        <v>272</v>
      </c>
      <c r="C317" s="1" t="s">
        <v>96</v>
      </c>
      <c r="D317" s="1" t="s">
        <v>272</v>
      </c>
      <c r="E317" s="1" t="s">
        <v>291</v>
      </c>
      <c r="F317" s="1" t="s">
        <v>312</v>
      </c>
      <c r="G317" s="1" t="s">
        <v>35</v>
      </c>
      <c r="H317" s="1"/>
      <c r="I317" s="1"/>
      <c r="J317" s="1"/>
      <c r="K317" s="1">
        <f>IF(F317="",1,IFERROR(VLOOKUP(F317,A:K,11,FALSE)+1,1))</f>
        <v>7</v>
      </c>
      <c r="L317" s="1" t="str">
        <f>IF(F317="","الأصل",IF(VLOOKUP(F317,A:L,12,FALSE)="الأصل","الفرع "&amp;K317-1,VLOOKUP(F317,A:L,12,FALSE)))</f>
        <v>العبدالكريم</v>
      </c>
      <c r="M317" s="1" t="str">
        <f t="shared" si="7"/>
        <v>عثمان بن عبدالكريم بن عثمان دخيل</v>
      </c>
      <c r="N317" s="1" t="str">
        <f t="shared" si="8"/>
        <v>عثمان bin عبدالكريم bin عثمان Al-دخيل</v>
      </c>
      <c r="O317" s="1" t="str">
        <f t="shared" ca="1" si="9"/>
        <v/>
      </c>
      <c r="P317" s="1">
        <f t="shared" si="10"/>
        <v>0</v>
      </c>
      <c r="Q317" s="1"/>
      <c r="R317" s="1"/>
      <c r="S317" s="1" t="str">
        <f t="shared" si="11"/>
        <v>Living</v>
      </c>
    </row>
    <row r="318" spans="1:19" ht="15.75" customHeight="1" x14ac:dyDescent="0.2">
      <c r="A318" s="1" t="str">
        <f t="shared" si="6"/>
        <v>P317</v>
      </c>
      <c r="B318" s="1" t="s">
        <v>141</v>
      </c>
      <c r="C318" s="1" t="s">
        <v>96</v>
      </c>
      <c r="D318" s="1" t="s">
        <v>272</v>
      </c>
      <c r="E318" s="1" t="s">
        <v>291</v>
      </c>
      <c r="F318" s="1" t="s">
        <v>312</v>
      </c>
      <c r="G318" s="1" t="s">
        <v>35</v>
      </c>
      <c r="H318" s="1"/>
      <c r="I318" s="1"/>
      <c r="J318" s="1"/>
      <c r="K318" s="1">
        <f>IF(F318="",1,IFERROR(VLOOKUP(F318,A:K,11,FALSE)+1,1))</f>
        <v>7</v>
      </c>
      <c r="L318" s="1" t="str">
        <f>IF(F318="","الأصل",IF(VLOOKUP(F318,A:L,12,FALSE)="الأصل","الفرع "&amp;K318-1,VLOOKUP(F318,A:L,12,FALSE)))</f>
        <v>العبدالكريم</v>
      </c>
      <c r="M318" s="1" t="str">
        <f t="shared" si="7"/>
        <v>معاذ بن عبدالكريم بن عثمان دخيل</v>
      </c>
      <c r="N318" s="1" t="str">
        <f t="shared" si="8"/>
        <v>معاذ bin عبدالكريم bin عثمان Al-دخيل</v>
      </c>
      <c r="O318" s="1" t="str">
        <f t="shared" ca="1" si="9"/>
        <v/>
      </c>
      <c r="P318" s="1">
        <f t="shared" si="10"/>
        <v>0</v>
      </c>
      <c r="Q318" s="1"/>
      <c r="R318" s="1"/>
      <c r="S318" s="1" t="str">
        <f t="shared" si="11"/>
        <v>Living</v>
      </c>
    </row>
    <row r="319" spans="1:19" ht="15.75" customHeight="1" x14ac:dyDescent="0.2">
      <c r="A319" s="1" t="str">
        <f t="shared" si="6"/>
        <v>P318</v>
      </c>
      <c r="B319" s="1" t="s">
        <v>31</v>
      </c>
      <c r="C319" s="23" t="s">
        <v>96</v>
      </c>
      <c r="D319" s="23" t="s">
        <v>31</v>
      </c>
      <c r="E319" s="1"/>
      <c r="F319" s="1" t="s">
        <v>270</v>
      </c>
      <c r="G319" s="1" t="s">
        <v>35</v>
      </c>
      <c r="H319" s="1"/>
      <c r="I319" s="1"/>
      <c r="J319" s="1"/>
      <c r="K319" s="1">
        <f>IF(F319="",1,IFERROR(VLOOKUP(F319,A:K,11,FALSE)+1,1))</f>
        <v>3</v>
      </c>
      <c r="L319" s="1" t="str">
        <f>IF(F319="","الأصل",IF(VLOOKUP(F319,A:L,12,FALSE)="الأصل","الفرع "&amp;K319-1,VLOOKUP(F319,A:L,12,FALSE)))</f>
        <v>العبدالكريم</v>
      </c>
      <c r="M319" s="1" t="str">
        <f t="shared" si="7"/>
        <v xml:space="preserve">حمد بن عبدالكريم بن حمد </v>
      </c>
      <c r="N319" s="1" t="str">
        <f t="shared" si="8"/>
        <v>حمد bin عبدالكريم bin حمد Al-</v>
      </c>
      <c r="O319" s="1" t="str">
        <f t="shared" ca="1" si="9"/>
        <v/>
      </c>
      <c r="P319" s="1">
        <f t="shared" si="10"/>
        <v>0</v>
      </c>
      <c r="Q319" s="1"/>
      <c r="R319" s="1"/>
      <c r="S319" s="1" t="str">
        <f t="shared" si="11"/>
        <v>Living</v>
      </c>
    </row>
    <row r="320" spans="1:19" ht="15.75" customHeight="1" x14ac:dyDescent="0.2">
      <c r="A320" s="1" t="str">
        <f t="shared" si="6"/>
        <v>P319</v>
      </c>
      <c r="B320" s="1" t="s">
        <v>96</v>
      </c>
      <c r="C320" s="1" t="s">
        <v>31</v>
      </c>
      <c r="D320" s="23" t="s">
        <v>96</v>
      </c>
      <c r="E320" s="23" t="s">
        <v>31</v>
      </c>
      <c r="F320" s="1" t="s">
        <v>313</v>
      </c>
      <c r="G320" s="1" t="s">
        <v>35</v>
      </c>
      <c r="H320" s="1"/>
      <c r="I320" s="1"/>
      <c r="J320" s="1"/>
      <c r="K320" s="1">
        <f>IF(F320="",1,IFERROR(VLOOKUP(F320,A:K,11,FALSE)+1,1))</f>
        <v>4</v>
      </c>
      <c r="L320" s="1" t="str">
        <f>IF(F320="","الأصل",IF(VLOOKUP(F320,A:L,12,FALSE)="الأصل","الفرع "&amp;K320-1,VLOOKUP(F320,A:L,12,FALSE)))</f>
        <v>العبدالكريم</v>
      </c>
      <c r="M320" s="1" t="str">
        <f t="shared" si="7"/>
        <v>عبدالكريم بن حمد بن عبدالكريم حمد</v>
      </c>
      <c r="N320" s="1" t="str">
        <f t="shared" si="8"/>
        <v>عبدالكريم bin حمد bin عبدالكريم Al-حمد</v>
      </c>
      <c r="O320" s="1" t="str">
        <f t="shared" ca="1" si="9"/>
        <v/>
      </c>
      <c r="P320" s="1">
        <f t="shared" si="10"/>
        <v>0</v>
      </c>
      <c r="Q320" s="1"/>
      <c r="R320" s="1"/>
      <c r="S320" s="1" t="str">
        <f t="shared" si="11"/>
        <v>Living</v>
      </c>
    </row>
    <row r="321" spans="1:19" ht="15.75" customHeight="1" x14ac:dyDescent="0.2">
      <c r="A321" s="1" t="str">
        <f t="shared" si="6"/>
        <v>P320</v>
      </c>
      <c r="B321" s="1" t="s">
        <v>108</v>
      </c>
      <c r="C321" s="1" t="s">
        <v>31</v>
      </c>
      <c r="D321" s="23" t="s">
        <v>96</v>
      </c>
      <c r="E321" s="23" t="s">
        <v>31</v>
      </c>
      <c r="F321" s="1" t="s">
        <v>313</v>
      </c>
      <c r="G321" s="1" t="s">
        <v>35</v>
      </c>
      <c r="H321" s="1"/>
      <c r="I321" s="1"/>
      <c r="J321" s="1"/>
      <c r="K321" s="1">
        <f>IF(F321="",1,IFERROR(VLOOKUP(F321,A:K,11,FALSE)+1,1))</f>
        <v>4</v>
      </c>
      <c r="L321" s="1" t="str">
        <f>IF(F321="","الأصل",IF(VLOOKUP(F321,A:L,12,FALSE)="الأصل","الفرع "&amp;K321-1,VLOOKUP(F321,A:L,12,FALSE)))</f>
        <v>العبدالكريم</v>
      </c>
      <c r="M321" s="1" t="str">
        <f t="shared" si="7"/>
        <v>عبدالعزيز بن حمد بن عبدالكريم حمد</v>
      </c>
      <c r="N321" s="1" t="str">
        <f t="shared" si="8"/>
        <v>عبدالعزيز bin حمد bin عبدالكريم Al-حمد</v>
      </c>
      <c r="O321" s="1" t="str">
        <f t="shared" ca="1" si="9"/>
        <v/>
      </c>
      <c r="P321" s="1">
        <f t="shared" si="10"/>
        <v>0</v>
      </c>
      <c r="Q321" s="1"/>
      <c r="R321" s="1"/>
      <c r="S321" s="1" t="str">
        <f t="shared" si="11"/>
        <v>Living</v>
      </c>
    </row>
    <row r="322" spans="1:19" ht="15.75" customHeight="1" x14ac:dyDescent="0.2">
      <c r="A322" s="1" t="str">
        <f t="shared" si="6"/>
        <v>P321</v>
      </c>
      <c r="B322" s="1" t="s">
        <v>314</v>
      </c>
      <c r="C322" s="1" t="s">
        <v>31</v>
      </c>
      <c r="D322" s="23" t="s">
        <v>96</v>
      </c>
      <c r="E322" s="23" t="s">
        <v>31</v>
      </c>
      <c r="F322" s="1" t="s">
        <v>313</v>
      </c>
      <c r="G322" s="1" t="s">
        <v>35</v>
      </c>
      <c r="H322" s="1"/>
      <c r="I322" s="1"/>
      <c r="J322" s="1"/>
      <c r="K322" s="1">
        <f>IF(F322="",1,IFERROR(VLOOKUP(F322,A:K,11,FALSE)+1,1))</f>
        <v>4</v>
      </c>
      <c r="L322" s="1" t="str">
        <f>IF(F322="","الأصل",IF(VLOOKUP(F322,A:L,12,FALSE)="الأصل","الفرع "&amp;K322-1,VLOOKUP(F322,A:L,12,FALSE)))</f>
        <v>العبدالكريم</v>
      </c>
      <c r="M322" s="1" t="str">
        <f t="shared" si="7"/>
        <v>محمد (ابو حمد ) بن حمد بن عبدالكريم حمد</v>
      </c>
      <c r="N322" s="1" t="str">
        <f t="shared" si="8"/>
        <v>محمد (ابو حمد ) bin حمد bin عبدالكريم Al-حمد</v>
      </c>
      <c r="O322" s="1" t="str">
        <f t="shared" ca="1" si="9"/>
        <v/>
      </c>
      <c r="P322" s="1">
        <f t="shared" si="10"/>
        <v>0</v>
      </c>
      <c r="Q322" s="1"/>
      <c r="R322" s="1"/>
      <c r="S322" s="1" t="str">
        <f t="shared" si="11"/>
        <v>Living</v>
      </c>
    </row>
    <row r="323" spans="1:19" ht="15.75" customHeight="1" x14ac:dyDescent="0.2">
      <c r="A323" s="1" t="str">
        <f t="shared" si="6"/>
        <v>P322</v>
      </c>
      <c r="B323" s="1" t="s">
        <v>100</v>
      </c>
      <c r="C323" s="1" t="s">
        <v>96</v>
      </c>
      <c r="D323" s="1" t="s">
        <v>31</v>
      </c>
      <c r="E323" s="23" t="s">
        <v>96</v>
      </c>
      <c r="F323" s="1" t="s">
        <v>315</v>
      </c>
      <c r="G323" s="1" t="s">
        <v>35</v>
      </c>
      <c r="H323" s="1"/>
      <c r="I323" s="1"/>
      <c r="J323" s="1"/>
      <c r="K323" s="1">
        <f>IF(F323="",1,IFERROR(VLOOKUP(F323,A:K,11,FALSE)+1,1))</f>
        <v>5</v>
      </c>
      <c r="L323" s="1" t="str">
        <f>IF(F323="","الأصل",IF(VLOOKUP(F323,A:L,12,FALSE)="الأصل","الفرع "&amp;K323-1,VLOOKUP(F323,A:L,12,FALSE)))</f>
        <v>العبدالكريم</v>
      </c>
      <c r="M323" s="1" t="str">
        <f t="shared" si="7"/>
        <v>محمد بن عبدالكريم بن حمد عبدالكريم</v>
      </c>
      <c r="N323" s="1" t="str">
        <f t="shared" si="8"/>
        <v>محمد bin عبدالكريم bin حمد Al-عبدالكريم</v>
      </c>
      <c r="O323" s="1" t="str">
        <f t="shared" ca="1" si="9"/>
        <v/>
      </c>
      <c r="P323" s="1">
        <f t="shared" si="10"/>
        <v>0</v>
      </c>
      <c r="Q323" s="1"/>
      <c r="R323" s="1"/>
      <c r="S323" s="1" t="str">
        <f t="shared" si="11"/>
        <v>Living</v>
      </c>
    </row>
    <row r="324" spans="1:19" ht="15.75" customHeight="1" x14ac:dyDescent="0.2">
      <c r="A324" s="1" t="str">
        <f t="shared" si="6"/>
        <v>P323</v>
      </c>
      <c r="B324" s="1" t="s">
        <v>119</v>
      </c>
      <c r="C324" s="1" t="s">
        <v>96</v>
      </c>
      <c r="D324" s="1" t="s">
        <v>31</v>
      </c>
      <c r="E324" s="23" t="s">
        <v>96</v>
      </c>
      <c r="F324" s="1" t="s">
        <v>315</v>
      </c>
      <c r="G324" s="1" t="s">
        <v>35</v>
      </c>
      <c r="H324" s="1"/>
      <c r="I324" s="1"/>
      <c r="J324" s="1"/>
      <c r="K324" s="1">
        <f>IF(F324="",1,IFERROR(VLOOKUP(F324,A:K,11,FALSE)+1,1))</f>
        <v>5</v>
      </c>
      <c r="L324" s="1" t="str">
        <f>IF(F324="","الأصل",IF(VLOOKUP(F324,A:L,12,FALSE)="الأصل","الفرع "&amp;K324-1,VLOOKUP(F324,A:L,12,FALSE)))</f>
        <v>العبدالكريم</v>
      </c>
      <c r="M324" s="1" t="str">
        <f t="shared" si="7"/>
        <v>عبدالله بن عبدالكريم بن حمد عبدالكريم</v>
      </c>
      <c r="N324" s="1" t="str">
        <f t="shared" si="8"/>
        <v>عبدالله bin عبدالكريم bin حمد Al-عبدالكريم</v>
      </c>
      <c r="O324" s="1" t="str">
        <f t="shared" ca="1" si="9"/>
        <v/>
      </c>
      <c r="P324" s="1">
        <f t="shared" si="10"/>
        <v>0</v>
      </c>
      <c r="Q324" s="1"/>
      <c r="R324" s="1"/>
      <c r="S324" s="1" t="str">
        <f t="shared" si="11"/>
        <v>Living</v>
      </c>
    </row>
    <row r="325" spans="1:19" ht="15.75" customHeight="1" x14ac:dyDescent="0.2">
      <c r="A325" s="1" t="str">
        <f t="shared" si="6"/>
        <v>P324</v>
      </c>
      <c r="B325" s="1" t="s">
        <v>27</v>
      </c>
      <c r="C325" s="1" t="s">
        <v>96</v>
      </c>
      <c r="D325" s="1" t="s">
        <v>31</v>
      </c>
      <c r="E325" s="23" t="s">
        <v>96</v>
      </c>
      <c r="F325" s="1" t="s">
        <v>315</v>
      </c>
      <c r="G325" s="1" t="s">
        <v>35</v>
      </c>
      <c r="H325" s="1"/>
      <c r="I325" s="1"/>
      <c r="J325" s="1"/>
      <c r="K325" s="1">
        <f>IF(F325="",1,IFERROR(VLOOKUP(F325,A:K,11,FALSE)+1,1))</f>
        <v>5</v>
      </c>
      <c r="L325" s="1" t="str">
        <f>IF(F325="","الأصل",IF(VLOOKUP(F325,A:L,12,FALSE)="الأصل","الفرع "&amp;K325-1,VLOOKUP(F325,A:L,12,FALSE)))</f>
        <v>العبدالكريم</v>
      </c>
      <c r="M325" s="1" t="str">
        <f t="shared" si="7"/>
        <v>ابراهيم بن عبدالكريم بن حمد عبدالكريم</v>
      </c>
      <c r="N325" s="1" t="str">
        <f t="shared" si="8"/>
        <v>ابراهيم bin عبدالكريم bin حمد Al-عبدالكريم</v>
      </c>
      <c r="O325" s="1" t="str">
        <f t="shared" ca="1" si="9"/>
        <v/>
      </c>
      <c r="P325" s="1">
        <f t="shared" si="10"/>
        <v>0</v>
      </c>
      <c r="Q325" s="1"/>
      <c r="R325" s="1"/>
      <c r="S325" s="1" t="str">
        <f t="shared" si="11"/>
        <v>Living</v>
      </c>
    </row>
    <row r="326" spans="1:19" ht="15.75" customHeight="1" x14ac:dyDescent="0.2">
      <c r="A326" s="1" t="str">
        <f t="shared" si="6"/>
        <v>P325</v>
      </c>
      <c r="B326" s="1" t="s">
        <v>105</v>
      </c>
      <c r="C326" s="1" t="s">
        <v>96</v>
      </c>
      <c r="D326" s="1" t="s">
        <v>31</v>
      </c>
      <c r="E326" s="23" t="s">
        <v>96</v>
      </c>
      <c r="F326" s="1" t="s">
        <v>315</v>
      </c>
      <c r="G326" s="1" t="s">
        <v>35</v>
      </c>
      <c r="H326" s="1"/>
      <c r="I326" s="1"/>
      <c r="J326" s="1"/>
      <c r="K326" s="1">
        <f>IF(F326="",1,IFERROR(VLOOKUP(F326,A:K,11,FALSE)+1,1))</f>
        <v>5</v>
      </c>
      <c r="L326" s="1" t="str">
        <f>IF(F326="","الأصل",IF(VLOOKUP(F326,A:L,12,FALSE)="الأصل","الفرع "&amp;K326-1,VLOOKUP(F326,A:L,12,FALSE)))</f>
        <v>العبدالكريم</v>
      </c>
      <c r="M326" s="1" t="str">
        <f t="shared" si="7"/>
        <v>عبدالرحمن بن عبدالكريم بن حمد عبدالكريم</v>
      </c>
      <c r="N326" s="1" t="str">
        <f t="shared" si="8"/>
        <v>عبدالرحمن bin عبدالكريم bin حمد Al-عبدالكريم</v>
      </c>
      <c r="O326" s="1" t="str">
        <f t="shared" ca="1" si="9"/>
        <v/>
      </c>
      <c r="P326" s="1">
        <f t="shared" si="10"/>
        <v>0</v>
      </c>
      <c r="Q326" s="1"/>
      <c r="R326" s="1"/>
      <c r="S326" s="1" t="str">
        <f t="shared" si="11"/>
        <v>Living</v>
      </c>
    </row>
    <row r="327" spans="1:19" ht="15.75" customHeight="1" x14ac:dyDescent="0.2">
      <c r="A327" s="1" t="str">
        <f t="shared" si="6"/>
        <v>P326</v>
      </c>
      <c r="B327" s="1" t="s">
        <v>108</v>
      </c>
      <c r="C327" s="1" t="s">
        <v>96</v>
      </c>
      <c r="D327" s="1" t="s">
        <v>31</v>
      </c>
      <c r="E327" s="23" t="s">
        <v>96</v>
      </c>
      <c r="F327" s="1" t="s">
        <v>315</v>
      </c>
      <c r="G327" s="1" t="s">
        <v>35</v>
      </c>
      <c r="H327" s="1"/>
      <c r="I327" s="1"/>
      <c r="J327" s="1"/>
      <c r="K327" s="1">
        <f>IF(F327="",1,IFERROR(VLOOKUP(F327,A:K,11,FALSE)+1,1))</f>
        <v>5</v>
      </c>
      <c r="L327" s="1" t="str">
        <f>IF(F327="","الأصل",IF(VLOOKUP(F327,A:L,12,FALSE)="الأصل","الفرع "&amp;K327-1,VLOOKUP(F327,A:L,12,FALSE)))</f>
        <v>العبدالكريم</v>
      </c>
      <c r="M327" s="1" t="str">
        <f t="shared" si="7"/>
        <v>عبدالعزيز بن عبدالكريم بن حمد عبدالكريم</v>
      </c>
      <c r="N327" s="1" t="str">
        <f t="shared" si="8"/>
        <v>عبدالعزيز bin عبدالكريم bin حمد Al-عبدالكريم</v>
      </c>
      <c r="O327" s="1" t="str">
        <f t="shared" ca="1" si="9"/>
        <v/>
      </c>
      <c r="P327" s="1">
        <f t="shared" si="10"/>
        <v>0</v>
      </c>
      <c r="Q327" s="1"/>
      <c r="R327" s="1"/>
      <c r="S327" s="1" t="str">
        <f t="shared" si="11"/>
        <v>Living</v>
      </c>
    </row>
    <row r="328" spans="1:19" ht="15.75" customHeight="1" x14ac:dyDescent="0.2">
      <c r="A328" s="1" t="str">
        <f t="shared" si="6"/>
        <v>P327</v>
      </c>
      <c r="B328" s="1" t="s">
        <v>31</v>
      </c>
      <c r="C328" s="1" t="s">
        <v>100</v>
      </c>
      <c r="D328" s="1" t="s">
        <v>96</v>
      </c>
      <c r="E328" s="1" t="s">
        <v>31</v>
      </c>
      <c r="F328" s="1" t="s">
        <v>316</v>
      </c>
      <c r="G328" s="1" t="s">
        <v>35</v>
      </c>
      <c r="H328" s="1"/>
      <c r="I328" s="1"/>
      <c r="J328" s="1"/>
      <c r="K328" s="1">
        <f>IF(F328="",1,IFERROR(VLOOKUP(F328,A:K,11,FALSE)+1,1))</f>
        <v>6</v>
      </c>
      <c r="L328" s="1" t="str">
        <f>IF(F328="","الأصل",IF(VLOOKUP(F328,A:L,12,FALSE)="الأصل","الفرع "&amp;K328-1,VLOOKUP(F328,A:L,12,FALSE)))</f>
        <v>العبدالكريم</v>
      </c>
      <c r="M328" s="1" t="str">
        <f t="shared" si="7"/>
        <v>حمد بن محمد بن عبدالكريم حمد</v>
      </c>
      <c r="N328" s="1" t="str">
        <f t="shared" si="8"/>
        <v>حمد bin محمد bin عبدالكريم Al-حمد</v>
      </c>
      <c r="O328" s="1" t="str">
        <f t="shared" ca="1" si="9"/>
        <v/>
      </c>
      <c r="P328" s="1">
        <f t="shared" si="10"/>
        <v>0</v>
      </c>
      <c r="Q328" s="1"/>
      <c r="R328" s="1"/>
      <c r="S328" s="1" t="str">
        <f t="shared" si="11"/>
        <v>Living</v>
      </c>
    </row>
    <row r="329" spans="1:19" ht="15.75" customHeight="1" x14ac:dyDescent="0.2">
      <c r="A329" s="1" t="str">
        <f t="shared" si="6"/>
        <v>P328</v>
      </c>
      <c r="B329" s="1" t="s">
        <v>96</v>
      </c>
      <c r="C329" s="1" t="s">
        <v>100</v>
      </c>
      <c r="D329" s="1" t="s">
        <v>96</v>
      </c>
      <c r="E329" s="1" t="s">
        <v>31</v>
      </c>
      <c r="F329" s="1" t="s">
        <v>316</v>
      </c>
      <c r="G329" s="1" t="s">
        <v>35</v>
      </c>
      <c r="H329" s="1"/>
      <c r="I329" s="1"/>
      <c r="J329" s="1"/>
      <c r="K329" s="1">
        <f>IF(F329="",1,IFERROR(VLOOKUP(F329,A:K,11,FALSE)+1,1))</f>
        <v>6</v>
      </c>
      <c r="L329" s="1" t="str">
        <f>IF(F329="","الأصل",IF(VLOOKUP(F329,A:L,12,FALSE)="الأصل","الفرع "&amp;K329-1,VLOOKUP(F329,A:L,12,FALSE)))</f>
        <v>العبدالكريم</v>
      </c>
      <c r="M329" s="1" t="str">
        <f t="shared" si="7"/>
        <v>عبدالكريم بن محمد بن عبدالكريم حمد</v>
      </c>
      <c r="N329" s="1" t="str">
        <f t="shared" si="8"/>
        <v>عبدالكريم bin محمد bin عبدالكريم Al-حمد</v>
      </c>
      <c r="O329" s="1" t="str">
        <f t="shared" ca="1" si="9"/>
        <v/>
      </c>
      <c r="P329" s="1">
        <f t="shared" si="10"/>
        <v>0</v>
      </c>
      <c r="Q329" s="1"/>
      <c r="R329" s="1"/>
      <c r="S329" s="1" t="str">
        <f t="shared" si="11"/>
        <v>Living</v>
      </c>
    </row>
    <row r="330" spans="1:19" ht="15.75" customHeight="1" x14ac:dyDescent="0.2">
      <c r="A330" s="1" t="str">
        <f t="shared" si="6"/>
        <v>P329</v>
      </c>
      <c r="B330" s="1" t="s">
        <v>100</v>
      </c>
      <c r="C330" s="1" t="s">
        <v>100</v>
      </c>
      <c r="D330" s="1" t="s">
        <v>96</v>
      </c>
      <c r="E330" s="1" t="s">
        <v>31</v>
      </c>
      <c r="F330" s="1" t="s">
        <v>316</v>
      </c>
      <c r="G330" s="1" t="s">
        <v>35</v>
      </c>
      <c r="H330" s="1"/>
      <c r="I330" s="1"/>
      <c r="J330" s="1"/>
      <c r="K330" s="1">
        <f>IF(F330="",1,IFERROR(VLOOKUP(F330,A:K,11,FALSE)+1,1))</f>
        <v>6</v>
      </c>
      <c r="L330" s="1" t="str">
        <f>IF(F330="","الأصل",IF(VLOOKUP(F330,A:L,12,FALSE)="الأصل","الفرع "&amp;K330-1,VLOOKUP(F330,A:L,12,FALSE)))</f>
        <v>العبدالكريم</v>
      </c>
      <c r="M330" s="1" t="str">
        <f t="shared" si="7"/>
        <v>محمد بن محمد بن عبدالكريم حمد</v>
      </c>
      <c r="N330" s="1" t="str">
        <f t="shared" si="8"/>
        <v>محمد bin محمد bin عبدالكريم Al-حمد</v>
      </c>
      <c r="O330" s="1" t="str">
        <f t="shared" ca="1" si="9"/>
        <v/>
      </c>
      <c r="P330" s="1">
        <f t="shared" si="10"/>
        <v>0</v>
      </c>
      <c r="Q330" s="1"/>
      <c r="R330" s="1"/>
      <c r="S330" s="1" t="str">
        <f t="shared" si="11"/>
        <v>Living</v>
      </c>
    </row>
    <row r="331" spans="1:19" ht="15.75" customHeight="1" x14ac:dyDescent="0.2">
      <c r="A331" s="1" t="str">
        <f t="shared" si="6"/>
        <v>P330</v>
      </c>
      <c r="B331" s="1" t="s">
        <v>135</v>
      </c>
      <c r="C331" s="1" t="s">
        <v>100</v>
      </c>
      <c r="D331" s="1" t="s">
        <v>96</v>
      </c>
      <c r="E331" s="1" t="s">
        <v>31</v>
      </c>
      <c r="F331" s="1" t="s">
        <v>316</v>
      </c>
      <c r="G331" s="1" t="s">
        <v>35</v>
      </c>
      <c r="H331" s="1"/>
      <c r="I331" s="1"/>
      <c r="J331" s="1"/>
      <c r="K331" s="1">
        <f>IF(F331="",1,IFERROR(VLOOKUP(F331,A:K,11,FALSE)+1,1))</f>
        <v>6</v>
      </c>
      <c r="L331" s="1" t="str">
        <f>IF(F331="","الأصل",IF(VLOOKUP(F331,A:L,12,FALSE)="الأصل","الفرع "&amp;K331-1,VLOOKUP(F331,A:L,12,FALSE)))</f>
        <v>العبدالكريم</v>
      </c>
      <c r="M331" s="1" t="str">
        <f t="shared" si="7"/>
        <v>مساعد بن محمد بن عبدالكريم حمد</v>
      </c>
      <c r="N331" s="1" t="str">
        <f t="shared" si="8"/>
        <v>مساعد bin محمد bin عبدالكريم Al-حمد</v>
      </c>
      <c r="O331" s="1" t="str">
        <f t="shared" ca="1" si="9"/>
        <v/>
      </c>
      <c r="P331" s="1">
        <f t="shared" si="10"/>
        <v>0</v>
      </c>
      <c r="Q331" s="1"/>
      <c r="R331" s="1"/>
      <c r="S331" s="1" t="str">
        <f t="shared" si="11"/>
        <v>Living</v>
      </c>
    </row>
    <row r="332" spans="1:19" ht="15.75" customHeight="1" x14ac:dyDescent="0.2">
      <c r="A332" s="1" t="str">
        <f t="shared" si="6"/>
        <v>P331</v>
      </c>
      <c r="B332" s="1" t="s">
        <v>100</v>
      </c>
      <c r="C332" s="1" t="s">
        <v>31</v>
      </c>
      <c r="D332" s="1" t="s">
        <v>100</v>
      </c>
      <c r="E332" s="1" t="s">
        <v>96</v>
      </c>
      <c r="F332" s="1" t="s">
        <v>317</v>
      </c>
      <c r="G332" s="1" t="s">
        <v>35</v>
      </c>
      <c r="H332" s="1"/>
      <c r="I332" s="1"/>
      <c r="J332" s="1"/>
      <c r="K332" s="1">
        <f>IF(F332="",1,IFERROR(VLOOKUP(F332,A:K,11,FALSE)+1,1))</f>
        <v>7</v>
      </c>
      <c r="L332" s="1" t="str">
        <f>IF(F332="","الأصل",IF(VLOOKUP(F332,A:L,12,FALSE)="الأصل","الفرع "&amp;K332-1,VLOOKUP(F332,A:L,12,FALSE)))</f>
        <v>العبدالكريم</v>
      </c>
      <c r="M332" s="1" t="str">
        <f t="shared" si="7"/>
        <v>محمد بن حمد بن محمد عبدالكريم</v>
      </c>
      <c r="N332" s="1" t="str">
        <f t="shared" si="8"/>
        <v>محمد bin حمد bin محمد Al-عبدالكريم</v>
      </c>
      <c r="O332" s="1" t="str">
        <f t="shared" ca="1" si="9"/>
        <v/>
      </c>
      <c r="P332" s="1">
        <f t="shared" si="10"/>
        <v>0</v>
      </c>
      <c r="Q332" s="1"/>
      <c r="R332" s="1"/>
      <c r="S332" s="1" t="str">
        <f t="shared" si="11"/>
        <v>Living</v>
      </c>
    </row>
    <row r="333" spans="1:19" ht="15.75" customHeight="1" x14ac:dyDescent="0.2">
      <c r="A333" s="1" t="str">
        <f t="shared" si="6"/>
        <v>P332</v>
      </c>
      <c r="B333" s="1" t="s">
        <v>142</v>
      </c>
      <c r="C333" s="1" t="s">
        <v>31</v>
      </c>
      <c r="D333" s="1" t="s">
        <v>100</v>
      </c>
      <c r="E333" s="1" t="s">
        <v>96</v>
      </c>
      <c r="F333" s="1" t="s">
        <v>317</v>
      </c>
      <c r="G333" s="1" t="s">
        <v>35</v>
      </c>
      <c r="H333" s="1"/>
      <c r="I333" s="1"/>
      <c r="J333" s="1"/>
      <c r="K333" s="1">
        <f>IF(F333="",1,IFERROR(VLOOKUP(F333,A:K,11,FALSE)+1,1))</f>
        <v>7</v>
      </c>
      <c r="L333" s="1" t="str">
        <f>IF(F333="","الأصل",IF(VLOOKUP(F333,A:L,12,FALSE)="الأصل","الفرع "&amp;K333-1,VLOOKUP(F333,A:L,12,FALSE)))</f>
        <v>العبدالكريم</v>
      </c>
      <c r="M333" s="1" t="str">
        <f t="shared" si="7"/>
        <v>تميم بن حمد بن محمد عبدالكريم</v>
      </c>
      <c r="N333" s="1" t="str">
        <f t="shared" si="8"/>
        <v>تميم bin حمد bin محمد Al-عبدالكريم</v>
      </c>
      <c r="O333" s="1" t="str">
        <f t="shared" ca="1" si="9"/>
        <v/>
      </c>
      <c r="P333" s="1">
        <f t="shared" si="10"/>
        <v>0</v>
      </c>
      <c r="Q333" s="1"/>
      <c r="R333" s="1"/>
      <c r="S333" s="1" t="str">
        <f t="shared" si="11"/>
        <v>Living</v>
      </c>
    </row>
    <row r="334" spans="1:19" ht="15.75" customHeight="1" x14ac:dyDescent="0.2">
      <c r="A334" s="1" t="str">
        <f t="shared" si="6"/>
        <v>P333</v>
      </c>
      <c r="B334" s="1" t="s">
        <v>119</v>
      </c>
      <c r="C334" s="1" t="s">
        <v>31</v>
      </c>
      <c r="D334" s="1" t="s">
        <v>100</v>
      </c>
      <c r="E334" s="1" t="s">
        <v>96</v>
      </c>
      <c r="F334" s="1" t="s">
        <v>317</v>
      </c>
      <c r="G334" s="1" t="s">
        <v>35</v>
      </c>
      <c r="H334" s="1"/>
      <c r="I334" s="1"/>
      <c r="J334" s="1"/>
      <c r="K334" s="1">
        <f>IF(F334="",1,IFERROR(VLOOKUP(F334,A:K,11,FALSE)+1,1))</f>
        <v>7</v>
      </c>
      <c r="L334" s="1" t="str">
        <f>IF(F334="","الأصل",IF(VLOOKUP(F334,A:L,12,FALSE)="الأصل","الفرع "&amp;K334-1,VLOOKUP(F334,A:L,12,FALSE)))</f>
        <v>العبدالكريم</v>
      </c>
      <c r="M334" s="1" t="str">
        <f t="shared" si="7"/>
        <v>عبدالله بن حمد بن محمد عبدالكريم</v>
      </c>
      <c r="N334" s="1" t="str">
        <f t="shared" si="8"/>
        <v>عبدالله bin حمد bin محمد Al-عبدالكريم</v>
      </c>
      <c r="O334" s="1" t="str">
        <f t="shared" ca="1" si="9"/>
        <v/>
      </c>
      <c r="P334" s="1">
        <f t="shared" si="10"/>
        <v>0</v>
      </c>
      <c r="Q334" s="1"/>
      <c r="R334" s="1"/>
      <c r="S334" s="1" t="str">
        <f t="shared" si="11"/>
        <v>Living</v>
      </c>
    </row>
    <row r="335" spans="1:19" ht="15.75" customHeight="1" x14ac:dyDescent="0.2">
      <c r="A335" s="1" t="str">
        <f t="shared" si="6"/>
        <v>P334</v>
      </c>
      <c r="B335" s="1" t="s">
        <v>111</v>
      </c>
      <c r="C335" s="1" t="s">
        <v>119</v>
      </c>
      <c r="D335" s="1" t="s">
        <v>96</v>
      </c>
      <c r="E335" s="1" t="s">
        <v>31</v>
      </c>
      <c r="F335" s="1" t="s">
        <v>318</v>
      </c>
      <c r="G335" s="1" t="s">
        <v>35</v>
      </c>
      <c r="H335" s="1"/>
      <c r="I335" s="1"/>
      <c r="J335" s="1"/>
      <c r="K335" s="1">
        <f>IF(F335="",1,IFERROR(VLOOKUP(F335,A:K,11,FALSE)+1,1))</f>
        <v>6</v>
      </c>
      <c r="L335" s="1" t="str">
        <f>IF(F335="","الأصل",IF(VLOOKUP(F335,A:L,12,FALSE)="الأصل","الفرع "&amp;K335-1,VLOOKUP(F335,A:L,12,FALSE)))</f>
        <v>العبدالكريم</v>
      </c>
      <c r="M335" s="1" t="str">
        <f t="shared" si="7"/>
        <v>فهد بن عبدالله بن عبدالكريم حمد</v>
      </c>
      <c r="N335" s="1" t="str">
        <f t="shared" si="8"/>
        <v>فهد bin عبدالله bin عبدالكريم Al-حمد</v>
      </c>
      <c r="O335" s="1" t="str">
        <f t="shared" ca="1" si="9"/>
        <v/>
      </c>
      <c r="P335" s="1">
        <f t="shared" si="10"/>
        <v>0</v>
      </c>
      <c r="Q335" s="1"/>
      <c r="R335" s="1"/>
      <c r="S335" s="1" t="str">
        <f t="shared" si="11"/>
        <v>Living</v>
      </c>
    </row>
    <row r="336" spans="1:19" ht="15.75" customHeight="1" x14ac:dyDescent="0.2">
      <c r="A336" s="1" t="str">
        <f t="shared" si="6"/>
        <v>P335</v>
      </c>
      <c r="B336" s="1" t="s">
        <v>96</v>
      </c>
      <c r="C336" s="1" t="s">
        <v>119</v>
      </c>
      <c r="D336" s="1" t="s">
        <v>96</v>
      </c>
      <c r="E336" s="1" t="s">
        <v>31</v>
      </c>
      <c r="F336" s="1" t="s">
        <v>318</v>
      </c>
      <c r="G336" s="1" t="s">
        <v>35</v>
      </c>
      <c r="H336" s="1"/>
      <c r="I336" s="1"/>
      <c r="J336" s="1"/>
      <c r="K336" s="1">
        <f>IF(F336="",1,IFERROR(VLOOKUP(F336,A:K,11,FALSE)+1,1))</f>
        <v>6</v>
      </c>
      <c r="L336" s="1" t="str">
        <f>IF(F336="","الأصل",IF(VLOOKUP(F336,A:L,12,FALSE)="الأصل","الفرع "&amp;K336-1,VLOOKUP(F336,A:L,12,FALSE)))</f>
        <v>العبدالكريم</v>
      </c>
      <c r="M336" s="1" t="str">
        <f t="shared" si="7"/>
        <v>عبدالكريم بن عبدالله بن عبدالكريم حمد</v>
      </c>
      <c r="N336" s="1" t="str">
        <f t="shared" si="8"/>
        <v>عبدالكريم bin عبدالله bin عبدالكريم Al-حمد</v>
      </c>
      <c r="O336" s="1" t="str">
        <f t="shared" ca="1" si="9"/>
        <v/>
      </c>
      <c r="P336" s="1">
        <f t="shared" si="10"/>
        <v>0</v>
      </c>
      <c r="Q336" s="1"/>
      <c r="R336" s="1"/>
      <c r="S336" s="1" t="str">
        <f t="shared" si="11"/>
        <v>Living</v>
      </c>
    </row>
    <row r="337" spans="1:19" ht="15.75" customHeight="1" x14ac:dyDescent="0.2">
      <c r="A337" s="1" t="str">
        <f t="shared" si="6"/>
        <v>P336</v>
      </c>
      <c r="B337" s="1" t="s">
        <v>100</v>
      </c>
      <c r="C337" s="1" t="s">
        <v>119</v>
      </c>
      <c r="D337" s="1" t="s">
        <v>96</v>
      </c>
      <c r="E337" s="1" t="s">
        <v>31</v>
      </c>
      <c r="F337" s="1" t="s">
        <v>318</v>
      </c>
      <c r="G337" s="1" t="s">
        <v>35</v>
      </c>
      <c r="H337" s="1"/>
      <c r="I337" s="1"/>
      <c r="J337" s="1"/>
      <c r="K337" s="1">
        <f>IF(F337="",1,IFERROR(VLOOKUP(F337,A:K,11,FALSE)+1,1))</f>
        <v>6</v>
      </c>
      <c r="L337" s="1" t="str">
        <f>IF(F337="","الأصل",IF(VLOOKUP(F337,A:L,12,FALSE)="الأصل","الفرع "&amp;K337-1,VLOOKUP(F337,A:L,12,FALSE)))</f>
        <v>العبدالكريم</v>
      </c>
      <c r="M337" s="1" t="str">
        <f t="shared" si="7"/>
        <v>محمد بن عبدالله بن عبدالكريم حمد</v>
      </c>
      <c r="N337" s="1" t="str">
        <f t="shared" si="8"/>
        <v>محمد bin عبدالله bin عبدالكريم Al-حمد</v>
      </c>
      <c r="O337" s="1" t="str">
        <f t="shared" ca="1" si="9"/>
        <v/>
      </c>
      <c r="P337" s="1">
        <f t="shared" si="10"/>
        <v>0</v>
      </c>
      <c r="Q337" s="1"/>
      <c r="R337" s="1"/>
      <c r="S337" s="1" t="str">
        <f t="shared" si="11"/>
        <v>Living</v>
      </c>
    </row>
    <row r="338" spans="1:19" ht="15.75" customHeight="1" x14ac:dyDescent="0.2">
      <c r="A338" s="1" t="str">
        <f t="shared" si="6"/>
        <v>P337</v>
      </c>
      <c r="B338" s="1" t="s">
        <v>135</v>
      </c>
      <c r="C338" s="1" t="s">
        <v>119</v>
      </c>
      <c r="D338" s="1" t="s">
        <v>96</v>
      </c>
      <c r="E338" s="1" t="s">
        <v>31</v>
      </c>
      <c r="F338" s="1" t="s">
        <v>318</v>
      </c>
      <c r="G338" s="1" t="s">
        <v>35</v>
      </c>
      <c r="H338" s="1"/>
      <c r="I338" s="1"/>
      <c r="J338" s="1"/>
      <c r="K338" s="1">
        <f>IF(F338="",1,IFERROR(VLOOKUP(F338,A:K,11,FALSE)+1,1))</f>
        <v>6</v>
      </c>
      <c r="L338" s="1" t="str">
        <f>IF(F338="","الأصل",IF(VLOOKUP(F338,A:L,12,FALSE)="الأصل","الفرع "&amp;K338-1,VLOOKUP(F338,A:L,12,FALSE)))</f>
        <v>العبدالكريم</v>
      </c>
      <c r="M338" s="1" t="str">
        <f t="shared" si="7"/>
        <v>مساعد بن عبدالله بن عبدالكريم حمد</v>
      </c>
      <c r="N338" s="1" t="str">
        <f t="shared" si="8"/>
        <v>مساعد bin عبدالله bin عبدالكريم Al-حمد</v>
      </c>
      <c r="O338" s="1" t="str">
        <f t="shared" ca="1" si="9"/>
        <v/>
      </c>
      <c r="P338" s="1">
        <f t="shared" si="10"/>
        <v>0</v>
      </c>
      <c r="Q338" s="1"/>
      <c r="R338" s="1"/>
      <c r="S338" s="1" t="str">
        <f t="shared" si="11"/>
        <v>Living</v>
      </c>
    </row>
    <row r="339" spans="1:19" ht="15.75" customHeight="1" x14ac:dyDescent="0.2">
      <c r="A339" s="1" t="str">
        <f t="shared" si="6"/>
        <v>P338</v>
      </c>
      <c r="B339" s="1" t="s">
        <v>119</v>
      </c>
      <c r="C339" s="1" t="s">
        <v>111</v>
      </c>
      <c r="D339" s="1" t="s">
        <v>119</v>
      </c>
      <c r="E339" s="1" t="s">
        <v>96</v>
      </c>
      <c r="F339" s="1" t="s">
        <v>319</v>
      </c>
      <c r="G339" s="1" t="s">
        <v>35</v>
      </c>
      <c r="H339" s="1"/>
      <c r="I339" s="1"/>
      <c r="J339" s="1"/>
      <c r="K339" s="1">
        <f>IF(F339="",1,IFERROR(VLOOKUP(F339,A:K,11,FALSE)+1,1))</f>
        <v>7</v>
      </c>
      <c r="L339" s="1" t="str">
        <f>IF(F339="","الأصل",IF(VLOOKUP(F339,A:L,12,FALSE)="الأصل","الفرع "&amp;K339-1,VLOOKUP(F339,A:L,12,FALSE)))</f>
        <v>العبدالكريم</v>
      </c>
      <c r="M339" s="1" t="str">
        <f t="shared" si="7"/>
        <v>عبدالله بن فهد بن عبدالله عبدالكريم</v>
      </c>
      <c r="N339" s="1" t="str">
        <f t="shared" si="8"/>
        <v>عبدالله bin فهد bin عبدالله Al-عبدالكريم</v>
      </c>
      <c r="O339" s="1" t="str">
        <f t="shared" ca="1" si="9"/>
        <v/>
      </c>
      <c r="P339" s="1">
        <f t="shared" si="10"/>
        <v>0</v>
      </c>
      <c r="Q339" s="1"/>
      <c r="R339" s="1"/>
      <c r="S339" s="1" t="str">
        <f t="shared" si="11"/>
        <v>Living</v>
      </c>
    </row>
    <row r="340" spans="1:19" ht="15.75" customHeight="1" x14ac:dyDescent="0.2">
      <c r="A340" s="1" t="str">
        <f t="shared" si="6"/>
        <v>P339</v>
      </c>
      <c r="B340" s="1" t="s">
        <v>108</v>
      </c>
      <c r="C340" s="1" t="s">
        <v>111</v>
      </c>
      <c r="D340" s="1" t="s">
        <v>119</v>
      </c>
      <c r="E340" s="1" t="s">
        <v>96</v>
      </c>
      <c r="F340" s="1" t="s">
        <v>319</v>
      </c>
      <c r="G340" s="1" t="s">
        <v>35</v>
      </c>
      <c r="H340" s="1"/>
      <c r="I340" s="1"/>
      <c r="J340" s="1"/>
      <c r="K340" s="1">
        <f>IF(F340="",1,IFERROR(VLOOKUP(F340,A:K,11,FALSE)+1,1))</f>
        <v>7</v>
      </c>
      <c r="L340" s="1" t="str">
        <f>IF(F340="","الأصل",IF(VLOOKUP(F340,A:L,12,FALSE)="الأصل","الفرع "&amp;K340-1,VLOOKUP(F340,A:L,12,FALSE)))</f>
        <v>العبدالكريم</v>
      </c>
      <c r="M340" s="1" t="str">
        <f t="shared" si="7"/>
        <v>عبدالعزيز بن فهد بن عبدالله عبدالكريم</v>
      </c>
      <c r="N340" s="1" t="str">
        <f t="shared" si="8"/>
        <v>عبدالعزيز bin فهد bin عبدالله Al-عبدالكريم</v>
      </c>
      <c r="O340" s="1" t="str">
        <f t="shared" ca="1" si="9"/>
        <v/>
      </c>
      <c r="P340" s="1">
        <f t="shared" si="10"/>
        <v>0</v>
      </c>
      <c r="Q340" s="1"/>
      <c r="R340" s="1"/>
      <c r="S340" s="1" t="str">
        <f t="shared" si="11"/>
        <v>Living</v>
      </c>
    </row>
    <row r="341" spans="1:19" ht="15.75" customHeight="1" x14ac:dyDescent="0.2">
      <c r="A341" s="1" t="str">
        <f t="shared" si="6"/>
        <v>P340</v>
      </c>
      <c r="B341" s="1" t="s">
        <v>112</v>
      </c>
      <c r="C341" s="1" t="s">
        <v>27</v>
      </c>
      <c r="D341" s="1" t="s">
        <v>96</v>
      </c>
      <c r="E341" s="1" t="s">
        <v>31</v>
      </c>
      <c r="F341" s="1" t="s">
        <v>320</v>
      </c>
      <c r="G341" s="1" t="s">
        <v>35</v>
      </c>
      <c r="H341" s="1"/>
      <c r="I341" s="1"/>
      <c r="J341" s="1"/>
      <c r="K341" s="1">
        <f>IF(F341="",1,IFERROR(VLOOKUP(F341,A:K,11,FALSE)+1,1))</f>
        <v>6</v>
      </c>
      <c r="L341" s="1" t="str">
        <f>IF(F341="","الأصل",IF(VLOOKUP(F341,A:L,12,FALSE)="الأصل","الفرع "&amp;K341-1,VLOOKUP(F341,A:L,12,FALSE)))</f>
        <v>العبدالكريم</v>
      </c>
      <c r="M341" s="1" t="str">
        <f t="shared" si="7"/>
        <v>خالد بن ابراهيم بن عبدالكريم حمد</v>
      </c>
      <c r="N341" s="1" t="str">
        <f t="shared" si="8"/>
        <v>خالد bin ابراهيم bin عبدالكريم Al-حمد</v>
      </c>
      <c r="O341" s="1" t="str">
        <f t="shared" ca="1" si="9"/>
        <v/>
      </c>
      <c r="P341" s="1">
        <f t="shared" si="10"/>
        <v>0</v>
      </c>
      <c r="Q341" s="1"/>
      <c r="R341" s="1"/>
      <c r="S341" s="1" t="str">
        <f t="shared" si="11"/>
        <v>Living</v>
      </c>
    </row>
    <row r="342" spans="1:19" ht="15.75" customHeight="1" x14ac:dyDescent="0.2">
      <c r="A342" s="1" t="str">
        <f t="shared" si="6"/>
        <v>P341</v>
      </c>
      <c r="B342" s="1" t="s">
        <v>96</v>
      </c>
      <c r="C342" s="1" t="s">
        <v>27</v>
      </c>
      <c r="D342" s="1" t="s">
        <v>96</v>
      </c>
      <c r="E342" s="1" t="s">
        <v>31</v>
      </c>
      <c r="F342" s="1" t="s">
        <v>320</v>
      </c>
      <c r="G342" s="1" t="s">
        <v>35</v>
      </c>
      <c r="H342" s="1"/>
      <c r="I342" s="1"/>
      <c r="J342" s="1"/>
      <c r="K342" s="1">
        <f>IF(F342="",1,IFERROR(VLOOKUP(F342,A:K,11,FALSE)+1,1))</f>
        <v>6</v>
      </c>
      <c r="L342" s="1" t="str">
        <f>IF(F342="","الأصل",IF(VLOOKUP(F342,A:L,12,FALSE)="الأصل","الفرع "&amp;K342-1,VLOOKUP(F342,A:L,12,FALSE)))</f>
        <v>العبدالكريم</v>
      </c>
      <c r="M342" s="1" t="str">
        <f t="shared" si="7"/>
        <v>عبدالكريم بن ابراهيم بن عبدالكريم حمد</v>
      </c>
      <c r="N342" s="1" t="str">
        <f t="shared" si="8"/>
        <v>عبدالكريم bin ابراهيم bin عبدالكريم Al-حمد</v>
      </c>
      <c r="O342" s="1" t="str">
        <f t="shared" ca="1" si="9"/>
        <v/>
      </c>
      <c r="P342" s="1">
        <f t="shared" si="10"/>
        <v>0</v>
      </c>
      <c r="Q342" s="1"/>
      <c r="R342" s="1"/>
      <c r="S342" s="1" t="str">
        <f t="shared" si="11"/>
        <v>Living</v>
      </c>
    </row>
    <row r="343" spans="1:19" ht="15.75" customHeight="1" x14ac:dyDescent="0.2">
      <c r="A343" s="1" t="str">
        <f t="shared" si="6"/>
        <v>P342</v>
      </c>
      <c r="B343" s="1" t="s">
        <v>111</v>
      </c>
      <c r="C343" s="1" t="s">
        <v>27</v>
      </c>
      <c r="D343" s="1" t="s">
        <v>96</v>
      </c>
      <c r="E343" s="1" t="s">
        <v>31</v>
      </c>
      <c r="F343" s="1" t="s">
        <v>320</v>
      </c>
      <c r="G343" s="1" t="s">
        <v>35</v>
      </c>
      <c r="H343" s="1"/>
      <c r="I343" s="1"/>
      <c r="J343" s="1"/>
      <c r="K343" s="1">
        <f>IF(F343="",1,IFERROR(VLOOKUP(F343,A:K,11,FALSE)+1,1))</f>
        <v>6</v>
      </c>
      <c r="L343" s="1" t="str">
        <f>IF(F343="","الأصل",IF(VLOOKUP(F343,A:L,12,FALSE)="الأصل","الفرع "&amp;K343-1,VLOOKUP(F343,A:L,12,FALSE)))</f>
        <v>العبدالكريم</v>
      </c>
      <c r="M343" s="1" t="str">
        <f t="shared" si="7"/>
        <v>فهد بن ابراهيم بن عبدالكريم حمد</v>
      </c>
      <c r="N343" s="1" t="str">
        <f t="shared" si="8"/>
        <v>فهد bin ابراهيم bin عبدالكريم Al-حمد</v>
      </c>
      <c r="O343" s="1" t="str">
        <f t="shared" ca="1" si="9"/>
        <v/>
      </c>
      <c r="P343" s="1">
        <f t="shared" si="10"/>
        <v>0</v>
      </c>
      <c r="Q343" s="1"/>
      <c r="R343" s="1"/>
      <c r="S343" s="1" t="str">
        <f t="shared" si="11"/>
        <v>Living</v>
      </c>
    </row>
    <row r="344" spans="1:19" ht="15.75" customHeight="1" x14ac:dyDescent="0.2">
      <c r="A344" s="1" t="str">
        <f t="shared" si="6"/>
        <v>P343</v>
      </c>
      <c r="B344" s="1" t="s">
        <v>108</v>
      </c>
      <c r="C344" s="1" t="s">
        <v>27</v>
      </c>
      <c r="D344" s="1" t="s">
        <v>96</v>
      </c>
      <c r="E344" s="1" t="s">
        <v>31</v>
      </c>
      <c r="F344" s="1" t="s">
        <v>320</v>
      </c>
      <c r="G344" s="1" t="s">
        <v>35</v>
      </c>
      <c r="H344" s="1"/>
      <c r="I344" s="1"/>
      <c r="J344" s="1"/>
      <c r="K344" s="1">
        <f>IF(F344="",1,IFERROR(VLOOKUP(F344,A:K,11,FALSE)+1,1))</f>
        <v>6</v>
      </c>
      <c r="L344" s="1" t="str">
        <f>IF(F344="","الأصل",IF(VLOOKUP(F344,A:L,12,FALSE)="الأصل","الفرع "&amp;K344-1,VLOOKUP(F344,A:L,12,FALSE)))</f>
        <v>العبدالكريم</v>
      </c>
      <c r="M344" s="1" t="str">
        <f t="shared" si="7"/>
        <v>عبدالعزيز بن ابراهيم بن عبدالكريم حمد</v>
      </c>
      <c r="N344" s="1" t="str">
        <f t="shared" si="8"/>
        <v>عبدالعزيز bin ابراهيم bin عبدالكريم Al-حمد</v>
      </c>
      <c r="O344" s="1" t="str">
        <f t="shared" ca="1" si="9"/>
        <v/>
      </c>
      <c r="P344" s="1">
        <f t="shared" si="10"/>
        <v>0</v>
      </c>
      <c r="Q344" s="1"/>
      <c r="R344" s="1"/>
      <c r="S344" s="1" t="str">
        <f t="shared" si="11"/>
        <v>Living</v>
      </c>
    </row>
    <row r="345" spans="1:19" ht="15.75" customHeight="1" x14ac:dyDescent="0.2">
      <c r="A345" s="1" t="str">
        <f t="shared" si="6"/>
        <v>P344</v>
      </c>
      <c r="B345" s="1" t="s">
        <v>96</v>
      </c>
      <c r="C345" s="1" t="s">
        <v>105</v>
      </c>
      <c r="D345" s="1" t="s">
        <v>96</v>
      </c>
      <c r="E345" s="1" t="s">
        <v>31</v>
      </c>
      <c r="F345" s="1" t="s">
        <v>321</v>
      </c>
      <c r="G345" s="1" t="s">
        <v>35</v>
      </c>
      <c r="H345" s="1"/>
      <c r="I345" s="1"/>
      <c r="J345" s="1"/>
      <c r="K345" s="1">
        <f>IF(F345="",1,IFERROR(VLOOKUP(F345,A:K,11,FALSE)+1,1))</f>
        <v>6</v>
      </c>
      <c r="L345" s="1" t="str">
        <f>IF(F345="","الأصل",IF(VLOOKUP(F345,A:L,12,FALSE)="الأصل","الفرع "&amp;K345-1,VLOOKUP(F345,A:L,12,FALSE)))</f>
        <v>العبدالكريم</v>
      </c>
      <c r="M345" s="1" t="str">
        <f t="shared" si="7"/>
        <v>عبدالكريم بن عبدالرحمن بن عبدالكريم حمد</v>
      </c>
      <c r="N345" s="1" t="str">
        <f t="shared" si="8"/>
        <v>عبدالكريم bin عبدالرحمن bin عبدالكريم Al-حمد</v>
      </c>
      <c r="O345" s="1" t="str">
        <f t="shared" ca="1" si="9"/>
        <v/>
      </c>
      <c r="P345" s="1">
        <f t="shared" si="10"/>
        <v>0</v>
      </c>
      <c r="Q345" s="1"/>
      <c r="R345" s="1"/>
      <c r="S345" s="1" t="str">
        <f t="shared" si="11"/>
        <v>Living</v>
      </c>
    </row>
    <row r="346" spans="1:19" ht="15.75" customHeight="1" x14ac:dyDescent="0.2">
      <c r="A346" s="1" t="str">
        <f t="shared" si="6"/>
        <v>P345</v>
      </c>
      <c r="B346" s="1" t="s">
        <v>119</v>
      </c>
      <c r="C346" s="1" t="s">
        <v>105</v>
      </c>
      <c r="D346" s="1" t="s">
        <v>96</v>
      </c>
      <c r="E346" s="1" t="s">
        <v>31</v>
      </c>
      <c r="F346" s="1" t="s">
        <v>321</v>
      </c>
      <c r="G346" s="1" t="s">
        <v>35</v>
      </c>
      <c r="H346" s="1"/>
      <c r="I346" s="1"/>
      <c r="J346" s="1"/>
      <c r="K346" s="1">
        <f>IF(F346="",1,IFERROR(VLOOKUP(F346,A:K,11,FALSE)+1,1))</f>
        <v>6</v>
      </c>
      <c r="L346" s="1" t="str">
        <f>IF(F346="","الأصل",IF(VLOOKUP(F346,A:L,12,FALSE)="الأصل","الفرع "&amp;K346-1,VLOOKUP(F346,A:L,12,FALSE)))</f>
        <v>العبدالكريم</v>
      </c>
      <c r="M346" s="1" t="str">
        <f t="shared" si="7"/>
        <v>عبدالله بن عبدالرحمن بن عبدالكريم حمد</v>
      </c>
      <c r="N346" s="1" t="str">
        <f t="shared" si="8"/>
        <v>عبدالله bin عبدالرحمن bin عبدالكريم Al-حمد</v>
      </c>
      <c r="O346" s="1" t="str">
        <f t="shared" ca="1" si="9"/>
        <v/>
      </c>
      <c r="P346" s="1">
        <f t="shared" si="10"/>
        <v>0</v>
      </c>
      <c r="Q346" s="1"/>
      <c r="R346" s="1"/>
      <c r="S346" s="1" t="str">
        <f t="shared" si="11"/>
        <v>Living</v>
      </c>
    </row>
    <row r="347" spans="1:19" ht="15.75" customHeight="1" x14ac:dyDescent="0.2">
      <c r="A347" s="1" t="str">
        <f t="shared" si="6"/>
        <v>P346</v>
      </c>
      <c r="B347" s="1" t="s">
        <v>100</v>
      </c>
      <c r="C347" s="1" t="s">
        <v>105</v>
      </c>
      <c r="D347" s="1" t="s">
        <v>96</v>
      </c>
      <c r="E347" s="1" t="s">
        <v>31</v>
      </c>
      <c r="F347" s="1" t="s">
        <v>321</v>
      </c>
      <c r="G347" s="1" t="s">
        <v>35</v>
      </c>
      <c r="H347" s="1"/>
      <c r="I347" s="1"/>
      <c r="J347" s="1"/>
      <c r="K347" s="1">
        <f>IF(F347="",1,IFERROR(VLOOKUP(F347,A:K,11,FALSE)+1,1))</f>
        <v>6</v>
      </c>
      <c r="L347" s="1" t="str">
        <f>IF(F347="","الأصل",IF(VLOOKUP(F347,A:L,12,FALSE)="الأصل","الفرع "&amp;K347-1,VLOOKUP(F347,A:L,12,FALSE)))</f>
        <v>العبدالكريم</v>
      </c>
      <c r="M347" s="1" t="str">
        <f t="shared" si="7"/>
        <v>محمد بن عبدالرحمن بن عبدالكريم حمد</v>
      </c>
      <c r="N347" s="1" t="str">
        <f t="shared" si="8"/>
        <v>محمد bin عبدالرحمن bin عبدالكريم Al-حمد</v>
      </c>
      <c r="O347" s="1" t="str">
        <f t="shared" ca="1" si="9"/>
        <v/>
      </c>
      <c r="P347" s="1">
        <f t="shared" si="10"/>
        <v>0</v>
      </c>
      <c r="Q347" s="1"/>
      <c r="R347" s="1"/>
      <c r="S347" s="1" t="str">
        <f t="shared" si="11"/>
        <v>Living</v>
      </c>
    </row>
    <row r="348" spans="1:19" ht="15.75" customHeight="1" x14ac:dyDescent="0.2">
      <c r="A348" s="1" t="str">
        <f t="shared" si="6"/>
        <v>P347</v>
      </c>
      <c r="B348" s="1" t="s">
        <v>105</v>
      </c>
      <c r="C348" s="1" t="s">
        <v>96</v>
      </c>
      <c r="D348" s="1" t="s">
        <v>105</v>
      </c>
      <c r="E348" s="1" t="s">
        <v>96</v>
      </c>
      <c r="F348" s="1" t="s">
        <v>322</v>
      </c>
      <c r="G348" s="1" t="s">
        <v>35</v>
      </c>
      <c r="H348" s="1"/>
      <c r="I348" s="1"/>
      <c r="J348" s="1"/>
      <c r="K348" s="1">
        <f>IF(F348="",1,IFERROR(VLOOKUP(F348,A:K,11,FALSE)+1,1))</f>
        <v>7</v>
      </c>
      <c r="L348" s="1" t="str">
        <f>IF(F348="","الأصل",IF(VLOOKUP(F348,A:L,12,FALSE)="الأصل","الفرع "&amp;K348-1,VLOOKUP(F348,A:L,12,FALSE)))</f>
        <v>العبدالكريم</v>
      </c>
      <c r="M348" s="1" t="str">
        <f t="shared" si="7"/>
        <v>عبدالرحمن بن عبدالكريم بن عبدالرحمن عبدالكريم</v>
      </c>
      <c r="N348" s="1" t="str">
        <f t="shared" si="8"/>
        <v>عبدالرحمن bin عبدالكريم bin عبدالرحمن Al-عبدالكريم</v>
      </c>
      <c r="O348" s="1" t="str">
        <f t="shared" ca="1" si="9"/>
        <v/>
      </c>
      <c r="P348" s="1">
        <f t="shared" si="10"/>
        <v>0</v>
      </c>
      <c r="Q348" s="1"/>
      <c r="R348" s="1"/>
      <c r="S348" s="1" t="str">
        <f t="shared" si="11"/>
        <v>Living</v>
      </c>
    </row>
    <row r="349" spans="1:19" ht="15.75" customHeight="1" x14ac:dyDescent="0.2">
      <c r="A349" s="1" t="str">
        <f t="shared" si="6"/>
        <v>P348</v>
      </c>
      <c r="B349" s="1" t="s">
        <v>116</v>
      </c>
      <c r="C349" s="1" t="s">
        <v>96</v>
      </c>
      <c r="D349" s="1" t="s">
        <v>105</v>
      </c>
      <c r="E349" s="1" t="s">
        <v>96</v>
      </c>
      <c r="F349" s="1" t="s">
        <v>322</v>
      </c>
      <c r="G349" s="1" t="s">
        <v>35</v>
      </c>
      <c r="H349" s="1"/>
      <c r="I349" s="1"/>
      <c r="J349" s="1"/>
      <c r="K349" s="1">
        <f>IF(F349="",1,IFERROR(VLOOKUP(F349,A:K,11,FALSE)+1,1))</f>
        <v>7</v>
      </c>
      <c r="L349" s="1" t="str">
        <f>IF(F349="","الأصل",IF(VLOOKUP(F349,A:L,12,FALSE)="الأصل","الفرع "&amp;K349-1,VLOOKUP(F349,A:L,12,FALSE)))</f>
        <v>العبدالكريم</v>
      </c>
      <c r="M349" s="1" t="str">
        <f t="shared" si="7"/>
        <v>فيصل بن عبدالكريم بن عبدالرحمن عبدالكريم</v>
      </c>
      <c r="N349" s="1" t="str">
        <f t="shared" si="8"/>
        <v>فيصل bin عبدالكريم bin عبدالرحمن Al-عبدالكريم</v>
      </c>
      <c r="O349" s="1" t="str">
        <f t="shared" ca="1" si="9"/>
        <v/>
      </c>
      <c r="P349" s="1">
        <f t="shared" si="10"/>
        <v>0</v>
      </c>
      <c r="Q349" s="1"/>
      <c r="R349" s="1"/>
      <c r="S349" s="1" t="str">
        <f t="shared" si="11"/>
        <v>Living</v>
      </c>
    </row>
    <row r="350" spans="1:19" ht="15.75" customHeight="1" x14ac:dyDescent="0.2">
      <c r="A350" s="1" t="str">
        <f t="shared" si="6"/>
        <v>P349</v>
      </c>
      <c r="B350" s="1" t="s">
        <v>96</v>
      </c>
      <c r="C350" s="1" t="s">
        <v>108</v>
      </c>
      <c r="D350" s="1" t="s">
        <v>96</v>
      </c>
      <c r="E350" s="1" t="s">
        <v>31</v>
      </c>
      <c r="F350" s="1" t="s">
        <v>323</v>
      </c>
      <c r="G350" s="1" t="s">
        <v>35</v>
      </c>
      <c r="H350" s="1"/>
      <c r="I350" s="1"/>
      <c r="J350" s="1"/>
      <c r="K350" s="1">
        <f>IF(F350="",1,IFERROR(VLOOKUP(F350,A:K,11,FALSE)+1,1))</f>
        <v>6</v>
      </c>
      <c r="L350" s="1" t="str">
        <f>IF(F350="","الأصل",IF(VLOOKUP(F350,A:L,12,FALSE)="الأصل","الفرع "&amp;K350-1,VLOOKUP(F350,A:L,12,FALSE)))</f>
        <v>العبدالكريم</v>
      </c>
      <c r="M350" s="1" t="str">
        <f t="shared" si="7"/>
        <v>عبدالكريم بن عبدالعزيز بن عبدالكريم حمد</v>
      </c>
      <c r="N350" s="1" t="str">
        <f t="shared" si="8"/>
        <v>عبدالكريم bin عبدالعزيز bin عبدالكريم Al-حمد</v>
      </c>
      <c r="O350" s="1" t="str">
        <f t="shared" ca="1" si="9"/>
        <v/>
      </c>
      <c r="P350" s="1">
        <f t="shared" si="10"/>
        <v>0</v>
      </c>
      <c r="Q350" s="1"/>
      <c r="R350" s="1"/>
      <c r="S350" s="1" t="str">
        <f t="shared" si="11"/>
        <v>Living</v>
      </c>
    </row>
    <row r="351" spans="1:19" ht="15.75" customHeight="1" x14ac:dyDescent="0.2">
      <c r="A351" s="1" t="str">
        <f t="shared" si="6"/>
        <v>P350</v>
      </c>
      <c r="B351" s="1" t="s">
        <v>246</v>
      </c>
      <c r="C351" s="1" t="s">
        <v>108</v>
      </c>
      <c r="D351" s="1" t="s">
        <v>96</v>
      </c>
      <c r="E351" s="1" t="s">
        <v>31</v>
      </c>
      <c r="F351" s="1" t="s">
        <v>323</v>
      </c>
      <c r="G351" s="1" t="s">
        <v>35</v>
      </c>
      <c r="H351" s="1"/>
      <c r="I351" s="1"/>
      <c r="J351" s="1"/>
      <c r="K351" s="1">
        <f>IF(F351="",1,IFERROR(VLOOKUP(F351,A:K,11,FALSE)+1,1))</f>
        <v>6</v>
      </c>
      <c r="L351" s="1" t="str">
        <f>IF(F351="","الأصل",IF(VLOOKUP(F351,A:L,12,FALSE)="الأصل","الفرع "&amp;K351-1,VLOOKUP(F351,A:L,12,FALSE)))</f>
        <v>العبدالكريم</v>
      </c>
      <c r="M351" s="1" t="str">
        <f t="shared" si="7"/>
        <v>سعود بن عبدالعزيز بن عبدالكريم حمد</v>
      </c>
      <c r="N351" s="1" t="str">
        <f t="shared" si="8"/>
        <v>سعود bin عبدالعزيز bin عبدالكريم Al-حمد</v>
      </c>
      <c r="O351" s="1" t="str">
        <f t="shared" ca="1" si="9"/>
        <v/>
      </c>
      <c r="P351" s="1">
        <f t="shared" si="10"/>
        <v>0</v>
      </c>
      <c r="Q351" s="1"/>
      <c r="R351" s="1"/>
      <c r="S351" s="1" t="str">
        <f t="shared" si="11"/>
        <v>Living</v>
      </c>
    </row>
    <row r="352" spans="1:19" ht="15.75" customHeight="1" x14ac:dyDescent="0.2">
      <c r="A352" s="1" t="str">
        <f t="shared" si="6"/>
        <v>P351</v>
      </c>
      <c r="B352" s="1" t="s">
        <v>262</v>
      </c>
      <c r="C352" s="1" t="s">
        <v>108</v>
      </c>
      <c r="D352" s="1" t="s">
        <v>96</v>
      </c>
      <c r="E352" s="1" t="s">
        <v>31</v>
      </c>
      <c r="F352" s="1" t="s">
        <v>323</v>
      </c>
      <c r="G352" s="1" t="s">
        <v>35</v>
      </c>
      <c r="H352" s="1"/>
      <c r="I352" s="1"/>
      <c r="J352" s="1"/>
      <c r="K352" s="1">
        <f>IF(F352="",1,IFERROR(VLOOKUP(F352,A:K,11,FALSE)+1,1))</f>
        <v>6</v>
      </c>
      <c r="L352" s="1" t="str">
        <f>IF(F352="","الأصل",IF(VLOOKUP(F352,A:L,12,FALSE)="الأصل","الفرع "&amp;K352-1,VLOOKUP(F352,A:L,12,FALSE)))</f>
        <v>العبدالكريم</v>
      </c>
      <c r="M352" s="1" t="str">
        <f t="shared" si="7"/>
        <v>انس بن عبدالعزيز بن عبدالكريم حمد</v>
      </c>
      <c r="N352" s="1" t="str">
        <f t="shared" si="8"/>
        <v>انس bin عبدالعزيز bin عبدالكريم Al-حمد</v>
      </c>
      <c r="O352" s="1" t="str">
        <f t="shared" ca="1" si="9"/>
        <v/>
      </c>
      <c r="P352" s="1">
        <f t="shared" si="10"/>
        <v>0</v>
      </c>
      <c r="Q352" s="1"/>
      <c r="R352" s="1"/>
      <c r="S352" s="1" t="str">
        <f t="shared" si="11"/>
        <v>Living</v>
      </c>
    </row>
    <row r="353" spans="1:19" ht="15.75" customHeight="1" x14ac:dyDescent="0.2">
      <c r="A353" s="1" t="str">
        <f t="shared" si="6"/>
        <v>P352</v>
      </c>
      <c r="B353" s="1" t="s">
        <v>100</v>
      </c>
      <c r="C353" s="1" t="s">
        <v>108</v>
      </c>
      <c r="D353" s="1" t="s">
        <v>96</v>
      </c>
      <c r="E353" s="1" t="s">
        <v>31</v>
      </c>
      <c r="F353" s="1" t="s">
        <v>323</v>
      </c>
      <c r="G353" s="1" t="s">
        <v>35</v>
      </c>
      <c r="H353" s="1"/>
      <c r="I353" s="1"/>
      <c r="J353" s="1"/>
      <c r="K353" s="1">
        <f>IF(F353="",1,IFERROR(VLOOKUP(F353,A:K,11,FALSE)+1,1))</f>
        <v>6</v>
      </c>
      <c r="L353" s="1" t="str">
        <f>IF(F353="","الأصل",IF(VLOOKUP(F353,A:L,12,FALSE)="الأصل","الفرع "&amp;K353-1,VLOOKUP(F353,A:L,12,FALSE)))</f>
        <v>العبدالكريم</v>
      </c>
      <c r="M353" s="1" t="str">
        <f t="shared" si="7"/>
        <v>محمد بن عبدالعزيز بن عبدالكريم حمد</v>
      </c>
      <c r="N353" s="1" t="str">
        <f t="shared" si="8"/>
        <v>محمد bin عبدالعزيز bin عبدالكريم Al-حمد</v>
      </c>
      <c r="O353" s="1" t="str">
        <f t="shared" ca="1" si="9"/>
        <v/>
      </c>
      <c r="P353" s="1">
        <f t="shared" si="10"/>
        <v>0</v>
      </c>
      <c r="Q353" s="1"/>
      <c r="R353" s="1"/>
      <c r="S353" s="1" t="str">
        <f t="shared" si="11"/>
        <v>Living</v>
      </c>
    </row>
    <row r="354" spans="1:19" ht="15.75" customHeight="1" x14ac:dyDescent="0.2">
      <c r="A354" s="1" t="str">
        <f t="shared" si="6"/>
        <v>P353</v>
      </c>
      <c r="B354" s="1" t="s">
        <v>105</v>
      </c>
      <c r="C354" s="1" t="s">
        <v>108</v>
      </c>
      <c r="D354" s="1" t="s">
        <v>31</v>
      </c>
      <c r="E354" s="23" t="s">
        <v>96</v>
      </c>
      <c r="F354" s="1" t="s">
        <v>324</v>
      </c>
      <c r="G354" s="1" t="s">
        <v>35</v>
      </c>
      <c r="H354" s="1"/>
      <c r="I354" s="1"/>
      <c r="J354" s="1"/>
      <c r="K354" s="1">
        <f>IF(F354="",1,IFERROR(VLOOKUP(F354,A:K,11,FALSE)+1,1))</f>
        <v>5</v>
      </c>
      <c r="L354" s="1" t="str">
        <f>IF(F354="","الأصل",IF(VLOOKUP(F354,A:L,12,FALSE)="الأصل","الفرع "&amp;K354-1,VLOOKUP(F354,A:L,12,FALSE)))</f>
        <v>العبدالكريم</v>
      </c>
      <c r="M354" s="1" t="str">
        <f t="shared" si="7"/>
        <v>عبدالرحمن بن عبدالعزيز بن حمد عبدالكريم</v>
      </c>
      <c r="N354" s="1" t="str">
        <f t="shared" si="8"/>
        <v>عبدالرحمن bin عبدالعزيز bin حمد Al-عبدالكريم</v>
      </c>
      <c r="O354" s="1" t="str">
        <f t="shared" ca="1" si="9"/>
        <v/>
      </c>
      <c r="P354" s="1">
        <f t="shared" si="10"/>
        <v>0</v>
      </c>
      <c r="Q354" s="1"/>
      <c r="R354" s="1"/>
      <c r="S354" s="1" t="str">
        <f t="shared" si="11"/>
        <v>Living</v>
      </c>
    </row>
    <row r="355" spans="1:19" ht="15.75" customHeight="1" x14ac:dyDescent="0.2">
      <c r="A355" s="1" t="str">
        <f t="shared" si="6"/>
        <v>P354</v>
      </c>
      <c r="B355" s="1" t="s">
        <v>119</v>
      </c>
      <c r="C355" s="1" t="s">
        <v>108</v>
      </c>
      <c r="D355" s="1" t="s">
        <v>31</v>
      </c>
      <c r="E355" s="23" t="s">
        <v>96</v>
      </c>
      <c r="F355" s="1" t="s">
        <v>324</v>
      </c>
      <c r="G355" s="1" t="s">
        <v>35</v>
      </c>
      <c r="H355" s="1"/>
      <c r="I355" s="1"/>
      <c r="J355" s="1"/>
      <c r="K355" s="1">
        <f>IF(F355="",1,IFERROR(VLOOKUP(F355,A:K,11,FALSE)+1,1))</f>
        <v>5</v>
      </c>
      <c r="L355" s="1" t="str">
        <f>IF(F355="","الأصل",IF(VLOOKUP(F355,A:L,12,FALSE)="الأصل","الفرع "&amp;K355-1,VLOOKUP(F355,A:L,12,FALSE)))</f>
        <v>العبدالكريم</v>
      </c>
      <c r="M355" s="1" t="str">
        <f t="shared" si="7"/>
        <v>عبدالله بن عبدالعزيز بن حمد عبدالكريم</v>
      </c>
      <c r="N355" s="1" t="str">
        <f t="shared" si="8"/>
        <v>عبدالله bin عبدالعزيز bin حمد Al-عبدالكريم</v>
      </c>
      <c r="O355" s="1" t="str">
        <f t="shared" ca="1" si="9"/>
        <v/>
      </c>
      <c r="P355" s="1">
        <f t="shared" si="10"/>
        <v>0</v>
      </c>
      <c r="Q355" s="1"/>
      <c r="R355" s="1"/>
      <c r="S355" s="1" t="str">
        <f t="shared" si="11"/>
        <v>Living</v>
      </c>
    </row>
    <row r="356" spans="1:19" ht="15.75" customHeight="1" x14ac:dyDescent="0.2">
      <c r="A356" s="1" t="str">
        <f t="shared" si="6"/>
        <v>P355</v>
      </c>
      <c r="B356" s="1" t="s">
        <v>100</v>
      </c>
      <c r="C356" s="1" t="s">
        <v>108</v>
      </c>
      <c r="D356" s="1" t="s">
        <v>31</v>
      </c>
      <c r="E356" s="23" t="s">
        <v>96</v>
      </c>
      <c r="F356" s="1" t="s">
        <v>324</v>
      </c>
      <c r="G356" s="1" t="s">
        <v>35</v>
      </c>
      <c r="H356" s="1"/>
      <c r="I356" s="1"/>
      <c r="J356" s="1"/>
      <c r="K356" s="1">
        <f>IF(F356="",1,IFERROR(VLOOKUP(F356,A:K,11,FALSE)+1,1))</f>
        <v>5</v>
      </c>
      <c r="L356" s="1" t="str">
        <f>IF(F356="","الأصل",IF(VLOOKUP(F356,A:L,12,FALSE)="الأصل","الفرع "&amp;K356-1,VLOOKUP(F356,A:L,12,FALSE)))</f>
        <v>العبدالكريم</v>
      </c>
      <c r="M356" s="1" t="str">
        <f t="shared" si="7"/>
        <v>محمد بن عبدالعزيز بن حمد عبدالكريم</v>
      </c>
      <c r="N356" s="1" t="str">
        <f t="shared" si="8"/>
        <v>محمد bin عبدالعزيز bin حمد Al-عبدالكريم</v>
      </c>
      <c r="O356" s="1" t="str">
        <f t="shared" ca="1" si="9"/>
        <v/>
      </c>
      <c r="P356" s="1">
        <f t="shared" si="10"/>
        <v>0</v>
      </c>
      <c r="Q356" s="1"/>
      <c r="R356" s="1"/>
      <c r="S356" s="1" t="str">
        <f t="shared" si="11"/>
        <v>Living</v>
      </c>
    </row>
    <row r="357" spans="1:19" ht="15.75" customHeight="1" x14ac:dyDescent="0.2">
      <c r="A357" s="1" t="str">
        <f t="shared" si="6"/>
        <v>P356</v>
      </c>
      <c r="B357" s="1" t="s">
        <v>105</v>
      </c>
      <c r="C357" s="1" t="s">
        <v>105</v>
      </c>
      <c r="D357" s="1" t="s">
        <v>108</v>
      </c>
      <c r="E357" s="1" t="s">
        <v>31</v>
      </c>
      <c r="F357" s="1" t="s">
        <v>325</v>
      </c>
      <c r="G357" s="1" t="s">
        <v>35</v>
      </c>
      <c r="H357" s="1"/>
      <c r="I357" s="1"/>
      <c r="J357" s="1"/>
      <c r="K357" s="1">
        <f>IF(F357="",1,IFERROR(VLOOKUP(F357,A:K,11,FALSE)+1,1))</f>
        <v>6</v>
      </c>
      <c r="L357" s="1" t="str">
        <f>IF(F357="","الأصل",IF(VLOOKUP(F357,A:L,12,FALSE)="الأصل","الفرع "&amp;K357-1,VLOOKUP(F357,A:L,12,FALSE)))</f>
        <v>العبدالكريم</v>
      </c>
      <c r="M357" s="1" t="str">
        <f t="shared" si="7"/>
        <v>عبدالرحمن بن عبدالرحمن بن عبدالعزيز حمد</v>
      </c>
      <c r="N357" s="1" t="str">
        <f t="shared" si="8"/>
        <v>عبدالرحمن bin عبدالرحمن bin عبدالعزيز Al-حمد</v>
      </c>
      <c r="O357" s="1" t="str">
        <f t="shared" ca="1" si="9"/>
        <v/>
      </c>
      <c r="P357" s="1">
        <f t="shared" si="10"/>
        <v>0</v>
      </c>
      <c r="Q357" s="1"/>
      <c r="R357" s="1"/>
      <c r="S357" s="1" t="str">
        <f t="shared" si="11"/>
        <v>Living</v>
      </c>
    </row>
    <row r="358" spans="1:19" ht="15.75" customHeight="1" x14ac:dyDescent="0.2">
      <c r="A358" s="1" t="str">
        <f t="shared" si="6"/>
        <v>P357</v>
      </c>
      <c r="B358" s="1" t="s">
        <v>108</v>
      </c>
      <c r="C358" s="1" t="s">
        <v>105</v>
      </c>
      <c r="D358" s="1" t="s">
        <v>108</v>
      </c>
      <c r="E358" s="1" t="s">
        <v>31</v>
      </c>
      <c r="F358" s="1" t="s">
        <v>325</v>
      </c>
      <c r="G358" s="1" t="s">
        <v>35</v>
      </c>
      <c r="H358" s="1"/>
      <c r="I358" s="1"/>
      <c r="J358" s="1"/>
      <c r="K358" s="1">
        <f>IF(F358="",1,IFERROR(VLOOKUP(F358,A:K,11,FALSE)+1,1))</f>
        <v>6</v>
      </c>
      <c r="L358" s="1" t="str">
        <f>IF(F358="","الأصل",IF(VLOOKUP(F358,A:L,12,FALSE)="الأصل","الفرع "&amp;K358-1,VLOOKUP(F358,A:L,12,FALSE)))</f>
        <v>العبدالكريم</v>
      </c>
      <c r="M358" s="1" t="str">
        <f t="shared" si="7"/>
        <v>عبدالعزيز بن عبدالرحمن بن عبدالعزيز حمد</v>
      </c>
      <c r="N358" s="1" t="str">
        <f t="shared" si="8"/>
        <v>عبدالعزيز bin عبدالرحمن bin عبدالعزيز Al-حمد</v>
      </c>
      <c r="O358" s="1" t="str">
        <f t="shared" ca="1" si="9"/>
        <v/>
      </c>
      <c r="P358" s="1">
        <f t="shared" si="10"/>
        <v>0</v>
      </c>
      <c r="Q358" s="1"/>
      <c r="R358" s="1"/>
      <c r="S358" s="1" t="str">
        <f t="shared" si="11"/>
        <v>Living</v>
      </c>
    </row>
    <row r="359" spans="1:19" ht="15.75" customHeight="1" x14ac:dyDescent="0.2">
      <c r="A359" s="1" t="str">
        <f t="shared" si="6"/>
        <v>P358</v>
      </c>
      <c r="B359" s="1" t="s">
        <v>326</v>
      </c>
      <c r="C359" s="1" t="s">
        <v>108</v>
      </c>
      <c r="D359" s="1" t="s">
        <v>105</v>
      </c>
      <c r="E359" s="1" t="s">
        <v>108</v>
      </c>
      <c r="F359" s="1" t="s">
        <v>327</v>
      </c>
      <c r="G359" s="1" t="s">
        <v>35</v>
      </c>
      <c r="H359" s="1"/>
      <c r="I359" s="1"/>
      <c r="J359" s="1"/>
      <c r="K359" s="1">
        <f>IF(F359="",1,IFERROR(VLOOKUP(F359,A:K,11,FALSE)+1,1))</f>
        <v>7</v>
      </c>
      <c r="L359" s="1" t="str">
        <f>IF(F359="","الأصل",IF(VLOOKUP(F359,A:L,12,FALSE)="الأصل","الفرع "&amp;K359-1,VLOOKUP(F359,A:L,12,FALSE)))</f>
        <v>العبدالكريم</v>
      </c>
      <c r="M359" s="1" t="str">
        <f t="shared" si="7"/>
        <v>ثامر بن عبدالعزيز بن عبدالرحمن عبدالعزيز</v>
      </c>
      <c r="N359" s="1" t="str">
        <f t="shared" si="8"/>
        <v>ثامر bin عبدالعزيز bin عبدالرحمن Al-عبدالعزيز</v>
      </c>
      <c r="O359" s="1" t="str">
        <f t="shared" ca="1" si="9"/>
        <v/>
      </c>
      <c r="P359" s="1">
        <f t="shared" si="10"/>
        <v>0</v>
      </c>
      <c r="Q359" s="1"/>
      <c r="R359" s="1"/>
      <c r="S359" s="1" t="str">
        <f t="shared" si="11"/>
        <v>Living</v>
      </c>
    </row>
    <row r="360" spans="1:19" ht="15.75" customHeight="1" x14ac:dyDescent="0.2">
      <c r="A360" s="1" t="str">
        <f t="shared" si="6"/>
        <v>P359</v>
      </c>
      <c r="B360" s="1" t="s">
        <v>100</v>
      </c>
      <c r="C360" s="1" t="s">
        <v>108</v>
      </c>
      <c r="D360" s="1" t="s">
        <v>105</v>
      </c>
      <c r="E360" s="1" t="s">
        <v>108</v>
      </c>
      <c r="F360" s="1" t="s">
        <v>327</v>
      </c>
      <c r="G360" s="1" t="s">
        <v>35</v>
      </c>
      <c r="H360" s="1"/>
      <c r="I360" s="1"/>
      <c r="J360" s="1"/>
      <c r="K360" s="1">
        <f>IF(F360="",1,IFERROR(VLOOKUP(F360,A:K,11,FALSE)+1,1))</f>
        <v>7</v>
      </c>
      <c r="L360" s="1" t="str">
        <f>IF(F360="","الأصل",IF(VLOOKUP(F360,A:L,12,FALSE)="الأصل","الفرع "&amp;K360-1,VLOOKUP(F360,A:L,12,FALSE)))</f>
        <v>العبدالكريم</v>
      </c>
      <c r="M360" s="1" t="str">
        <f t="shared" si="7"/>
        <v>محمد بن عبدالعزيز بن عبدالرحمن عبدالعزيز</v>
      </c>
      <c r="N360" s="1" t="str">
        <f t="shared" si="8"/>
        <v>محمد bin عبدالعزيز bin عبدالرحمن Al-عبدالعزيز</v>
      </c>
      <c r="O360" s="1" t="str">
        <f t="shared" ca="1" si="9"/>
        <v/>
      </c>
      <c r="P360" s="1">
        <f t="shared" si="10"/>
        <v>0</v>
      </c>
      <c r="Q360" s="1"/>
      <c r="R360" s="1"/>
      <c r="S360" s="1" t="str">
        <f t="shared" si="11"/>
        <v>Living</v>
      </c>
    </row>
    <row r="361" spans="1:19" ht="15.75" customHeight="1" x14ac:dyDescent="0.2">
      <c r="A361" s="1" t="str">
        <f t="shared" si="6"/>
        <v>P360</v>
      </c>
      <c r="B361" s="1" t="s">
        <v>110</v>
      </c>
      <c r="C361" s="1" t="s">
        <v>100</v>
      </c>
      <c r="D361" s="1" t="s">
        <v>108</v>
      </c>
      <c r="E361" s="1" t="s">
        <v>31</v>
      </c>
      <c r="F361" s="1" t="s">
        <v>328</v>
      </c>
      <c r="G361" s="1" t="s">
        <v>35</v>
      </c>
      <c r="H361" s="1"/>
      <c r="I361" s="1"/>
      <c r="J361" s="1"/>
      <c r="K361" s="1">
        <f>IF(F361="",1,IFERROR(VLOOKUP(F361,A:K,11,FALSE)+1,1))</f>
        <v>6</v>
      </c>
      <c r="L361" s="1" t="str">
        <f>IF(F361="","الأصل",IF(VLOOKUP(F361,A:L,12,FALSE)="الأصل","الفرع "&amp;K361-1,VLOOKUP(F361,A:L,12,FALSE)))</f>
        <v>العبدالكريم</v>
      </c>
      <c r="M361" s="1" t="str">
        <f t="shared" si="7"/>
        <v>سعد بن محمد بن عبدالعزيز حمد</v>
      </c>
      <c r="N361" s="1" t="str">
        <f t="shared" si="8"/>
        <v>سعد bin محمد bin عبدالعزيز Al-حمد</v>
      </c>
      <c r="O361" s="1" t="str">
        <f t="shared" ca="1" si="9"/>
        <v/>
      </c>
      <c r="P361" s="1">
        <f t="shared" si="10"/>
        <v>0</v>
      </c>
      <c r="Q361" s="1"/>
      <c r="R361" s="1"/>
      <c r="S361" s="1" t="str">
        <f t="shared" si="11"/>
        <v>Living</v>
      </c>
    </row>
    <row r="362" spans="1:19" ht="15.75" customHeight="1" x14ac:dyDescent="0.2">
      <c r="A362" s="1" t="str">
        <f t="shared" si="6"/>
        <v>P361</v>
      </c>
      <c r="B362" s="1" t="s">
        <v>108</v>
      </c>
      <c r="C362" s="1" t="s">
        <v>100</v>
      </c>
      <c r="D362" s="1" t="s">
        <v>108</v>
      </c>
      <c r="E362" s="1" t="s">
        <v>31</v>
      </c>
      <c r="F362" s="1" t="s">
        <v>328</v>
      </c>
      <c r="G362" s="1" t="s">
        <v>35</v>
      </c>
      <c r="H362" s="1"/>
      <c r="I362" s="1"/>
      <c r="J362" s="1"/>
      <c r="K362" s="1">
        <f>IF(F362="",1,IFERROR(VLOOKUP(F362,A:K,11,FALSE)+1,1))</f>
        <v>6</v>
      </c>
      <c r="L362" s="1" t="str">
        <f>IF(F362="","الأصل",IF(VLOOKUP(F362,A:L,12,FALSE)="الأصل","الفرع "&amp;K362-1,VLOOKUP(F362,A:L,12,FALSE)))</f>
        <v>العبدالكريم</v>
      </c>
      <c r="M362" s="1" t="str">
        <f t="shared" si="7"/>
        <v>عبدالعزيز بن محمد بن عبدالعزيز حمد</v>
      </c>
      <c r="N362" s="1" t="str">
        <f t="shared" si="8"/>
        <v>عبدالعزيز bin محمد bin عبدالعزيز Al-حمد</v>
      </c>
      <c r="O362" s="1" t="str">
        <f t="shared" ca="1" si="9"/>
        <v/>
      </c>
      <c r="P362" s="1">
        <f t="shared" si="10"/>
        <v>0</v>
      </c>
      <c r="Q362" s="1"/>
      <c r="R362" s="1"/>
      <c r="S362" s="1" t="str">
        <f t="shared" si="11"/>
        <v>Living</v>
      </c>
    </row>
    <row r="363" spans="1:19" ht="15.75" customHeight="1" x14ac:dyDescent="0.2">
      <c r="A363" s="1" t="str">
        <f t="shared" si="6"/>
        <v>P362</v>
      </c>
      <c r="B363" s="1" t="s">
        <v>246</v>
      </c>
      <c r="C363" s="1" t="s">
        <v>108</v>
      </c>
      <c r="D363" s="1" t="s">
        <v>100</v>
      </c>
      <c r="E363" s="1" t="s">
        <v>108</v>
      </c>
      <c r="F363" s="1" t="s">
        <v>329</v>
      </c>
      <c r="G363" s="1" t="s">
        <v>35</v>
      </c>
      <c r="H363" s="1"/>
      <c r="I363" s="1"/>
      <c r="J363" s="1"/>
      <c r="K363" s="1">
        <f>IF(F363="",1,IFERROR(VLOOKUP(F363,A:K,11,FALSE)+1,1))</f>
        <v>7</v>
      </c>
      <c r="L363" s="1" t="str">
        <f>IF(F363="","الأصل",IF(VLOOKUP(F363,A:L,12,FALSE)="الأصل","الفرع "&amp;K363-1,VLOOKUP(F363,A:L,12,FALSE)))</f>
        <v>العبدالكريم</v>
      </c>
      <c r="M363" s="1" t="str">
        <f t="shared" si="7"/>
        <v>سعود بن عبدالعزيز بن محمد عبدالعزيز</v>
      </c>
      <c r="N363" s="1" t="str">
        <f t="shared" si="8"/>
        <v>سعود bin عبدالعزيز bin محمد Al-عبدالعزيز</v>
      </c>
      <c r="O363" s="1" t="str">
        <f t="shared" ca="1" si="9"/>
        <v/>
      </c>
      <c r="P363" s="1">
        <f t="shared" si="10"/>
        <v>0</v>
      </c>
      <c r="Q363" s="1"/>
      <c r="R363" s="1"/>
      <c r="S363" s="1" t="str">
        <f t="shared" si="11"/>
        <v>Living</v>
      </c>
    </row>
    <row r="364" spans="1:19" ht="15.75" customHeight="1" x14ac:dyDescent="0.2">
      <c r="A364" s="1" t="str">
        <f t="shared" si="6"/>
        <v>P363</v>
      </c>
      <c r="B364" s="1" t="s">
        <v>294</v>
      </c>
      <c r="C364" s="1" t="s">
        <v>108</v>
      </c>
      <c r="D364" s="1" t="s">
        <v>100</v>
      </c>
      <c r="E364" s="1" t="s">
        <v>108</v>
      </c>
      <c r="F364" s="1" t="s">
        <v>329</v>
      </c>
      <c r="G364" s="1" t="s">
        <v>35</v>
      </c>
      <c r="H364" s="1"/>
      <c r="I364" s="1"/>
      <c r="J364" s="1"/>
      <c r="K364" s="1">
        <f>IF(F364="",1,IFERROR(VLOOKUP(F364,A:K,11,FALSE)+1,1))</f>
        <v>7</v>
      </c>
      <c r="L364" s="1" t="str">
        <f>IF(F364="","الأصل",IF(VLOOKUP(F364,A:L,12,FALSE)="الأصل","الفرع "&amp;K364-1,VLOOKUP(F364,A:L,12,FALSE)))</f>
        <v>العبدالكريم</v>
      </c>
      <c r="M364" s="1" t="str">
        <f t="shared" si="7"/>
        <v>تركي بن عبدالعزيز بن محمد عبدالعزيز</v>
      </c>
      <c r="N364" s="1" t="str">
        <f t="shared" si="8"/>
        <v>تركي bin عبدالعزيز bin محمد Al-عبدالعزيز</v>
      </c>
      <c r="O364" s="1" t="str">
        <f t="shared" ca="1" si="9"/>
        <v/>
      </c>
      <c r="P364" s="1">
        <f t="shared" si="10"/>
        <v>0</v>
      </c>
      <c r="Q364" s="1"/>
      <c r="R364" s="1"/>
      <c r="S364" s="1" t="str">
        <f t="shared" si="11"/>
        <v>Living</v>
      </c>
    </row>
    <row r="365" spans="1:19" ht="15.75" customHeight="1" x14ac:dyDescent="0.2">
      <c r="A365" s="1" t="str">
        <f t="shared" si="6"/>
        <v>P364</v>
      </c>
      <c r="B365" s="1" t="s">
        <v>100</v>
      </c>
      <c r="C365" s="1" t="s">
        <v>108</v>
      </c>
      <c r="D365" s="1" t="s">
        <v>100</v>
      </c>
      <c r="E365" s="1" t="s">
        <v>108</v>
      </c>
      <c r="F365" s="1" t="s">
        <v>329</v>
      </c>
      <c r="G365" s="1" t="s">
        <v>35</v>
      </c>
      <c r="H365" s="1"/>
      <c r="I365" s="1"/>
      <c r="J365" s="1"/>
      <c r="K365" s="1">
        <f>IF(F365="",1,IFERROR(VLOOKUP(F365,A:K,11,FALSE)+1,1))</f>
        <v>7</v>
      </c>
      <c r="L365" s="1" t="str">
        <f>IF(F365="","الأصل",IF(VLOOKUP(F365,A:L,12,FALSE)="الأصل","الفرع "&amp;K365-1,VLOOKUP(F365,A:L,12,FALSE)))</f>
        <v>العبدالكريم</v>
      </c>
      <c r="M365" s="1" t="str">
        <f t="shared" si="7"/>
        <v>محمد بن عبدالعزيز بن محمد عبدالعزيز</v>
      </c>
      <c r="N365" s="1" t="str">
        <f t="shared" si="8"/>
        <v>محمد bin عبدالعزيز bin محمد Al-عبدالعزيز</v>
      </c>
      <c r="O365" s="1" t="str">
        <f t="shared" ca="1" si="9"/>
        <v/>
      </c>
      <c r="P365" s="1">
        <f t="shared" si="10"/>
        <v>0</v>
      </c>
      <c r="Q365" s="1"/>
      <c r="R365" s="1"/>
      <c r="S365" s="1" t="str">
        <f t="shared" si="11"/>
        <v>Living</v>
      </c>
    </row>
    <row r="366" spans="1:19" ht="15.75" customHeight="1" x14ac:dyDescent="0.2">
      <c r="A366" s="1" t="str">
        <f t="shared" si="6"/>
        <v>P365</v>
      </c>
      <c r="B366" s="1" t="s">
        <v>27</v>
      </c>
      <c r="C366" s="1" t="s">
        <v>108</v>
      </c>
      <c r="D366" s="1" t="s">
        <v>100</v>
      </c>
      <c r="E366" s="1" t="s">
        <v>108</v>
      </c>
      <c r="F366" s="1" t="s">
        <v>329</v>
      </c>
      <c r="G366" s="1" t="s">
        <v>35</v>
      </c>
      <c r="H366" s="1"/>
      <c r="I366" s="1"/>
      <c r="J366" s="1"/>
      <c r="K366" s="1">
        <f>IF(F366="",1,IFERROR(VLOOKUP(F366,A:K,11,FALSE)+1,1))</f>
        <v>7</v>
      </c>
      <c r="L366" s="1" t="str">
        <f>IF(F366="","الأصل",IF(VLOOKUP(F366,A:L,12,FALSE)="الأصل","الفرع "&amp;K366-1,VLOOKUP(F366,A:L,12,FALSE)))</f>
        <v>العبدالكريم</v>
      </c>
      <c r="M366" s="1" t="str">
        <f t="shared" si="7"/>
        <v>ابراهيم بن عبدالعزيز بن محمد عبدالعزيز</v>
      </c>
      <c r="N366" s="1" t="str">
        <f t="shared" si="8"/>
        <v>ابراهيم bin عبدالعزيز bin محمد Al-عبدالعزيز</v>
      </c>
      <c r="O366" s="1" t="str">
        <f t="shared" ca="1" si="9"/>
        <v/>
      </c>
      <c r="P366" s="1">
        <f t="shared" si="10"/>
        <v>0</v>
      </c>
      <c r="Q366" s="1"/>
      <c r="R366" s="1"/>
      <c r="S366" s="1" t="str">
        <f t="shared" si="11"/>
        <v>Living</v>
      </c>
    </row>
    <row r="367" spans="1:19" ht="15.75" customHeight="1" x14ac:dyDescent="0.2">
      <c r="A367" s="1" t="str">
        <f t="shared" si="6"/>
        <v>P366</v>
      </c>
      <c r="B367" s="1" t="s">
        <v>100</v>
      </c>
      <c r="C367" s="1" t="s">
        <v>246</v>
      </c>
      <c r="D367" s="1" t="s">
        <v>108</v>
      </c>
      <c r="E367" s="1" t="s">
        <v>100</v>
      </c>
      <c r="F367" s="1" t="s">
        <v>330</v>
      </c>
      <c r="G367" s="1" t="s">
        <v>35</v>
      </c>
      <c r="H367" s="1"/>
      <c r="I367" s="1"/>
      <c r="J367" s="1"/>
      <c r="K367" s="1">
        <f>IF(F367="",1,IFERROR(VLOOKUP(F367,A:K,11,FALSE)+1,1))</f>
        <v>8</v>
      </c>
      <c r="L367" s="1" t="str">
        <f>IF(F367="","الأصل",IF(VLOOKUP(F367,A:L,12,FALSE)="الأصل","الفرع "&amp;K367-1,VLOOKUP(F367,A:L,12,FALSE)))</f>
        <v>العبدالكريم</v>
      </c>
      <c r="M367" s="1" t="str">
        <f t="shared" si="7"/>
        <v>محمد بن سعود بن عبدالعزيز محمد</v>
      </c>
      <c r="N367" s="1" t="str">
        <f t="shared" si="8"/>
        <v>محمد bin سعود bin عبدالعزيز Al-محمد</v>
      </c>
      <c r="O367" s="1" t="str">
        <f t="shared" ca="1" si="9"/>
        <v/>
      </c>
      <c r="P367" s="1">
        <f t="shared" si="10"/>
        <v>0</v>
      </c>
      <c r="Q367" s="1"/>
      <c r="R367" s="1"/>
      <c r="S367" s="1" t="str">
        <f t="shared" si="11"/>
        <v>Living</v>
      </c>
    </row>
    <row r="368" spans="1:19" ht="15.75" customHeight="1" x14ac:dyDescent="0.2">
      <c r="A368" s="1" t="str">
        <f t="shared" si="6"/>
        <v>P367</v>
      </c>
      <c r="B368" s="1" t="s">
        <v>111</v>
      </c>
      <c r="C368" s="1" t="s">
        <v>110</v>
      </c>
      <c r="D368" s="1" t="s">
        <v>100</v>
      </c>
      <c r="E368" s="1" t="s">
        <v>108</v>
      </c>
      <c r="F368" s="1" t="s">
        <v>331</v>
      </c>
      <c r="G368" s="1" t="s">
        <v>35</v>
      </c>
      <c r="H368" s="1"/>
      <c r="I368" s="1"/>
      <c r="J368" s="1"/>
      <c r="K368" s="1">
        <f>IF(F368="",1,IFERROR(VLOOKUP(F368,A:K,11,FALSE)+1,1))</f>
        <v>7</v>
      </c>
      <c r="L368" s="1" t="str">
        <f>IF(F368="","الأصل",IF(VLOOKUP(F368,A:L,12,FALSE)="الأصل","الفرع "&amp;K368-1,VLOOKUP(F368,A:L,12,FALSE)))</f>
        <v>العبدالكريم</v>
      </c>
      <c r="M368" s="1" t="str">
        <f t="shared" si="7"/>
        <v>فهد بن سعد بن محمد عبدالعزيز</v>
      </c>
      <c r="N368" s="1" t="str">
        <f t="shared" si="8"/>
        <v>فهد bin سعد bin محمد Al-عبدالعزيز</v>
      </c>
      <c r="O368" s="1" t="str">
        <f t="shared" ca="1" si="9"/>
        <v/>
      </c>
      <c r="P368" s="1">
        <f t="shared" si="10"/>
        <v>0</v>
      </c>
      <c r="Q368" s="1"/>
      <c r="R368" s="1"/>
      <c r="S368" s="1" t="str">
        <f t="shared" si="11"/>
        <v>Living</v>
      </c>
    </row>
    <row r="369" spans="1:19" ht="15.75" customHeight="1" x14ac:dyDescent="0.2">
      <c r="A369" s="1" t="str">
        <f t="shared" si="6"/>
        <v>P368</v>
      </c>
      <c r="B369" s="1" t="s">
        <v>300</v>
      </c>
      <c r="C369" s="1" t="s">
        <v>111</v>
      </c>
      <c r="D369" s="1" t="s">
        <v>110</v>
      </c>
      <c r="E369" s="1" t="s">
        <v>100</v>
      </c>
      <c r="F369" s="1" t="s">
        <v>332</v>
      </c>
      <c r="G369" s="1" t="s">
        <v>35</v>
      </c>
      <c r="H369" s="1"/>
      <c r="I369" s="1"/>
      <c r="J369" s="1"/>
      <c r="K369" s="1">
        <f>IF(F369="",1,IFERROR(VLOOKUP(F369,A:K,11,FALSE)+1,1))</f>
        <v>8</v>
      </c>
      <c r="L369" s="1" t="str">
        <f>IF(F369="","الأصل",IF(VLOOKUP(F369,A:L,12,FALSE)="الأصل","الفرع "&amp;K369-1,VLOOKUP(F369,A:L,12,FALSE)))</f>
        <v>العبدالكريم</v>
      </c>
      <c r="M369" s="1" t="str">
        <f t="shared" si="7"/>
        <v>رياض بن فهد بن سعد محمد</v>
      </c>
      <c r="N369" s="1" t="str">
        <f t="shared" si="8"/>
        <v>رياض bin فهد bin سعد Al-محمد</v>
      </c>
      <c r="O369" s="1" t="str">
        <f t="shared" ca="1" si="9"/>
        <v/>
      </c>
      <c r="P369" s="1">
        <f t="shared" si="10"/>
        <v>0</v>
      </c>
      <c r="Q369" s="1"/>
      <c r="R369" s="1"/>
      <c r="S369" s="1" t="str">
        <f t="shared" si="11"/>
        <v>Living</v>
      </c>
    </row>
    <row r="370" spans="1:19" ht="15.75" customHeight="1" x14ac:dyDescent="0.2">
      <c r="A370" s="1" t="str">
        <f t="shared" si="6"/>
        <v>P369</v>
      </c>
      <c r="B370" s="1" t="s">
        <v>129</v>
      </c>
      <c r="C370" s="1" t="s">
        <v>111</v>
      </c>
      <c r="D370" s="1" t="s">
        <v>110</v>
      </c>
      <c r="E370" s="1" t="s">
        <v>100</v>
      </c>
      <c r="F370" s="1" t="s">
        <v>332</v>
      </c>
      <c r="G370" s="1" t="s">
        <v>35</v>
      </c>
      <c r="H370" s="1"/>
      <c r="I370" s="1"/>
      <c r="J370" s="1"/>
      <c r="K370" s="1">
        <f>IF(F370="",1,IFERROR(VLOOKUP(F370,A:K,11,FALSE)+1,1))</f>
        <v>8</v>
      </c>
      <c r="L370" s="1" t="str">
        <f>IF(F370="","الأصل",IF(VLOOKUP(F370,A:L,12,FALSE)="الأصل","الفرع "&amp;K370-1,VLOOKUP(F370,A:L,12,FALSE)))</f>
        <v>العبدالكريم</v>
      </c>
      <c r="M370" s="1" t="str">
        <f t="shared" si="7"/>
        <v>عادل بن فهد بن سعد محمد</v>
      </c>
      <c r="N370" s="1" t="str">
        <f t="shared" si="8"/>
        <v>عادل bin فهد bin سعد Al-محمد</v>
      </c>
      <c r="O370" s="1" t="str">
        <f t="shared" ca="1" si="9"/>
        <v/>
      </c>
      <c r="P370" s="1">
        <f t="shared" si="10"/>
        <v>0</v>
      </c>
      <c r="Q370" s="1"/>
      <c r="R370" s="1"/>
      <c r="S370" s="1" t="str">
        <f t="shared" si="11"/>
        <v>Living</v>
      </c>
    </row>
    <row r="371" spans="1:19" ht="15.75" customHeight="1" x14ac:dyDescent="0.2">
      <c r="A371" s="1" t="str">
        <f t="shared" si="6"/>
        <v>P370</v>
      </c>
      <c r="B371" s="1" t="s">
        <v>27</v>
      </c>
      <c r="C371" s="1" t="s">
        <v>111</v>
      </c>
      <c r="D371" s="1" t="s">
        <v>110</v>
      </c>
      <c r="E371" s="1" t="s">
        <v>100</v>
      </c>
      <c r="F371" s="1" t="s">
        <v>332</v>
      </c>
      <c r="G371" s="1" t="s">
        <v>35</v>
      </c>
      <c r="H371" s="1"/>
      <c r="I371" s="1"/>
      <c r="J371" s="1"/>
      <c r="K371" s="1">
        <f>IF(F371="",1,IFERROR(VLOOKUP(F371,A:K,11,FALSE)+1,1))</f>
        <v>8</v>
      </c>
      <c r="L371" s="1" t="str">
        <f>IF(F371="","الأصل",IF(VLOOKUP(F371,A:L,12,FALSE)="الأصل","الفرع "&amp;K371-1,VLOOKUP(F371,A:L,12,FALSE)))</f>
        <v>العبدالكريم</v>
      </c>
      <c r="M371" s="1" t="str">
        <f t="shared" si="7"/>
        <v>ابراهيم بن فهد بن سعد محمد</v>
      </c>
      <c r="N371" s="1" t="str">
        <f t="shared" si="8"/>
        <v>ابراهيم bin فهد bin سعد Al-محمد</v>
      </c>
      <c r="O371" s="1" t="str">
        <f t="shared" ca="1" si="9"/>
        <v/>
      </c>
      <c r="P371" s="1">
        <f t="shared" si="10"/>
        <v>0</v>
      </c>
      <c r="Q371" s="1"/>
      <c r="R371" s="1"/>
      <c r="S371" s="1" t="str">
        <f t="shared" si="11"/>
        <v>Living</v>
      </c>
    </row>
    <row r="372" spans="1:19" ht="15.75" customHeight="1" x14ac:dyDescent="0.2">
      <c r="A372" s="1" t="str">
        <f t="shared" si="6"/>
        <v>P371</v>
      </c>
      <c r="B372" s="1" t="s">
        <v>135</v>
      </c>
      <c r="C372" s="1" t="s">
        <v>110</v>
      </c>
      <c r="D372" s="1" t="s">
        <v>100</v>
      </c>
      <c r="E372" s="1" t="s">
        <v>108</v>
      </c>
      <c r="F372" s="1" t="s">
        <v>331</v>
      </c>
      <c r="G372" s="1" t="s">
        <v>35</v>
      </c>
      <c r="H372" s="1"/>
      <c r="I372" s="1"/>
      <c r="J372" s="1"/>
      <c r="K372" s="1">
        <f>IF(F372="",1,IFERROR(VLOOKUP(F372,A:K,11,FALSE)+1,1))</f>
        <v>7</v>
      </c>
      <c r="L372" s="1" t="str">
        <f>IF(F372="","الأصل",IF(VLOOKUP(F372,A:L,12,FALSE)="الأصل","الفرع "&amp;K372-1,VLOOKUP(F372,A:L,12,FALSE)))</f>
        <v>العبدالكريم</v>
      </c>
      <c r="M372" s="1" t="str">
        <f t="shared" si="7"/>
        <v>مساعد بن سعد بن محمد عبدالعزيز</v>
      </c>
      <c r="N372" s="1" t="str">
        <f t="shared" si="8"/>
        <v>مساعد bin سعد bin محمد Al-عبدالعزيز</v>
      </c>
      <c r="O372" s="1" t="str">
        <f t="shared" ca="1" si="9"/>
        <v/>
      </c>
      <c r="P372" s="1">
        <f t="shared" si="10"/>
        <v>0</v>
      </c>
      <c r="Q372" s="1"/>
      <c r="R372" s="1"/>
      <c r="S372" s="1" t="str">
        <f t="shared" si="11"/>
        <v>Living</v>
      </c>
    </row>
    <row r="373" spans="1:19" ht="15.75" customHeight="1" x14ac:dyDescent="0.2">
      <c r="A373" s="1" t="str">
        <f t="shared" si="6"/>
        <v>P372</v>
      </c>
      <c r="B373" s="1" t="s">
        <v>246</v>
      </c>
      <c r="C373" s="1" t="s">
        <v>110</v>
      </c>
      <c r="D373" s="1" t="s">
        <v>100</v>
      </c>
      <c r="E373" s="1" t="s">
        <v>108</v>
      </c>
      <c r="F373" s="1" t="s">
        <v>331</v>
      </c>
      <c r="G373" s="1" t="s">
        <v>35</v>
      </c>
      <c r="H373" s="1"/>
      <c r="I373" s="1"/>
      <c r="J373" s="1"/>
      <c r="K373" s="1">
        <f>IF(F373="",1,IFERROR(VLOOKUP(F373,A:K,11,FALSE)+1,1))</f>
        <v>7</v>
      </c>
      <c r="L373" s="1" t="str">
        <f>IF(F373="","الأصل",IF(VLOOKUP(F373,A:L,12,FALSE)="الأصل","الفرع "&amp;K373-1,VLOOKUP(F373,A:L,12,FALSE)))</f>
        <v>العبدالكريم</v>
      </c>
      <c r="M373" s="1" t="str">
        <f t="shared" si="7"/>
        <v>سعود بن سعد بن محمد عبدالعزيز</v>
      </c>
      <c r="N373" s="1" t="str">
        <f t="shared" si="8"/>
        <v>سعود bin سعد bin محمد Al-عبدالعزيز</v>
      </c>
      <c r="O373" s="1" t="str">
        <f t="shared" ca="1" si="9"/>
        <v/>
      </c>
      <c r="P373" s="1">
        <f t="shared" si="10"/>
        <v>0</v>
      </c>
      <c r="Q373" s="1"/>
      <c r="R373" s="1"/>
      <c r="S373" s="1" t="str">
        <f t="shared" si="11"/>
        <v>Living</v>
      </c>
    </row>
    <row r="374" spans="1:19" ht="15.75" customHeight="1" x14ac:dyDescent="0.2">
      <c r="A374" s="1" t="str">
        <f t="shared" si="6"/>
        <v>P373</v>
      </c>
      <c r="B374" s="1" t="s">
        <v>105</v>
      </c>
      <c r="C374" s="1" t="s">
        <v>110</v>
      </c>
      <c r="D374" s="1" t="s">
        <v>100</v>
      </c>
      <c r="E374" s="1" t="s">
        <v>108</v>
      </c>
      <c r="F374" s="1" t="s">
        <v>331</v>
      </c>
      <c r="G374" s="1" t="s">
        <v>35</v>
      </c>
      <c r="H374" s="1"/>
      <c r="I374" s="1"/>
      <c r="J374" s="1"/>
      <c r="K374" s="1">
        <f>IF(F374="",1,IFERROR(VLOOKUP(F374,A:K,11,FALSE)+1,1))</f>
        <v>7</v>
      </c>
      <c r="L374" s="1" t="str">
        <f>IF(F374="","الأصل",IF(VLOOKUP(F374,A:L,12,FALSE)="الأصل","الفرع "&amp;K374-1,VLOOKUP(F374,A:L,12,FALSE)))</f>
        <v>العبدالكريم</v>
      </c>
      <c r="M374" s="1" t="str">
        <f t="shared" si="7"/>
        <v>عبدالرحمن بن سعد بن محمد عبدالعزيز</v>
      </c>
      <c r="N374" s="1" t="str">
        <f t="shared" si="8"/>
        <v>عبدالرحمن bin سعد bin محمد Al-عبدالعزيز</v>
      </c>
      <c r="O374" s="1" t="str">
        <f t="shared" ca="1" si="9"/>
        <v/>
      </c>
      <c r="P374" s="1">
        <f t="shared" si="10"/>
        <v>0</v>
      </c>
      <c r="Q374" s="1"/>
      <c r="R374" s="1"/>
      <c r="S374" s="1" t="str">
        <f t="shared" si="11"/>
        <v>Living</v>
      </c>
    </row>
    <row r="375" spans="1:19" ht="15.75" customHeight="1" x14ac:dyDescent="0.2">
      <c r="A375" s="1" t="str">
        <f t="shared" si="6"/>
        <v>P374</v>
      </c>
      <c r="B375" s="1" t="s">
        <v>102</v>
      </c>
      <c r="C375" s="1" t="s">
        <v>110</v>
      </c>
      <c r="D375" s="1" t="s">
        <v>100</v>
      </c>
      <c r="E375" s="1" t="s">
        <v>108</v>
      </c>
      <c r="F375" s="1" t="s">
        <v>331</v>
      </c>
      <c r="G375" s="1" t="s">
        <v>35</v>
      </c>
      <c r="H375" s="1"/>
      <c r="I375" s="1"/>
      <c r="J375" s="1"/>
      <c r="K375" s="1">
        <f>IF(F375="",1,IFERROR(VLOOKUP(F375,A:K,11,FALSE)+1,1))</f>
        <v>7</v>
      </c>
      <c r="L375" s="1" t="str">
        <f>IF(F375="","الأصل",IF(VLOOKUP(F375,A:L,12,FALSE)="الأصل","الفرع "&amp;K375-1,VLOOKUP(F375,A:L,12,FALSE)))</f>
        <v>العبدالكريم</v>
      </c>
      <c r="M375" s="1" t="str">
        <f t="shared" si="7"/>
        <v>ناصر بن سعد بن محمد عبدالعزيز</v>
      </c>
      <c r="N375" s="1" t="str">
        <f t="shared" si="8"/>
        <v>ناصر bin سعد bin محمد Al-عبدالعزيز</v>
      </c>
      <c r="O375" s="1" t="str">
        <f t="shared" ca="1" si="9"/>
        <v/>
      </c>
      <c r="P375" s="1">
        <f t="shared" si="10"/>
        <v>0</v>
      </c>
      <c r="Q375" s="1"/>
      <c r="R375" s="1"/>
      <c r="S375" s="1" t="str">
        <f t="shared" si="11"/>
        <v>Living</v>
      </c>
    </row>
    <row r="376" spans="1:19" ht="15.75" customHeight="1" x14ac:dyDescent="0.2">
      <c r="A376" s="1" t="str">
        <f t="shared" si="6"/>
        <v>P375</v>
      </c>
      <c r="B376" s="1" t="s">
        <v>112</v>
      </c>
      <c r="C376" s="1" t="s">
        <v>110</v>
      </c>
      <c r="D376" s="1" t="s">
        <v>100</v>
      </c>
      <c r="E376" s="1" t="s">
        <v>108</v>
      </c>
      <c r="F376" s="1" t="s">
        <v>331</v>
      </c>
      <c r="G376" s="1" t="s">
        <v>35</v>
      </c>
      <c r="H376" s="1"/>
      <c r="I376" s="1"/>
      <c r="J376" s="1"/>
      <c r="K376" s="1">
        <f>IF(F376="",1,IFERROR(VLOOKUP(F376,A:K,11,FALSE)+1,1))</f>
        <v>7</v>
      </c>
      <c r="L376" s="1" t="str">
        <f>IF(F376="","الأصل",IF(VLOOKUP(F376,A:L,12,FALSE)="الأصل","الفرع "&amp;K376-1,VLOOKUP(F376,A:L,12,FALSE)))</f>
        <v>العبدالكريم</v>
      </c>
      <c r="M376" s="1" t="str">
        <f t="shared" si="7"/>
        <v>خالد بن سعد بن محمد عبدالعزيز</v>
      </c>
      <c r="N376" s="1" t="str">
        <f t="shared" si="8"/>
        <v>خالد bin سعد bin محمد Al-عبدالعزيز</v>
      </c>
      <c r="O376" s="1" t="str">
        <f t="shared" ca="1" si="9"/>
        <v/>
      </c>
      <c r="P376" s="1">
        <f t="shared" si="10"/>
        <v>0</v>
      </c>
      <c r="Q376" s="1"/>
      <c r="R376" s="1"/>
      <c r="S376" s="1" t="str">
        <f t="shared" si="11"/>
        <v>Living</v>
      </c>
    </row>
    <row r="377" spans="1:19" ht="15.75" customHeight="1" x14ac:dyDescent="0.2">
      <c r="A377" s="1" t="str">
        <f t="shared" si="6"/>
        <v>P376</v>
      </c>
      <c r="B377" s="1" t="s">
        <v>116</v>
      </c>
      <c r="C377" s="1" t="s">
        <v>110</v>
      </c>
      <c r="D377" s="1" t="s">
        <v>100</v>
      </c>
      <c r="E377" s="1" t="s">
        <v>108</v>
      </c>
      <c r="F377" s="1" t="s">
        <v>331</v>
      </c>
      <c r="G377" s="1" t="s">
        <v>35</v>
      </c>
      <c r="H377" s="1"/>
      <c r="I377" s="1"/>
      <c r="J377" s="1"/>
      <c r="K377" s="1">
        <f>IF(F377="",1,IFERROR(VLOOKUP(F377,A:K,11,FALSE)+1,1))</f>
        <v>7</v>
      </c>
      <c r="L377" s="1" t="str">
        <f>IF(F377="","الأصل",IF(VLOOKUP(F377,A:L,12,FALSE)="الأصل","الفرع "&amp;K377-1,VLOOKUP(F377,A:L,12,FALSE)))</f>
        <v>العبدالكريم</v>
      </c>
      <c r="M377" s="1" t="str">
        <f t="shared" si="7"/>
        <v>فيصل بن سعد بن محمد عبدالعزيز</v>
      </c>
      <c r="N377" s="1" t="str">
        <f t="shared" si="8"/>
        <v>فيصل bin سعد bin محمد Al-عبدالعزيز</v>
      </c>
      <c r="O377" s="1" t="str">
        <f t="shared" ca="1" si="9"/>
        <v/>
      </c>
      <c r="P377" s="1">
        <f t="shared" si="10"/>
        <v>0</v>
      </c>
      <c r="Q377" s="1"/>
      <c r="R377" s="1"/>
      <c r="S377" s="1" t="str">
        <f t="shared" si="11"/>
        <v>Living</v>
      </c>
    </row>
    <row r="378" spans="1:19" ht="15.75" customHeight="1" x14ac:dyDescent="0.2">
      <c r="A378" s="1" t="str">
        <f t="shared" si="6"/>
        <v>P377</v>
      </c>
      <c r="B378" s="1" t="s">
        <v>27</v>
      </c>
      <c r="C378" s="1" t="s">
        <v>110</v>
      </c>
      <c r="D378" s="1" t="s">
        <v>100</v>
      </c>
      <c r="E378" s="1" t="s">
        <v>108</v>
      </c>
      <c r="F378" s="1" t="s">
        <v>331</v>
      </c>
      <c r="G378" s="1" t="s">
        <v>35</v>
      </c>
      <c r="H378" s="1"/>
      <c r="I378" s="1"/>
      <c r="J378" s="1"/>
      <c r="K378" s="1">
        <f>IF(F378="",1,IFERROR(VLOOKUP(F378,A:K,11,FALSE)+1,1))</f>
        <v>7</v>
      </c>
      <c r="L378" s="1" t="str">
        <f>IF(F378="","الأصل",IF(VLOOKUP(F378,A:L,12,FALSE)="الأصل","الفرع "&amp;K378-1,VLOOKUP(F378,A:L,12,FALSE)))</f>
        <v>العبدالكريم</v>
      </c>
      <c r="M378" s="1" t="str">
        <f t="shared" si="7"/>
        <v>ابراهيم بن سعد بن محمد عبدالعزيز</v>
      </c>
      <c r="N378" s="1" t="str">
        <f t="shared" si="8"/>
        <v>ابراهيم bin سعد bin محمد Al-عبدالعزيز</v>
      </c>
      <c r="O378" s="1" t="str">
        <f t="shared" ca="1" si="9"/>
        <v/>
      </c>
      <c r="P378" s="1">
        <f t="shared" si="10"/>
        <v>0</v>
      </c>
      <c r="Q378" s="1"/>
      <c r="R378" s="1"/>
      <c r="S378" s="1" t="str">
        <f t="shared" si="11"/>
        <v>Living</v>
      </c>
    </row>
    <row r="379" spans="1:19" ht="15.75" customHeight="1" x14ac:dyDescent="0.2">
      <c r="A379" s="1" t="str">
        <f t="shared" si="6"/>
        <v>P378</v>
      </c>
      <c r="B379" s="1" t="s">
        <v>31</v>
      </c>
      <c r="C379" s="1" t="s">
        <v>110</v>
      </c>
      <c r="D379" s="1" t="s">
        <v>100</v>
      </c>
      <c r="E379" s="1" t="s">
        <v>108</v>
      </c>
      <c r="F379" s="1" t="s">
        <v>331</v>
      </c>
      <c r="G379" s="1" t="s">
        <v>35</v>
      </c>
      <c r="H379" s="1"/>
      <c r="I379" s="1"/>
      <c r="J379" s="1"/>
      <c r="K379" s="1">
        <f>IF(F379="",1,IFERROR(VLOOKUP(F379,A:K,11,FALSE)+1,1))</f>
        <v>7</v>
      </c>
      <c r="L379" s="1" t="str">
        <f>IF(F379="","الأصل",IF(VLOOKUP(F379,A:L,12,FALSE)="الأصل","الفرع "&amp;K379-1,VLOOKUP(F379,A:L,12,FALSE)))</f>
        <v>العبدالكريم</v>
      </c>
      <c r="M379" s="1" t="str">
        <f t="shared" si="7"/>
        <v>حمد بن سعد بن محمد عبدالعزيز</v>
      </c>
      <c r="N379" s="1" t="str">
        <f t="shared" si="8"/>
        <v>حمد bin سعد bin محمد Al-عبدالعزيز</v>
      </c>
      <c r="O379" s="1" t="str">
        <f t="shared" ca="1" si="9"/>
        <v/>
      </c>
      <c r="P379" s="1">
        <f t="shared" si="10"/>
        <v>0</v>
      </c>
      <c r="Q379" s="1"/>
      <c r="R379" s="1"/>
      <c r="S379" s="1" t="str">
        <f t="shared" si="11"/>
        <v>Living</v>
      </c>
    </row>
    <row r="380" spans="1:19" ht="15.75" customHeight="1" x14ac:dyDescent="0.2">
      <c r="A380" s="1" t="str">
        <f t="shared" si="6"/>
        <v>P379</v>
      </c>
      <c r="B380" s="1" t="s">
        <v>100</v>
      </c>
      <c r="C380" s="1" t="s">
        <v>110</v>
      </c>
      <c r="D380" s="1" t="s">
        <v>100</v>
      </c>
      <c r="E380" s="1" t="s">
        <v>108</v>
      </c>
      <c r="F380" s="1" t="s">
        <v>331</v>
      </c>
      <c r="G380" s="1" t="s">
        <v>35</v>
      </c>
      <c r="H380" s="1"/>
      <c r="I380" s="1"/>
      <c r="J380" s="1"/>
      <c r="K380" s="1">
        <f>IF(F380="",1,IFERROR(VLOOKUP(F380,A:K,11,FALSE)+1,1))</f>
        <v>7</v>
      </c>
      <c r="L380" s="1" t="str">
        <f>IF(F380="","الأصل",IF(VLOOKUP(F380,A:L,12,FALSE)="الأصل","الفرع "&amp;K380-1,VLOOKUP(F380,A:L,12,FALSE)))</f>
        <v>العبدالكريم</v>
      </c>
      <c r="M380" s="1" t="str">
        <f t="shared" si="7"/>
        <v>محمد بن سعد بن محمد عبدالعزيز</v>
      </c>
      <c r="N380" s="1" t="str">
        <f t="shared" si="8"/>
        <v>محمد bin سعد bin محمد Al-عبدالعزيز</v>
      </c>
      <c r="O380" s="1" t="str">
        <f t="shared" ca="1" si="9"/>
        <v/>
      </c>
      <c r="P380" s="1">
        <f t="shared" si="10"/>
        <v>0</v>
      </c>
      <c r="Q380" s="1"/>
      <c r="R380" s="1"/>
      <c r="S380" s="1" t="str">
        <f t="shared" si="11"/>
        <v>Living</v>
      </c>
    </row>
    <row r="381" spans="1:19" ht="15.75" customHeight="1" x14ac:dyDescent="0.2">
      <c r="A381" s="1" t="str">
        <f t="shared" si="6"/>
        <v>P380</v>
      </c>
      <c r="B381" s="1" t="s">
        <v>146</v>
      </c>
      <c r="C381" s="1" t="s">
        <v>110</v>
      </c>
      <c r="D381" s="1" t="s">
        <v>100</v>
      </c>
      <c r="E381" s="1" t="s">
        <v>108</v>
      </c>
      <c r="F381" s="1" t="s">
        <v>331</v>
      </c>
      <c r="G381" s="1" t="s">
        <v>35</v>
      </c>
      <c r="H381" s="1"/>
      <c r="I381" s="1"/>
      <c r="J381" s="1"/>
      <c r="K381" s="1">
        <f>IF(F381="",1,IFERROR(VLOOKUP(F381,A:K,11,FALSE)+1,1))</f>
        <v>7</v>
      </c>
      <c r="L381" s="1" t="str">
        <f>IF(F381="","الأصل",IF(VLOOKUP(F381,A:L,12,FALSE)="الأصل","الفرع "&amp;K381-1,VLOOKUP(F381,A:L,12,FALSE)))</f>
        <v>العبدالكريم</v>
      </c>
      <c r="M381" s="1" t="str">
        <f t="shared" si="7"/>
        <v>بدر بن سعد بن محمد عبدالعزيز</v>
      </c>
      <c r="N381" s="1" t="str">
        <f t="shared" si="8"/>
        <v>بدر bin سعد bin محمد Al-عبدالعزيز</v>
      </c>
      <c r="O381" s="1" t="str">
        <f t="shared" ca="1" si="9"/>
        <v/>
      </c>
      <c r="P381" s="1">
        <f t="shared" si="10"/>
        <v>0</v>
      </c>
      <c r="Q381" s="1"/>
      <c r="R381" s="1"/>
      <c r="S381" s="1" t="str">
        <f t="shared" si="11"/>
        <v>Living</v>
      </c>
    </row>
    <row r="382" spans="1:19" ht="15.75" customHeight="1" x14ac:dyDescent="0.2">
      <c r="A382" s="1" t="str">
        <f t="shared" si="6"/>
        <v>P381</v>
      </c>
      <c r="B382" s="1" t="s">
        <v>333</v>
      </c>
      <c r="C382" s="1" t="s">
        <v>27</v>
      </c>
      <c r="D382" s="1" t="s">
        <v>110</v>
      </c>
      <c r="E382" s="1" t="s">
        <v>100</v>
      </c>
      <c r="F382" s="1" t="s">
        <v>334</v>
      </c>
      <c r="G382" s="1" t="s">
        <v>35</v>
      </c>
      <c r="H382" s="1"/>
      <c r="I382" s="1"/>
      <c r="J382" s="1"/>
      <c r="K382" s="1">
        <f>IF(F382="",1,IFERROR(VLOOKUP(F382,A:K,11,FALSE)+1,1))</f>
        <v>8</v>
      </c>
      <c r="L382" s="1" t="str">
        <f>IF(F382="","الأصل",IF(VLOOKUP(F382,A:L,12,FALSE)="الأصل","الفرع "&amp;K382-1,VLOOKUP(F382,A:L,12,FALSE)))</f>
        <v>العبدالكريم</v>
      </c>
      <c r="M382" s="1" t="str">
        <f t="shared" si="7"/>
        <v>جهاد بن ابراهيم بن سعد محمد</v>
      </c>
      <c r="N382" s="1" t="str">
        <f t="shared" si="8"/>
        <v>جهاد bin ابراهيم bin سعد Al-محمد</v>
      </c>
      <c r="O382" s="1" t="str">
        <f t="shared" ca="1" si="9"/>
        <v/>
      </c>
      <c r="P382" s="1">
        <f t="shared" si="10"/>
        <v>0</v>
      </c>
      <c r="Q382" s="1"/>
      <c r="R382" s="1"/>
      <c r="S382" s="1" t="str">
        <f t="shared" si="11"/>
        <v>Living</v>
      </c>
    </row>
    <row r="383" spans="1:19" ht="15.75" hidden="1" customHeight="1" x14ac:dyDescent="0.2">
      <c r="A383" s="1" t="str">
        <f t="shared" si="6"/>
        <v>P382</v>
      </c>
      <c r="B383" s="1" t="s">
        <v>105</v>
      </c>
      <c r="C383" s="1" t="s">
        <v>104</v>
      </c>
      <c r="D383" s="1" t="s">
        <v>102</v>
      </c>
      <c r="E383" s="1" t="s">
        <v>27</v>
      </c>
      <c r="F383" s="1" t="s">
        <v>335</v>
      </c>
      <c r="G383" s="1" t="s">
        <v>35</v>
      </c>
      <c r="H383" s="1"/>
      <c r="I383" s="1"/>
      <c r="J383" s="1"/>
      <c r="K383" s="1">
        <f>IF(F383="",1,IFERROR(VLOOKUP(F383,A:K,11,FALSE)+1,1))</f>
        <v>5</v>
      </c>
      <c r="L383" s="1" t="str">
        <f>IF(F383="","الأصل",IF(VLOOKUP(F383,A:L,12,FALSE)="الأصل","الفرع "&amp;K383-1,VLOOKUP(F383,A:L,12,FALSE)))</f>
        <v>الابراهيم</v>
      </c>
      <c r="M383" s="1" t="str">
        <f t="shared" si="7"/>
        <v>عبدالرحمن بن عبدالمحسن بن ناصر ابراهيم</v>
      </c>
      <c r="N383" s="1" t="str">
        <f t="shared" si="8"/>
        <v>عبدالرحمن bin عبدالمحسن bin ناصر Al-ابراهيم</v>
      </c>
      <c r="O383" s="1" t="str">
        <f t="shared" ca="1" si="9"/>
        <v/>
      </c>
      <c r="P383" s="1">
        <f t="shared" si="10"/>
        <v>0</v>
      </c>
      <c r="Q383" s="1"/>
      <c r="R383" s="1"/>
      <c r="S383" s="1" t="str">
        <f t="shared" si="11"/>
        <v>Living</v>
      </c>
    </row>
    <row r="384" spans="1:19" ht="15.75" hidden="1" customHeight="1" x14ac:dyDescent="0.2">
      <c r="A384" s="1" t="str">
        <f t="shared" si="6"/>
        <v>P383</v>
      </c>
      <c r="B384" s="1" t="s">
        <v>111</v>
      </c>
      <c r="C384" s="1" t="s">
        <v>105</v>
      </c>
      <c r="D384" s="1" t="s">
        <v>104</v>
      </c>
      <c r="E384" s="1" t="s">
        <v>102</v>
      </c>
      <c r="F384" s="1" t="s">
        <v>336</v>
      </c>
      <c r="G384" s="1" t="s">
        <v>35</v>
      </c>
      <c r="H384" s="1"/>
      <c r="I384" s="1"/>
      <c r="J384" s="1"/>
      <c r="K384" s="1">
        <f>IF(F384="",1,IFERROR(VLOOKUP(F384,A:K,11,FALSE)+1,1))</f>
        <v>6</v>
      </c>
      <c r="L384" s="1" t="str">
        <f>IF(F384="","الأصل",IF(VLOOKUP(F384,A:L,12,FALSE)="الأصل","الفرع "&amp;K384-1,VLOOKUP(F384,A:L,12,FALSE)))</f>
        <v>الابراهيم</v>
      </c>
      <c r="M384" s="1" t="str">
        <f t="shared" si="7"/>
        <v>فهد بن عبدالرحمن بن عبدالمحسن ناصر</v>
      </c>
      <c r="N384" s="1" t="str">
        <f t="shared" si="8"/>
        <v>فهد bin عبدالرحمن bin عبدالمحسن Al-ناصر</v>
      </c>
      <c r="O384" s="1" t="str">
        <f t="shared" ca="1" si="9"/>
        <v/>
      </c>
      <c r="P384" s="1">
        <f t="shared" si="10"/>
        <v>0</v>
      </c>
      <c r="Q384" s="1"/>
      <c r="R384" s="1"/>
      <c r="S384" s="1" t="str">
        <f t="shared" si="11"/>
        <v>Living</v>
      </c>
    </row>
    <row r="385" spans="1:19" ht="15.75" hidden="1" customHeight="1" x14ac:dyDescent="0.2">
      <c r="A385" s="1" t="str">
        <f t="shared" si="6"/>
        <v>P384</v>
      </c>
      <c r="B385" s="1" t="s">
        <v>337</v>
      </c>
      <c r="C385" s="1" t="s">
        <v>105</v>
      </c>
      <c r="D385" s="1" t="s">
        <v>104</v>
      </c>
      <c r="E385" s="1" t="s">
        <v>102</v>
      </c>
      <c r="F385" s="1" t="s">
        <v>336</v>
      </c>
      <c r="G385" s="1" t="s">
        <v>35</v>
      </c>
      <c r="H385" s="1"/>
      <c r="I385" s="1"/>
      <c r="J385" s="1"/>
      <c r="K385" s="1">
        <f>IF(F385="",1,IFERROR(VLOOKUP(F385,A:K,11,FALSE)+1,1))</f>
        <v>6</v>
      </c>
      <c r="L385" s="1" t="str">
        <f>IF(F385="","الأصل",IF(VLOOKUP(F385,A:L,12,FALSE)="الأصل","الفرع "&amp;K385-1,VLOOKUP(F385,A:L,12,FALSE)))</f>
        <v>الابراهيم</v>
      </c>
      <c r="M385" s="1" t="str">
        <f t="shared" si="7"/>
        <v>صلاح بن عبدالرحمن بن عبدالمحسن ناصر</v>
      </c>
      <c r="N385" s="1" t="str">
        <f t="shared" si="8"/>
        <v>صلاح bin عبدالرحمن bin عبدالمحسن Al-ناصر</v>
      </c>
      <c r="O385" s="1" t="str">
        <f t="shared" ca="1" si="9"/>
        <v/>
      </c>
      <c r="P385" s="1">
        <f t="shared" si="10"/>
        <v>0</v>
      </c>
      <c r="Q385" s="1"/>
      <c r="R385" s="1"/>
      <c r="S385" s="1" t="str">
        <f t="shared" si="11"/>
        <v>Living</v>
      </c>
    </row>
    <row r="386" spans="1:19" ht="15.75" hidden="1" customHeight="1" x14ac:dyDescent="0.2">
      <c r="A386" s="1" t="str">
        <f t="shared" si="6"/>
        <v>P385</v>
      </c>
      <c r="B386" s="1" t="s">
        <v>100</v>
      </c>
      <c r="C386" s="1" t="s">
        <v>105</v>
      </c>
      <c r="D386" s="1" t="s">
        <v>104</v>
      </c>
      <c r="E386" s="1" t="s">
        <v>102</v>
      </c>
      <c r="F386" s="1" t="s">
        <v>336</v>
      </c>
      <c r="G386" s="1" t="s">
        <v>35</v>
      </c>
      <c r="H386" s="1"/>
      <c r="I386" s="1"/>
      <c r="J386" s="1"/>
      <c r="K386" s="1">
        <f>IF(F386="",1,IFERROR(VLOOKUP(F386,A:K,11,FALSE)+1,1))</f>
        <v>6</v>
      </c>
      <c r="L386" s="1" t="str">
        <f>IF(F386="","الأصل",IF(VLOOKUP(F386,A:L,12,FALSE)="الأصل","الفرع "&amp;K386-1,VLOOKUP(F386,A:L,12,FALSE)))</f>
        <v>الابراهيم</v>
      </c>
      <c r="M386" s="1" t="str">
        <f t="shared" si="7"/>
        <v>محمد بن عبدالرحمن بن عبدالمحسن ناصر</v>
      </c>
      <c r="N386" s="1" t="str">
        <f t="shared" si="8"/>
        <v>محمد bin عبدالرحمن bin عبدالمحسن Al-ناصر</v>
      </c>
      <c r="O386" s="1" t="str">
        <f t="shared" ca="1" si="9"/>
        <v/>
      </c>
      <c r="P386" s="1">
        <f t="shared" si="10"/>
        <v>0</v>
      </c>
      <c r="Q386" s="1"/>
      <c r="R386" s="1"/>
      <c r="S386" s="1" t="str">
        <f t="shared" si="11"/>
        <v>Living</v>
      </c>
    </row>
    <row r="387" spans="1:19" ht="15.75" hidden="1" customHeight="1" x14ac:dyDescent="0.2">
      <c r="A387" s="1" t="str">
        <f t="shared" si="6"/>
        <v>P386</v>
      </c>
      <c r="B387" s="1" t="s">
        <v>104</v>
      </c>
      <c r="C387" s="1" t="s">
        <v>105</v>
      </c>
      <c r="D387" s="1" t="s">
        <v>104</v>
      </c>
      <c r="E387" s="1" t="s">
        <v>102</v>
      </c>
      <c r="F387" s="1" t="s">
        <v>336</v>
      </c>
      <c r="G387" s="1" t="s">
        <v>35</v>
      </c>
      <c r="H387" s="1"/>
      <c r="I387" s="1"/>
      <c r="J387" s="1"/>
      <c r="K387" s="1">
        <f>IF(F387="",1,IFERROR(VLOOKUP(F387,A:K,11,FALSE)+1,1))</f>
        <v>6</v>
      </c>
      <c r="L387" s="1" t="str">
        <f>IF(F387="","الأصل",IF(VLOOKUP(F387,A:L,12,FALSE)="الأصل","الفرع "&amp;K387-1,VLOOKUP(F387,A:L,12,FALSE)))</f>
        <v>الابراهيم</v>
      </c>
      <c r="M387" s="1" t="str">
        <f t="shared" si="7"/>
        <v>عبدالمحسن بن عبدالرحمن بن عبدالمحسن ناصر</v>
      </c>
      <c r="N387" s="1" t="str">
        <f t="shared" si="8"/>
        <v>عبدالمحسن bin عبدالرحمن bin عبدالمحسن Al-ناصر</v>
      </c>
      <c r="O387" s="1" t="str">
        <f t="shared" ca="1" si="9"/>
        <v/>
      </c>
      <c r="P387" s="1">
        <f t="shared" si="10"/>
        <v>0</v>
      </c>
      <c r="Q387" s="1"/>
      <c r="R387" s="1"/>
      <c r="S387" s="1" t="str">
        <f t="shared" si="11"/>
        <v>Living</v>
      </c>
    </row>
    <row r="388" spans="1:19" ht="15.75" hidden="1" customHeight="1" x14ac:dyDescent="0.2">
      <c r="A388" s="1" t="str">
        <f t="shared" si="6"/>
        <v>P387</v>
      </c>
      <c r="B388" s="1" t="s">
        <v>289</v>
      </c>
      <c r="C388" s="1" t="s">
        <v>105</v>
      </c>
      <c r="D388" s="1" t="s">
        <v>104</v>
      </c>
      <c r="E388" s="1" t="s">
        <v>102</v>
      </c>
      <c r="F388" s="1" t="s">
        <v>336</v>
      </c>
      <c r="G388" s="1" t="s">
        <v>132</v>
      </c>
      <c r="H388" s="1"/>
      <c r="I388" s="1"/>
      <c r="J388" s="1"/>
      <c r="K388" s="1">
        <f>IF(F388="",1,IFERROR(VLOOKUP(F388,A:K,11,FALSE)+1,1))</f>
        <v>6</v>
      </c>
      <c r="L388" s="1" t="str">
        <f>IF(F388="","الأصل",IF(VLOOKUP(F388,A:L,12,FALSE)="الأصل","الفرع "&amp;K388-1,VLOOKUP(F388,A:L,12,FALSE)))</f>
        <v>الابراهيم</v>
      </c>
      <c r="M388" s="1" t="str">
        <f t="shared" si="7"/>
        <v>هالة بن عبدالرحمن بن عبدالمحسن ناصر</v>
      </c>
      <c r="N388" s="1" t="str">
        <f t="shared" si="8"/>
        <v>هالة bin عبدالرحمن bin عبدالمحسن Al-ناصر</v>
      </c>
      <c r="O388" s="1" t="str">
        <f t="shared" ca="1" si="9"/>
        <v/>
      </c>
      <c r="P388" s="1">
        <f t="shared" si="10"/>
        <v>0</v>
      </c>
      <c r="Q388" s="1"/>
      <c r="R388" s="1"/>
      <c r="S388" s="1" t="str">
        <f t="shared" si="11"/>
        <v>Living</v>
      </c>
    </row>
    <row r="389" spans="1:19" ht="15.75" hidden="1" customHeight="1" x14ac:dyDescent="0.2">
      <c r="A389" s="1" t="str">
        <f t="shared" si="6"/>
        <v>P388</v>
      </c>
      <c r="B389" s="1" t="s">
        <v>338</v>
      </c>
      <c r="C389" s="1" t="s">
        <v>105</v>
      </c>
      <c r="D389" s="1" t="s">
        <v>104</v>
      </c>
      <c r="E389" s="1" t="s">
        <v>102</v>
      </c>
      <c r="F389" s="1" t="s">
        <v>336</v>
      </c>
      <c r="G389" s="1" t="s">
        <v>132</v>
      </c>
      <c r="H389" s="1"/>
      <c r="I389" s="1"/>
      <c r="J389" s="1"/>
      <c r="K389" s="1">
        <f>IF(F389="",1,IFERROR(VLOOKUP(F389,A:K,11,FALSE)+1,1))</f>
        <v>6</v>
      </c>
      <c r="L389" s="1" t="str">
        <f>IF(F389="","الأصل",IF(VLOOKUP(F389,A:L,12,FALSE)="الأصل","الفرع "&amp;K389-1,VLOOKUP(F389,A:L,12,FALSE)))</f>
        <v>الابراهيم</v>
      </c>
      <c r="M389" s="1" t="str">
        <f t="shared" si="7"/>
        <v>تهاني بن عبدالرحمن بن عبدالمحسن ناصر</v>
      </c>
      <c r="N389" s="1" t="str">
        <f t="shared" si="8"/>
        <v>تهاني bin عبدالرحمن bin عبدالمحسن Al-ناصر</v>
      </c>
      <c r="O389" s="1" t="str">
        <f t="shared" ca="1" si="9"/>
        <v/>
      </c>
      <c r="P389" s="1">
        <f t="shared" si="10"/>
        <v>0</v>
      </c>
      <c r="Q389" s="1"/>
      <c r="R389" s="1"/>
      <c r="S389" s="1" t="str">
        <f t="shared" si="11"/>
        <v>Living</v>
      </c>
    </row>
    <row r="390" spans="1:19" ht="15.75" customHeight="1" x14ac:dyDescent="0.2">
      <c r="A390" s="1" t="str">
        <f t="shared" si="6"/>
        <v>P389</v>
      </c>
      <c r="B390" s="1" t="s">
        <v>27</v>
      </c>
      <c r="C390" s="1" t="s">
        <v>111</v>
      </c>
      <c r="D390" s="1" t="s">
        <v>119</v>
      </c>
      <c r="E390" s="1" t="s">
        <v>96</v>
      </c>
      <c r="F390" s="1" t="s">
        <v>319</v>
      </c>
      <c r="G390" s="1" t="s">
        <v>35</v>
      </c>
      <c r="H390" s="1"/>
      <c r="I390" s="1"/>
      <c r="J390" s="1"/>
      <c r="K390" s="1">
        <f>IF(F390="",1,IFERROR(VLOOKUP(F390,A:K,11,FALSE)+1,1))</f>
        <v>7</v>
      </c>
      <c r="L390" s="1" t="str">
        <f>IF(F390="","الأصل",IF(VLOOKUP(F390,A:L,12,FALSE)="الأصل","الفرع "&amp;K390-1,VLOOKUP(F390,A:L,12,FALSE)))</f>
        <v>العبدالكريم</v>
      </c>
      <c r="M390" s="1" t="str">
        <f t="shared" si="7"/>
        <v>ابراهيم بن فهد بن عبدالله عبدالكريم</v>
      </c>
      <c r="N390" s="1" t="str">
        <f t="shared" si="8"/>
        <v>ابراهيم bin فهد bin عبدالله Al-عبدالكريم</v>
      </c>
      <c r="O390" s="1" t="str">
        <f t="shared" ca="1" si="9"/>
        <v/>
      </c>
      <c r="P390" s="1">
        <f t="shared" si="10"/>
        <v>0</v>
      </c>
      <c r="Q390" s="1"/>
      <c r="R390" s="1"/>
      <c r="S390" s="1" t="str">
        <f t="shared" si="11"/>
        <v>Living</v>
      </c>
    </row>
    <row r="391" spans="1:19" ht="15.75" customHeight="1" x14ac:dyDescent="0.2"/>
    <row r="392" spans="1:19" ht="15.75" customHeight="1" x14ac:dyDescent="0.2"/>
    <row r="393" spans="1:19" ht="15.75" customHeight="1" x14ac:dyDescent="0.2"/>
    <row r="394" spans="1:19" ht="15.75" customHeight="1" x14ac:dyDescent="0.2"/>
    <row r="395" spans="1:19" ht="15.75" customHeight="1" x14ac:dyDescent="0.2"/>
    <row r="396" spans="1:19" ht="15.75" customHeight="1" x14ac:dyDescent="0.2"/>
    <row r="397" spans="1:19" ht="15.75" customHeight="1" x14ac:dyDescent="0.2"/>
    <row r="398" spans="1:19" ht="15.75" customHeight="1" x14ac:dyDescent="0.2"/>
    <row r="399" spans="1:19" ht="15.75" customHeight="1" x14ac:dyDescent="0.2"/>
    <row r="400" spans="1:19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</sheetData>
  <autoFilter ref="A1:N390" xr:uid="{00000000-0009-0000-0000-000003000000}">
    <filterColumn colId="11">
      <filters>
        <filter val="العبدالكريم"/>
        <filter val="الأصل"/>
      </filters>
    </filterColumn>
  </autoFilter>
  <conditionalFormatting sqref="A2:S390">
    <cfRule type="expression" dxfId="2" priority="1">
      <formula>$G2="Male"</formula>
    </cfRule>
    <cfRule type="expression" dxfId="1" priority="2">
      <formula>$G2="Female"</formula>
    </cfRule>
  </conditionalFormatting>
  <conditionalFormatting sqref="C5:C33 D7:D33 E11:E33 C35:E38 D154:D234 C154:C318 E156:E234 D236:D269 E238:E269 D271:D318 E274:E318 C320:C390 D323:D390 E328:E353 E357:E390 B2:B390">
    <cfRule type="expression" dxfId="0" priority="3">
      <formula>$K2=1</formula>
    </cfRule>
  </conditionalFormatting>
  <dataValidations count="1">
    <dataValidation type="list" allowBlank="1" showDropDown="1" sqref="G2:G390" xr:uid="{00000000-0002-0000-0300-000000000000}">
      <formula1>"Male,Female"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V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2" ht="30" customHeight="1" x14ac:dyDescent="0.2">
      <c r="A1" s="71" t="s">
        <v>339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3" spans="1:22" ht="16" x14ac:dyDescent="0.2">
      <c r="B3" s="24" t="s">
        <v>340</v>
      </c>
      <c r="F3" s="24" t="s">
        <v>341</v>
      </c>
      <c r="J3" s="24" t="s">
        <v>342</v>
      </c>
      <c r="N3" s="24" t="s">
        <v>343</v>
      </c>
      <c r="R3" s="24" t="s">
        <v>344</v>
      </c>
      <c r="V3" s="24" t="s">
        <v>345</v>
      </c>
    </row>
    <row r="5" spans="1:22" x14ac:dyDescent="0.2">
      <c r="B5" s="72" t="str">
        <f t="array" ref="B5">IF(COUNTIF(REGISTRY!K:K,1)&gt;0,INDEX(REGISTRY!M:M,MATCH(1,REGISTRY!K:K,0)),"No Root")</f>
        <v>حمد ال شايع</v>
      </c>
      <c r="C5" s="73"/>
      <c r="D5" s="40"/>
    </row>
    <row r="6" spans="1:22" x14ac:dyDescent="0.2">
      <c r="B6" s="41"/>
      <c r="C6" s="74"/>
      <c r="D6" s="42"/>
    </row>
    <row r="8" spans="1:22" x14ac:dyDescent="0.2">
      <c r="F8" s="75" t="str">
        <f t="array" ref="F8">IFERROR(INDEX(REGISTRY!M:M,SMALL(IF(REGISTRY!K:K=2,ROW(REGISTRY!K:K)),1)),"")</f>
        <v xml:space="preserve">ابراهيم بن حمد بن - </v>
      </c>
      <c r="G8" s="57"/>
      <c r="H8" s="58"/>
    </row>
    <row r="9" spans="1:22" x14ac:dyDescent="0.2">
      <c r="F9" s="61"/>
      <c r="G9" s="62"/>
      <c r="H9" s="63"/>
    </row>
    <row r="12" spans="1:22" x14ac:dyDescent="0.2">
      <c r="F12" s="75" t="str">
        <f t="array" ref="F12">IFERROR(INDEX(REGISTRY!M:M,SMALL(IF(REGISTRY!K:K=2,ROW(REGISTRY!K:K)),2)),"")</f>
        <v xml:space="preserve">عبدالكريم بن حمد بن - </v>
      </c>
      <c r="G12" s="57"/>
      <c r="H12" s="58"/>
    </row>
    <row r="13" spans="1:22" x14ac:dyDescent="0.2">
      <c r="F13" s="61"/>
      <c r="G13" s="62"/>
      <c r="H13" s="63"/>
    </row>
    <row r="16" spans="1:22" x14ac:dyDescent="0.2">
      <c r="F16" s="75" t="str">
        <f t="array" ref="F16">IFERROR(INDEX(REGISTRY!M:M,SMALL(IF(REGISTRY!K:K=2,ROW(REGISTRY!K:K)),3)),"")</f>
        <v xml:space="preserve">فوزان بن حمد بن - </v>
      </c>
      <c r="G16" s="57"/>
      <c r="H16" s="58"/>
    </row>
    <row r="17" spans="6:8" x14ac:dyDescent="0.2">
      <c r="F17" s="61"/>
      <c r="G17" s="62"/>
      <c r="H17" s="63"/>
    </row>
    <row r="20" spans="6:8" x14ac:dyDescent="0.2">
      <c r="F20" s="75" t="str">
        <f t="array" ref="F20">IFERROR(INDEX(REGISTRY!M:M,SMALL(IF(REGISTRY!K:K=2,ROW(REGISTRY!K:K)),4)),"")</f>
        <v/>
      </c>
      <c r="G20" s="57"/>
      <c r="H20" s="58"/>
    </row>
    <row r="21" spans="6:8" ht="15.75" customHeight="1" x14ac:dyDescent="0.2">
      <c r="F21" s="61"/>
      <c r="G21" s="62"/>
      <c r="H21" s="63"/>
    </row>
    <row r="22" spans="6:8" ht="15.75" customHeight="1" x14ac:dyDescent="0.2"/>
    <row r="23" spans="6:8" ht="15.75" customHeight="1" x14ac:dyDescent="0.2"/>
    <row r="24" spans="6:8" ht="15.75" customHeight="1" x14ac:dyDescent="0.2">
      <c r="F24" s="75" t="str">
        <f t="array" ref="F24">IFERROR(INDEX(REGISTRY!M:M,SMALL(IF(REGISTRY!K:K=2,ROW(REGISTRY!K:K)),5)),"")</f>
        <v/>
      </c>
      <c r="G24" s="57"/>
      <c r="H24" s="58"/>
    </row>
    <row r="25" spans="6:8" ht="15.75" customHeight="1" x14ac:dyDescent="0.2">
      <c r="F25" s="61"/>
      <c r="G25" s="62"/>
      <c r="H25" s="63"/>
    </row>
    <row r="26" spans="6:8" ht="15.75" customHeight="1" x14ac:dyDescent="0.2"/>
    <row r="27" spans="6:8" ht="15.75" customHeight="1" x14ac:dyDescent="0.2"/>
    <row r="28" spans="6:8" ht="15.75" customHeight="1" x14ac:dyDescent="0.2"/>
    <row r="29" spans="6:8" ht="15.75" customHeight="1" x14ac:dyDescent="0.2"/>
    <row r="30" spans="6:8" ht="15.75" customHeight="1" x14ac:dyDescent="0.2"/>
    <row r="31" spans="6:8" ht="15.75" customHeight="1" x14ac:dyDescent="0.2"/>
    <row r="32" spans="6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F20:H21"/>
    <mergeCell ref="F24:H25"/>
    <mergeCell ref="A1:V1"/>
    <mergeCell ref="B5:D6"/>
    <mergeCell ref="F8:H9"/>
    <mergeCell ref="F12:H13"/>
    <mergeCell ref="F16:H17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E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5" x14ac:dyDescent="0.2">
      <c r="A1" s="25" t="s">
        <v>76</v>
      </c>
      <c r="B1" s="25" t="s">
        <v>346</v>
      </c>
      <c r="C1" s="25" t="s">
        <v>53</v>
      </c>
      <c r="D1" s="25" t="s">
        <v>89</v>
      </c>
      <c r="E1" s="25" t="s">
        <v>58</v>
      </c>
    </row>
    <row r="2" spans="1:5" x14ac:dyDescent="0.2">
      <c r="A2" s="1" t="str">
        <f>IF(REGISTRY!G2="Male",REGISTRY!A2,"")</f>
        <v/>
      </c>
      <c r="B2" s="1" t="str">
        <f>IF(REGISTRY!G2="Male",REGISTRY!M2,"")</f>
        <v/>
      </c>
      <c r="C2" s="1" t="str">
        <f>IF(REGISTRY!G2="Male",REGISTRY!K2,"")</f>
        <v/>
      </c>
      <c r="D2" s="1" t="str">
        <f>IF(REGISTRY!G2="Male",REGISTRY!P2,"")</f>
        <v/>
      </c>
      <c r="E2" s="1" t="str">
        <f>IF(REGISTRY!G2="Male",REGISTRY!L2,"")</f>
        <v/>
      </c>
    </row>
    <row r="3" spans="1:5" x14ac:dyDescent="0.2">
      <c r="A3" s="1" t="str">
        <f>IF(REGISTRY!G3="Male",REGISTRY!A3,"")</f>
        <v>P002</v>
      </c>
      <c r="B3" s="1" t="str">
        <f>IF(REGISTRY!G3="Male",REGISTRY!M3,"")</f>
        <v xml:space="preserve">ابراهيم بن حمد بن - </v>
      </c>
      <c r="C3" s="1">
        <f>IF(REGISTRY!G3="Male",REGISTRY!K3,"")</f>
        <v>2</v>
      </c>
      <c r="D3" s="1">
        <f>IF(REGISTRY!G3="Male",REGISTRY!P3,"")</f>
        <v>0</v>
      </c>
      <c r="E3" s="1" t="str">
        <f>IF(REGISTRY!G3="Male",REGISTRY!L3,"")</f>
        <v>الابراهيم</v>
      </c>
    </row>
    <row r="4" spans="1:5" x14ac:dyDescent="0.2">
      <c r="A4" s="1" t="str">
        <f>IF(REGISTRY!G4="Male",REGISTRY!A4,"")</f>
        <v>P003</v>
      </c>
      <c r="B4" s="1" t="str">
        <f>IF(REGISTRY!G4="Male",REGISTRY!M4,"")</f>
        <v xml:space="preserve">عبدالكريم بن حمد بن - </v>
      </c>
      <c r="C4" s="1">
        <f>IF(REGISTRY!G4="Male",REGISTRY!K4,"")</f>
        <v>2</v>
      </c>
      <c r="D4" s="1">
        <f>IF(REGISTRY!G4="Male",REGISTRY!P4,"")</f>
        <v>0</v>
      </c>
      <c r="E4" s="1" t="str">
        <f>IF(REGISTRY!G4="Male",REGISTRY!L4,"")</f>
        <v>العبدالكريم</v>
      </c>
    </row>
    <row r="5" spans="1:5" x14ac:dyDescent="0.2">
      <c r="A5" s="1" t="str">
        <f>IF(REGISTRY!G5="Male",REGISTRY!A5,"")</f>
        <v>P004</v>
      </c>
      <c r="B5" s="1" t="str">
        <f>IF(REGISTRY!G5="Male",REGISTRY!M5,"")</f>
        <v xml:space="preserve">فوزان بن حمد بن - </v>
      </c>
      <c r="C5" s="1">
        <f>IF(REGISTRY!G5="Male",REGISTRY!K5,"")</f>
        <v>2</v>
      </c>
      <c r="D5" s="1">
        <f>IF(REGISTRY!G5="Male",REGISTRY!P5,"")</f>
        <v>0</v>
      </c>
      <c r="E5" s="1" t="str">
        <f>IF(REGISTRY!G5="Male",REGISTRY!L5,"")</f>
        <v>الفوزان</v>
      </c>
    </row>
    <row r="6" spans="1:5" x14ac:dyDescent="0.2">
      <c r="A6" s="1" t="str">
        <f>IF(REGISTRY!G6="Male",REGISTRY!A6,"")</f>
        <v>P005</v>
      </c>
      <c r="B6" s="1" t="str">
        <f>IF(REGISTRY!G6="Male",REGISTRY!M6,"")</f>
        <v xml:space="preserve">محمد بن ابراهيم بن حمد </v>
      </c>
      <c r="C6" s="1">
        <f>IF(REGISTRY!G6="Male",REGISTRY!K6,"")</f>
        <v>3</v>
      </c>
      <c r="D6" s="1">
        <f>IF(REGISTRY!G6="Male",REGISTRY!P6,"")</f>
        <v>0</v>
      </c>
      <c r="E6" s="1" t="str">
        <f>IF(REGISTRY!G6="Male",REGISTRY!L6,"")</f>
        <v>الابراهيم</v>
      </c>
    </row>
    <row r="7" spans="1:5" x14ac:dyDescent="0.2">
      <c r="A7" s="1" t="str">
        <f>IF(REGISTRY!G7="Male",REGISTRY!A7,"")</f>
        <v>P006</v>
      </c>
      <c r="B7" s="1" t="str">
        <f>IF(REGISTRY!G7="Male",REGISTRY!M7,"")</f>
        <v xml:space="preserve">ناصر بن ابراهيم بن حمد </v>
      </c>
      <c r="C7" s="1">
        <f>IF(REGISTRY!G7="Male",REGISTRY!K7,"")</f>
        <v>3</v>
      </c>
      <c r="D7" s="1">
        <f>IF(REGISTRY!G7="Male",REGISTRY!P7,"")</f>
        <v>0</v>
      </c>
      <c r="E7" s="1" t="str">
        <f>IF(REGISTRY!G7="Male",REGISTRY!L7,"")</f>
        <v>الابراهيم</v>
      </c>
    </row>
    <row r="8" spans="1:5" x14ac:dyDescent="0.2">
      <c r="A8" s="1" t="str">
        <f>IF(REGISTRY!G8="Male",REGISTRY!A8,"")</f>
        <v>P007</v>
      </c>
      <c r="B8" s="1" t="str">
        <f>IF(REGISTRY!G8="Male",REGISTRY!M8,"")</f>
        <v>ابراهيم بن محمد بن ابراهيم حمد</v>
      </c>
      <c r="C8" s="1">
        <f>IF(REGISTRY!G8="Male",REGISTRY!K8,"")</f>
        <v>4</v>
      </c>
      <c r="D8" s="1">
        <f>IF(REGISTRY!G8="Male",REGISTRY!P8,"")</f>
        <v>0</v>
      </c>
      <c r="E8" s="1" t="str">
        <f>IF(REGISTRY!G8="Male",REGISTRY!L8,"")</f>
        <v>الابراهيم</v>
      </c>
    </row>
    <row r="9" spans="1:5" x14ac:dyDescent="0.2">
      <c r="A9" s="1" t="str">
        <f>IF(REGISTRY!G9="Male",REGISTRY!A9,"")</f>
        <v>P008</v>
      </c>
      <c r="B9" s="1" t="str">
        <f>IF(REGISTRY!G9="Male",REGISTRY!M9,"")</f>
        <v>عبدالمحسن بن محمد بن ابراهيم حمد</v>
      </c>
      <c r="C9" s="1">
        <f>IF(REGISTRY!G9="Male",REGISTRY!K9,"")</f>
        <v>4</v>
      </c>
      <c r="D9" s="1">
        <f>IF(REGISTRY!G9="Male",REGISTRY!P9,"")</f>
        <v>0</v>
      </c>
      <c r="E9" s="1" t="str">
        <f>IF(REGISTRY!G9="Male",REGISTRY!L9,"")</f>
        <v>الابراهيم</v>
      </c>
    </row>
    <row r="10" spans="1:5" x14ac:dyDescent="0.2">
      <c r="A10" s="1" t="str">
        <f>IF(REGISTRY!G10="Male",REGISTRY!A10,"")</f>
        <v>P009</v>
      </c>
      <c r="B10" s="1" t="str">
        <f>IF(REGISTRY!G10="Male",REGISTRY!M10,"")</f>
        <v>عبدالرحمن بن محمد بن ابراهيم حمد</v>
      </c>
      <c r="C10" s="1">
        <f>IF(REGISTRY!G10="Male",REGISTRY!K10,"")</f>
        <v>4</v>
      </c>
      <c r="D10" s="1">
        <f>IF(REGISTRY!G10="Male",REGISTRY!P10,"")</f>
        <v>0</v>
      </c>
      <c r="E10" s="1" t="str">
        <f>IF(REGISTRY!G10="Male",REGISTRY!L10,"")</f>
        <v>الابراهيم</v>
      </c>
    </row>
    <row r="11" spans="1:5" x14ac:dyDescent="0.2">
      <c r="A11" s="1" t="str">
        <f>IF(REGISTRY!G11="Male",REGISTRY!A11,"")</f>
        <v>P010</v>
      </c>
      <c r="B11" s="1" t="str">
        <f>IF(REGISTRY!G11="Male",REGISTRY!M11,"")</f>
        <v>عبدالمحسن بن ناصر بن ابراهيم حمد</v>
      </c>
      <c r="C11" s="1">
        <f>IF(REGISTRY!G11="Male",REGISTRY!K11,"")</f>
        <v>4</v>
      </c>
      <c r="D11" s="1">
        <f>IF(REGISTRY!G11="Male",REGISTRY!P11,"")</f>
        <v>0</v>
      </c>
      <c r="E11" s="1" t="str">
        <f>IF(REGISTRY!G11="Male",REGISTRY!L11,"")</f>
        <v>الابراهيم</v>
      </c>
    </row>
    <row r="12" spans="1:5" x14ac:dyDescent="0.2">
      <c r="A12" s="1" t="str">
        <f>IF(REGISTRY!G12="Male",REGISTRY!A12,"")</f>
        <v>P011</v>
      </c>
      <c r="B12" s="1" t="str">
        <f>IF(REGISTRY!G12="Male",REGISTRY!M12,"")</f>
        <v>ابراهيم بن ناصر بن ابراهيم حمد</v>
      </c>
      <c r="C12" s="1">
        <f>IF(REGISTRY!G12="Male",REGISTRY!K12,"")</f>
        <v>4</v>
      </c>
      <c r="D12" s="1">
        <f>IF(REGISTRY!G12="Male",REGISTRY!P12,"")</f>
        <v>0</v>
      </c>
      <c r="E12" s="1" t="str">
        <f>IF(REGISTRY!G12="Male",REGISTRY!L12,"")</f>
        <v>الابراهيم</v>
      </c>
    </row>
    <row r="13" spans="1:5" x14ac:dyDescent="0.2">
      <c r="A13" s="1" t="str">
        <f>IF(REGISTRY!G13="Male",REGISTRY!A13,"")</f>
        <v>P012</v>
      </c>
      <c r="B13" s="1" t="str">
        <f>IF(REGISTRY!G13="Male",REGISTRY!M13,"")</f>
        <v>ناصر بن ابراهيم بن ناصر ابراهيم</v>
      </c>
      <c r="C13" s="1">
        <f>IF(REGISTRY!G13="Male",REGISTRY!K13,"")</f>
        <v>5</v>
      </c>
      <c r="D13" s="1">
        <f>IF(REGISTRY!G13="Male",REGISTRY!P13,"")</f>
        <v>0</v>
      </c>
      <c r="E13" s="1" t="str">
        <f>IF(REGISTRY!G13="Male",REGISTRY!L13,"")</f>
        <v>الابراهيم</v>
      </c>
    </row>
    <row r="14" spans="1:5" x14ac:dyDescent="0.2">
      <c r="A14" s="1" t="str">
        <f>IF(REGISTRY!G14="Male",REGISTRY!A14,"")</f>
        <v>P013</v>
      </c>
      <c r="B14" s="1" t="str">
        <f>IF(REGISTRY!G14="Male",REGISTRY!M14,"")</f>
        <v>عبدالرحمن بن ابراهيم بن ناصر ابراهيم</v>
      </c>
      <c r="C14" s="1">
        <f>IF(REGISTRY!G14="Male",REGISTRY!K14,"")</f>
        <v>5</v>
      </c>
      <c r="D14" s="1">
        <f>IF(REGISTRY!G14="Male",REGISTRY!P14,"")</f>
        <v>0</v>
      </c>
      <c r="E14" s="1" t="str">
        <f>IF(REGISTRY!G14="Male",REGISTRY!L14,"")</f>
        <v>الابراهيم</v>
      </c>
    </row>
    <row r="15" spans="1:5" x14ac:dyDescent="0.2">
      <c r="A15" s="1" t="str">
        <f>IF(REGISTRY!G15="Male",REGISTRY!A15,"")</f>
        <v>P014</v>
      </c>
      <c r="B15" s="1" t="str">
        <f>IF(REGISTRY!G15="Male",REGISTRY!M15,"")</f>
        <v>عبدالكريم بن ابراهيم بن ناصر ابراهيم</v>
      </c>
      <c r="C15" s="1">
        <f>IF(REGISTRY!G15="Male",REGISTRY!K15,"")</f>
        <v>5</v>
      </c>
      <c r="D15" s="1">
        <f>IF(REGISTRY!G15="Male",REGISTRY!P15,"")</f>
        <v>0</v>
      </c>
      <c r="E15" s="1" t="str">
        <f>IF(REGISTRY!G15="Male",REGISTRY!L15,"")</f>
        <v>الابراهيم</v>
      </c>
    </row>
    <row r="16" spans="1:5" x14ac:dyDescent="0.2">
      <c r="A16" s="1" t="str">
        <f>IF(REGISTRY!G16="Male",REGISTRY!A16,"")</f>
        <v>P015</v>
      </c>
      <c r="B16" s="1" t="str">
        <f>IF(REGISTRY!G16="Male",REGISTRY!M16,"")</f>
        <v>عبدالعزيز بن ابراهيم بن ناصر ابراهيم</v>
      </c>
      <c r="C16" s="1">
        <f>IF(REGISTRY!G16="Male",REGISTRY!K16,"")</f>
        <v>5</v>
      </c>
      <c r="D16" s="1">
        <f>IF(REGISTRY!G16="Male",REGISTRY!P16,"")</f>
        <v>0</v>
      </c>
      <c r="E16" s="1" t="str">
        <f>IF(REGISTRY!G16="Male",REGISTRY!L16,"")</f>
        <v>الابراهيم</v>
      </c>
    </row>
    <row r="17" spans="1:5" x14ac:dyDescent="0.2">
      <c r="A17" s="1" t="str">
        <f>IF(REGISTRY!G17="Male",REGISTRY!A17,"")</f>
        <v>P016</v>
      </c>
      <c r="B17" s="1" t="str">
        <f>IF(REGISTRY!G17="Male",REGISTRY!M17,"")</f>
        <v>محمد بن ناصر بن ابراهيم ناصر</v>
      </c>
      <c r="C17" s="1">
        <f>IF(REGISTRY!G17="Male",REGISTRY!K17,"")</f>
        <v>6</v>
      </c>
      <c r="D17" s="1">
        <f>IF(REGISTRY!G17="Male",REGISTRY!P17,"")</f>
        <v>0</v>
      </c>
      <c r="E17" s="1" t="str">
        <f>IF(REGISTRY!G17="Male",REGISTRY!L17,"")</f>
        <v>الابراهيم</v>
      </c>
    </row>
    <row r="18" spans="1:5" x14ac:dyDescent="0.2">
      <c r="A18" s="1" t="str">
        <f>IF(REGISTRY!G18="Male",REGISTRY!A18,"")</f>
        <v>P017</v>
      </c>
      <c r="B18" s="1" t="str">
        <f>IF(REGISTRY!G18="Male",REGISTRY!M18,"")</f>
        <v>ابراهيم بن ناصر بن ابراهيم ناصر</v>
      </c>
      <c r="C18" s="1">
        <f>IF(REGISTRY!G18="Male",REGISTRY!K18,"")</f>
        <v>6</v>
      </c>
      <c r="D18" s="1">
        <f>IF(REGISTRY!G18="Male",REGISTRY!P18,"")</f>
        <v>0</v>
      </c>
      <c r="E18" s="1" t="str">
        <f>IF(REGISTRY!G18="Male",REGISTRY!L18,"")</f>
        <v>الابراهيم</v>
      </c>
    </row>
    <row r="19" spans="1:5" x14ac:dyDescent="0.2">
      <c r="A19" s="1" t="str">
        <f>IF(REGISTRY!G19="Male",REGISTRY!A19,"")</f>
        <v>P018</v>
      </c>
      <c r="B19" s="1" t="str">
        <f>IF(REGISTRY!G19="Male",REGISTRY!M19,"")</f>
        <v>سعد بن ناصر بن ابراهيم ناصر</v>
      </c>
      <c r="C19" s="1">
        <f>IF(REGISTRY!G19="Male",REGISTRY!K19,"")</f>
        <v>6</v>
      </c>
      <c r="D19" s="1">
        <f>IF(REGISTRY!G19="Male",REGISTRY!P19,"")</f>
        <v>0</v>
      </c>
      <c r="E19" s="1" t="str">
        <f>IF(REGISTRY!G19="Male",REGISTRY!L19,"")</f>
        <v>الابراهيم</v>
      </c>
    </row>
    <row r="20" spans="1:5" x14ac:dyDescent="0.2">
      <c r="A20" s="1" t="str">
        <f>IF(REGISTRY!G20="Male",REGISTRY!A20,"")</f>
        <v>P019</v>
      </c>
      <c r="B20" s="1" t="str">
        <f>IF(REGISTRY!G20="Male",REGISTRY!M20,"")</f>
        <v>فهد بن ناصر بن ابراهيم ناصر</v>
      </c>
      <c r="C20" s="1">
        <f>IF(REGISTRY!G20="Male",REGISTRY!K20,"")</f>
        <v>6</v>
      </c>
      <c r="D20" s="1">
        <f>IF(REGISTRY!G20="Male",REGISTRY!P20,"")</f>
        <v>0</v>
      </c>
      <c r="E20" s="1" t="str">
        <f>IF(REGISTRY!G20="Male",REGISTRY!L20,"")</f>
        <v>الابراهيم</v>
      </c>
    </row>
    <row r="21" spans="1:5" ht="15.75" customHeight="1" x14ac:dyDescent="0.2">
      <c r="A21" s="1" t="str">
        <f>IF(REGISTRY!G21="Male",REGISTRY!A21,"")</f>
        <v>P020</v>
      </c>
      <c r="B21" s="1" t="str">
        <f>IF(REGISTRY!G21="Male",REGISTRY!M21,"")</f>
        <v>خالد بن ناصر بن ابراهيم ناصر</v>
      </c>
      <c r="C21" s="1">
        <f>IF(REGISTRY!G21="Male",REGISTRY!K21,"")</f>
        <v>6</v>
      </c>
      <c r="D21" s="1">
        <f>IF(REGISTRY!G21="Male",REGISTRY!P21,"")</f>
        <v>0</v>
      </c>
      <c r="E21" s="1" t="str">
        <f>IF(REGISTRY!G21="Male",REGISTRY!L21,"")</f>
        <v>الابراهيم</v>
      </c>
    </row>
    <row r="22" spans="1:5" ht="15.75" customHeight="1" x14ac:dyDescent="0.2">
      <c r="A22" s="1" t="str">
        <f>IF(REGISTRY!G22="Male",REGISTRY!A22,"")</f>
        <v>P021</v>
      </c>
      <c r="B22" s="1" t="str">
        <f>IF(REGISTRY!G22="Male",REGISTRY!M22,"")</f>
        <v>شايع بن ناصر بن ابراهيم ناصر</v>
      </c>
      <c r="C22" s="1">
        <f>IF(REGISTRY!G22="Male",REGISTRY!K22,"")</f>
        <v>6</v>
      </c>
      <c r="D22" s="1">
        <f>IF(REGISTRY!G22="Male",REGISTRY!P22,"")</f>
        <v>0</v>
      </c>
      <c r="E22" s="1" t="str">
        <f>IF(REGISTRY!G22="Male",REGISTRY!L22,"")</f>
        <v>الابراهيم</v>
      </c>
    </row>
    <row r="23" spans="1:5" ht="15.75" customHeight="1" x14ac:dyDescent="0.2">
      <c r="A23" s="1" t="str">
        <f>IF(REGISTRY!G23="Male",REGISTRY!A23,"")</f>
        <v>P022</v>
      </c>
      <c r="B23" s="1" t="str">
        <f>IF(REGISTRY!G23="Male",REGISTRY!M23,"")</f>
        <v>خالد بن محمد بن ناصر ابراهيم</v>
      </c>
      <c r="C23" s="1">
        <f>IF(REGISTRY!G23="Male",REGISTRY!K23,"")</f>
        <v>7</v>
      </c>
      <c r="D23" s="1">
        <f>IF(REGISTRY!G23="Male",REGISTRY!P23,"")</f>
        <v>0</v>
      </c>
      <c r="E23" s="1" t="str">
        <f>IF(REGISTRY!G23="Male",REGISTRY!L23,"")</f>
        <v>الابراهيم</v>
      </c>
    </row>
    <row r="24" spans="1:5" ht="15.75" customHeight="1" x14ac:dyDescent="0.2">
      <c r="A24" s="1" t="str">
        <f>IF(REGISTRY!G24="Male",REGISTRY!A24,"")</f>
        <v>P023</v>
      </c>
      <c r="B24" s="1" t="str">
        <f>IF(REGISTRY!G24="Male",REGISTRY!M24,"")</f>
        <v>وليد بن محمد بن ناصر ابراهيم</v>
      </c>
      <c r="C24" s="1">
        <f>IF(REGISTRY!G24="Male",REGISTRY!K24,"")</f>
        <v>7</v>
      </c>
      <c r="D24" s="1">
        <f>IF(REGISTRY!G24="Male",REGISTRY!P24,"")</f>
        <v>0</v>
      </c>
      <c r="E24" s="1" t="str">
        <f>IF(REGISTRY!G24="Male",REGISTRY!L24,"")</f>
        <v>الابراهيم</v>
      </c>
    </row>
    <row r="25" spans="1:5" ht="15.75" customHeight="1" x14ac:dyDescent="0.2">
      <c r="A25" s="1" t="str">
        <f>IF(REGISTRY!G25="Male",REGISTRY!A25,"")</f>
        <v>P024</v>
      </c>
      <c r="B25" s="1" t="str">
        <f>IF(REGISTRY!G25="Male",REGISTRY!M25,"")</f>
        <v>عبدالعزيز بن محمد بن ناصر ابراهيم</v>
      </c>
      <c r="C25" s="1">
        <f>IF(REGISTRY!G25="Male",REGISTRY!K25,"")</f>
        <v>7</v>
      </c>
      <c r="D25" s="1">
        <f>IF(REGISTRY!G25="Male",REGISTRY!P25,"")</f>
        <v>0</v>
      </c>
      <c r="E25" s="1" t="str">
        <f>IF(REGISTRY!G25="Male",REGISTRY!L25,"")</f>
        <v>الابراهيم</v>
      </c>
    </row>
    <row r="26" spans="1:5" ht="15.75" customHeight="1" x14ac:dyDescent="0.2">
      <c r="A26" s="1" t="str">
        <f>IF(REGISTRY!G26="Male",REGISTRY!A26,"")</f>
        <v>P025</v>
      </c>
      <c r="B26" s="1" t="str">
        <f>IF(REGISTRY!G26="Male",REGISTRY!M26,"")</f>
        <v>فيصل بن محمد بن ناصر ابراهيم</v>
      </c>
      <c r="C26" s="1">
        <f>IF(REGISTRY!G26="Male",REGISTRY!K26,"")</f>
        <v>7</v>
      </c>
      <c r="D26" s="1">
        <f>IF(REGISTRY!G26="Male",REGISTRY!P26,"")</f>
        <v>0</v>
      </c>
      <c r="E26" s="1" t="str">
        <f>IF(REGISTRY!G26="Male",REGISTRY!L26,"")</f>
        <v>الابراهيم</v>
      </c>
    </row>
    <row r="27" spans="1:5" ht="15.75" customHeight="1" x14ac:dyDescent="0.2">
      <c r="A27" s="1" t="str">
        <f>IF(REGISTRY!G27="Male",REGISTRY!A27,"")</f>
        <v>P026</v>
      </c>
      <c r="B27" s="1" t="str">
        <f>IF(REGISTRY!G27="Male",REGISTRY!M27,"")</f>
        <v>يزيد بن ابراهيم بن ناصر ابراهيم</v>
      </c>
      <c r="C27" s="1">
        <f>IF(REGISTRY!G27="Male",REGISTRY!K27,"")</f>
        <v>7</v>
      </c>
      <c r="D27" s="1">
        <f>IF(REGISTRY!G27="Male",REGISTRY!P27,"")</f>
        <v>0</v>
      </c>
      <c r="E27" s="1" t="str">
        <f>IF(REGISTRY!G27="Male",REGISTRY!L27,"")</f>
        <v>الابراهيم</v>
      </c>
    </row>
    <row r="28" spans="1:5" ht="15.75" customHeight="1" x14ac:dyDescent="0.2">
      <c r="A28" s="1" t="str">
        <f>IF(REGISTRY!G28="Male",REGISTRY!A28,"")</f>
        <v>P027</v>
      </c>
      <c r="B28" s="1" t="str">
        <f>IF(REGISTRY!G28="Male",REGISTRY!M28,"")</f>
        <v>ناصر بن ابراهيم بن ناصر ابراهيم</v>
      </c>
      <c r="C28" s="1">
        <f>IF(REGISTRY!G28="Male",REGISTRY!K28,"")</f>
        <v>7</v>
      </c>
      <c r="D28" s="1">
        <f>IF(REGISTRY!G28="Male",REGISTRY!P28,"")</f>
        <v>0</v>
      </c>
      <c r="E28" s="1" t="str">
        <f>IF(REGISTRY!G28="Male",REGISTRY!L28,"")</f>
        <v>الابراهيم</v>
      </c>
    </row>
    <row r="29" spans="1:5" ht="15.75" customHeight="1" x14ac:dyDescent="0.2">
      <c r="A29" s="1" t="str">
        <f>IF(REGISTRY!G29="Male",REGISTRY!A29,"")</f>
        <v>P028</v>
      </c>
      <c r="B29" s="1" t="str">
        <f>IF(REGISTRY!G29="Male",REGISTRY!M29,"")</f>
        <v>عبدالعزيز بن ابراهيم بن ناصر ابراهيم</v>
      </c>
      <c r="C29" s="1">
        <f>IF(REGISTRY!G29="Male",REGISTRY!K29,"")</f>
        <v>7</v>
      </c>
      <c r="D29" s="1">
        <f>IF(REGISTRY!G29="Male",REGISTRY!P29,"")</f>
        <v>0</v>
      </c>
      <c r="E29" s="1" t="str">
        <f>IF(REGISTRY!G29="Male",REGISTRY!L29,"")</f>
        <v>الابراهيم</v>
      </c>
    </row>
    <row r="30" spans="1:5" ht="15.75" customHeight="1" x14ac:dyDescent="0.2">
      <c r="A30" s="1" t="str">
        <f>IF(REGISTRY!G30="Male",REGISTRY!A30,"")</f>
        <v>P029</v>
      </c>
      <c r="B30" s="1" t="str">
        <f>IF(REGISTRY!G30="Male",REGISTRY!M30,"")</f>
        <v>عبدالله بن ابراهيم بن ناصر ابراهيم</v>
      </c>
      <c r="C30" s="1">
        <f>IF(REGISTRY!G30="Male",REGISTRY!K30,"")</f>
        <v>7</v>
      </c>
      <c r="D30" s="1">
        <f>IF(REGISTRY!G30="Male",REGISTRY!P30,"")</f>
        <v>0</v>
      </c>
      <c r="E30" s="1" t="str">
        <f>IF(REGISTRY!G30="Male",REGISTRY!L30,"")</f>
        <v>الابراهيم</v>
      </c>
    </row>
    <row r="31" spans="1:5" ht="15.75" customHeight="1" x14ac:dyDescent="0.2">
      <c r="A31" s="1" t="str">
        <f>IF(REGISTRY!G31="Male",REGISTRY!A31,"")</f>
        <v>P030</v>
      </c>
      <c r="B31" s="1" t="str">
        <f>IF(REGISTRY!G31="Male",REGISTRY!M31,"")</f>
        <v>ناصر بن سعد بن ناصر ابراهيم</v>
      </c>
      <c r="C31" s="1">
        <f>IF(REGISTRY!G31="Male",REGISTRY!K31,"")</f>
        <v>7</v>
      </c>
      <c r="D31" s="1">
        <f>IF(REGISTRY!G31="Male",REGISTRY!P31,"")</f>
        <v>0</v>
      </c>
      <c r="E31" s="1" t="str">
        <f>IF(REGISTRY!G31="Male",REGISTRY!L31,"")</f>
        <v>الابراهيم</v>
      </c>
    </row>
    <row r="32" spans="1:5" ht="15.75" customHeight="1" x14ac:dyDescent="0.2">
      <c r="A32" s="1" t="str">
        <f>IF(REGISTRY!G32="Male",REGISTRY!A32,"")</f>
        <v>P031</v>
      </c>
      <c r="B32" s="1" t="str">
        <f>IF(REGISTRY!G32="Male",REGISTRY!M32,"")</f>
        <v>عبدالرحمن بن سعد بن ناصر ابراهيم</v>
      </c>
      <c r="C32" s="1">
        <f>IF(REGISTRY!G32="Male",REGISTRY!K32,"")</f>
        <v>7</v>
      </c>
      <c r="D32" s="1">
        <f>IF(REGISTRY!G32="Male",REGISTRY!P32,"")</f>
        <v>0</v>
      </c>
      <c r="E32" s="1" t="str">
        <f>IF(REGISTRY!G32="Male",REGISTRY!L32,"")</f>
        <v>الابراهيم</v>
      </c>
    </row>
    <row r="33" spans="1:5" ht="15.75" customHeight="1" x14ac:dyDescent="0.2">
      <c r="A33" s="1" t="str">
        <f>IF(REGISTRY!G33="Male",REGISTRY!A33,"")</f>
        <v>P032</v>
      </c>
      <c r="B33" s="1" t="str">
        <f>IF(REGISTRY!G33="Male",REGISTRY!M33,"")</f>
        <v>عبدالاله بن سعد بن ناصر ابراهيم</v>
      </c>
      <c r="C33" s="1">
        <f>IF(REGISTRY!G33="Male",REGISTRY!K33,"")</f>
        <v>7</v>
      </c>
      <c r="D33" s="1">
        <f>IF(REGISTRY!G33="Male",REGISTRY!P33,"")</f>
        <v>0</v>
      </c>
      <c r="E33" s="1" t="str">
        <f>IF(REGISTRY!G33="Male",REGISTRY!L33,"")</f>
        <v>الابراهيم</v>
      </c>
    </row>
    <row r="34" spans="1:5" ht="15.75" customHeight="1" x14ac:dyDescent="0.2">
      <c r="A34" s="1" t="str">
        <f>IF(REGISTRY!G34="Male",REGISTRY!A34,"")</f>
        <v>P033</v>
      </c>
      <c r="B34" s="1" t="str">
        <f>IF(REGISTRY!G34="Male",REGISTRY!M34,"")</f>
        <v>ناصر  بن فهد بن ناصر ابراهيم</v>
      </c>
      <c r="C34" s="1">
        <f>IF(REGISTRY!G34="Male",REGISTRY!K34,"")</f>
        <v>7</v>
      </c>
      <c r="D34" s="1">
        <f>IF(REGISTRY!G34="Male",REGISTRY!P34,"")</f>
        <v>0</v>
      </c>
      <c r="E34" s="1" t="str">
        <f>IF(REGISTRY!G34="Male",REGISTRY!L34,"")</f>
        <v>الابراهيم</v>
      </c>
    </row>
    <row r="35" spans="1:5" ht="15.75" customHeight="1" x14ac:dyDescent="0.2">
      <c r="A35" s="1" t="str">
        <f>IF(REGISTRY!G35="Male",REGISTRY!A35,"")</f>
        <v>P034</v>
      </c>
      <c r="B35" s="1" t="str">
        <f>IF(REGISTRY!G35="Male",REGISTRY!M35,"")</f>
        <v>عبدالرحمن بن فهد بن ناصر ابراهيم</v>
      </c>
      <c r="C35" s="1">
        <f>IF(REGISTRY!G35="Male",REGISTRY!K35,"")</f>
        <v>7</v>
      </c>
      <c r="D35" s="1">
        <f>IF(REGISTRY!G35="Male",REGISTRY!P35,"")</f>
        <v>0</v>
      </c>
      <c r="E35" s="1" t="str">
        <f>IF(REGISTRY!G35="Male",REGISTRY!L35,"")</f>
        <v>الابراهيم</v>
      </c>
    </row>
    <row r="36" spans="1:5" ht="15.75" customHeight="1" x14ac:dyDescent="0.2">
      <c r="A36" s="1" t="str">
        <f>IF(REGISTRY!G36="Male",REGISTRY!A36,"")</f>
        <v>P035</v>
      </c>
      <c r="B36" s="1" t="str">
        <f>IF(REGISTRY!G36="Male",REGISTRY!M36,"")</f>
        <v>البراء بن فهد بن ناصر ابراهيم</v>
      </c>
      <c r="C36" s="1">
        <f>IF(REGISTRY!G36="Male",REGISTRY!K36,"")</f>
        <v>7</v>
      </c>
      <c r="D36" s="1">
        <f>IF(REGISTRY!G36="Male",REGISTRY!P36,"")</f>
        <v>0</v>
      </c>
      <c r="E36" s="1" t="str">
        <f>IF(REGISTRY!G36="Male",REGISTRY!L36,"")</f>
        <v>الابراهيم</v>
      </c>
    </row>
    <row r="37" spans="1:5" ht="15.75" customHeight="1" x14ac:dyDescent="0.2">
      <c r="A37" s="1" t="str">
        <f>IF(REGISTRY!G37="Male",REGISTRY!A37,"")</f>
        <v>P036</v>
      </c>
      <c r="B37" s="1" t="str">
        <f>IF(REGISTRY!G37="Male",REGISTRY!M37,"")</f>
        <v>ناصر بن خالد بن ناصر ابراهيم</v>
      </c>
      <c r="C37" s="1">
        <f>IF(REGISTRY!G37="Male",REGISTRY!K37,"")</f>
        <v>7</v>
      </c>
      <c r="D37" s="1">
        <f>IF(REGISTRY!G37="Male",REGISTRY!P37,"")</f>
        <v>0</v>
      </c>
      <c r="E37" s="1" t="str">
        <f>IF(REGISTRY!G37="Male",REGISTRY!L37,"")</f>
        <v>الابراهيم</v>
      </c>
    </row>
    <row r="38" spans="1:5" ht="15.75" customHeight="1" x14ac:dyDescent="0.2">
      <c r="A38" s="1" t="str">
        <f>IF(REGISTRY!G38="Male",REGISTRY!A38,"")</f>
        <v>P037</v>
      </c>
      <c r="B38" s="1" t="str">
        <f>IF(REGISTRY!G38="Male",REGISTRY!M38,"")</f>
        <v>ناصر  بن شايع بن ناصر ابراهيم</v>
      </c>
      <c r="C38" s="1">
        <f>IF(REGISTRY!G38="Male",REGISTRY!K38,"")</f>
        <v>7</v>
      </c>
      <c r="D38" s="1">
        <f>IF(REGISTRY!G38="Male",REGISTRY!P38,"")</f>
        <v>0</v>
      </c>
      <c r="E38" s="1" t="str">
        <f>IF(REGISTRY!G38="Male",REGISTRY!L38,"")</f>
        <v>الابراهيم</v>
      </c>
    </row>
    <row r="39" spans="1:5" ht="15.75" customHeight="1" x14ac:dyDescent="0.2">
      <c r="A39" s="1" t="str">
        <f>IF(REGISTRY!G39="Male",REGISTRY!A39,"")</f>
        <v>P038</v>
      </c>
      <c r="B39" s="1" t="str">
        <f>IF(REGISTRY!G39="Male",REGISTRY!M39,"")</f>
        <v>ابراهيم بن عبدالرحمن بن ابراهيم ناصر</v>
      </c>
      <c r="C39" s="1">
        <f>IF(REGISTRY!G39="Male",REGISTRY!K39,"")</f>
        <v>6</v>
      </c>
      <c r="D39" s="1">
        <f>IF(REGISTRY!G39="Male",REGISTRY!P39,"")</f>
        <v>0</v>
      </c>
      <c r="E39" s="1" t="str">
        <f>IF(REGISTRY!G39="Male",REGISTRY!L39,"")</f>
        <v>الابراهيم</v>
      </c>
    </row>
    <row r="40" spans="1:5" ht="15.75" customHeight="1" x14ac:dyDescent="0.2">
      <c r="A40" s="1" t="str">
        <f>IF(REGISTRY!G40="Male",REGISTRY!A40,"")</f>
        <v>P039</v>
      </c>
      <c r="B40" s="1" t="str">
        <f>IF(REGISTRY!G40="Male",REGISTRY!M40,"")</f>
        <v>عبدالله بن عبدالرحمن بن ابراهيم ناصر</v>
      </c>
      <c r="C40" s="1">
        <f>IF(REGISTRY!G40="Male",REGISTRY!K40,"")</f>
        <v>6</v>
      </c>
      <c r="D40" s="1">
        <f>IF(REGISTRY!G40="Male",REGISTRY!P40,"")</f>
        <v>0</v>
      </c>
      <c r="E40" s="1" t="str">
        <f>IF(REGISTRY!G40="Male",REGISTRY!L40,"")</f>
        <v>الابراهيم</v>
      </c>
    </row>
    <row r="41" spans="1:5" ht="15.75" customHeight="1" x14ac:dyDescent="0.2">
      <c r="A41" s="1" t="str">
        <f>IF(REGISTRY!G41="Male",REGISTRY!A41,"")</f>
        <v>P040</v>
      </c>
      <c r="B41" s="1" t="str">
        <f>IF(REGISTRY!G41="Male",REGISTRY!M41,"")</f>
        <v>محمد بن عبدالرحمن بن ابراهيم ناصر</v>
      </c>
      <c r="C41" s="1">
        <f>IF(REGISTRY!G41="Male",REGISTRY!K41,"")</f>
        <v>6</v>
      </c>
      <c r="D41" s="1">
        <f>IF(REGISTRY!G41="Male",REGISTRY!P41,"")</f>
        <v>0</v>
      </c>
      <c r="E41" s="1" t="str">
        <f>IF(REGISTRY!G41="Male",REGISTRY!L41,"")</f>
        <v>الابراهيم</v>
      </c>
    </row>
    <row r="42" spans="1:5" ht="15.75" customHeight="1" x14ac:dyDescent="0.2">
      <c r="A42" s="1" t="str">
        <f>IF(REGISTRY!G42="Male",REGISTRY!A42,"")</f>
        <v>P041</v>
      </c>
      <c r="B42" s="1" t="str">
        <f>IF(REGISTRY!G42="Male",REGISTRY!M42,"")</f>
        <v>أحمد بن عبدالرحمن بن ابراهيم ناصر</v>
      </c>
      <c r="C42" s="1">
        <f>IF(REGISTRY!G42="Male",REGISTRY!K42,"")</f>
        <v>6</v>
      </c>
      <c r="D42" s="1">
        <f>IF(REGISTRY!G42="Male",REGISTRY!P42,"")</f>
        <v>0</v>
      </c>
      <c r="E42" s="1" t="str">
        <f>IF(REGISTRY!G42="Male",REGISTRY!L42,"")</f>
        <v>الابراهيم</v>
      </c>
    </row>
    <row r="43" spans="1:5" ht="15.75" customHeight="1" x14ac:dyDescent="0.2">
      <c r="A43" s="1" t="str">
        <f>IF(REGISTRY!G43="Male",REGISTRY!A43,"")</f>
        <v>P042</v>
      </c>
      <c r="B43" s="1" t="str">
        <f>IF(REGISTRY!G43="Male",REGISTRY!M43,"")</f>
        <v>عادل بن ابراهيم بن عبدالرحمن ابراهيم</v>
      </c>
      <c r="C43" s="1">
        <f>IF(REGISTRY!G43="Male",REGISTRY!K43,"")</f>
        <v>7</v>
      </c>
      <c r="D43" s="1">
        <f>IF(REGISTRY!G43="Male",REGISTRY!P43,"")</f>
        <v>0</v>
      </c>
      <c r="E43" s="1" t="str">
        <f>IF(REGISTRY!G43="Male",REGISTRY!L43,"")</f>
        <v>الابراهيم</v>
      </c>
    </row>
    <row r="44" spans="1:5" ht="15.75" customHeight="1" x14ac:dyDescent="0.2">
      <c r="A44" s="1" t="str">
        <f>IF(REGISTRY!G44="Male",REGISTRY!A44,"")</f>
        <v>P043</v>
      </c>
      <c r="B44" s="1" t="str">
        <f>IF(REGISTRY!G44="Male",REGISTRY!M44,"")</f>
        <v>عبدالرحمن بن ابراهيم بن عبدالرحمن ابراهيم</v>
      </c>
      <c r="C44" s="1">
        <f>IF(REGISTRY!G44="Male",REGISTRY!K44,"")</f>
        <v>7</v>
      </c>
      <c r="D44" s="1">
        <f>IF(REGISTRY!G44="Male",REGISTRY!P44,"")</f>
        <v>0</v>
      </c>
      <c r="E44" s="1" t="str">
        <f>IF(REGISTRY!G44="Male",REGISTRY!L44,"")</f>
        <v>الابراهيم</v>
      </c>
    </row>
    <row r="45" spans="1:5" ht="15.75" customHeight="1" x14ac:dyDescent="0.2">
      <c r="A45" s="1" t="str">
        <f>IF(REGISTRY!G45="Male",REGISTRY!A45,"")</f>
        <v>P044</v>
      </c>
      <c r="B45" s="1" t="str">
        <f>IF(REGISTRY!G45="Male",REGISTRY!M45,"")</f>
        <v>عبدالله بن ابراهيم بن عبدالرحمن ابراهيم</v>
      </c>
      <c r="C45" s="1">
        <f>IF(REGISTRY!G45="Male",REGISTRY!K45,"")</f>
        <v>7</v>
      </c>
      <c r="D45" s="1">
        <f>IF(REGISTRY!G45="Male",REGISTRY!P45,"")</f>
        <v>0</v>
      </c>
      <c r="E45" s="1" t="str">
        <f>IF(REGISTRY!G45="Male",REGISTRY!L45,"")</f>
        <v>الابراهيم</v>
      </c>
    </row>
    <row r="46" spans="1:5" ht="15.75" customHeight="1" x14ac:dyDescent="0.2">
      <c r="A46" s="1" t="str">
        <f>IF(REGISTRY!G46="Male",REGISTRY!A46,"")</f>
        <v/>
      </c>
      <c r="B46" s="1" t="str">
        <f>IF(REGISTRY!G46="Male",REGISTRY!M46,"")</f>
        <v/>
      </c>
      <c r="C46" s="1" t="str">
        <f>IF(REGISTRY!G46="Male",REGISTRY!K46,"")</f>
        <v/>
      </c>
      <c r="D46" s="1" t="str">
        <f>IF(REGISTRY!G46="Male",REGISTRY!P46,"")</f>
        <v/>
      </c>
      <c r="E46" s="1" t="str">
        <f>IF(REGISTRY!G46="Male",REGISTRY!L46,"")</f>
        <v/>
      </c>
    </row>
    <row r="47" spans="1:5" ht="15.75" customHeight="1" x14ac:dyDescent="0.2">
      <c r="A47" s="1" t="str">
        <f>IF(REGISTRY!G47="Male",REGISTRY!A47,"")</f>
        <v/>
      </c>
      <c r="B47" s="1" t="str">
        <f>IF(REGISTRY!G47="Male",REGISTRY!M47,"")</f>
        <v/>
      </c>
      <c r="C47" s="1" t="str">
        <f>IF(REGISTRY!G47="Male",REGISTRY!K47,"")</f>
        <v/>
      </c>
      <c r="D47" s="1" t="str">
        <f>IF(REGISTRY!G47="Male",REGISTRY!P47,"")</f>
        <v/>
      </c>
      <c r="E47" s="1" t="str">
        <f>IF(REGISTRY!G47="Male",REGISTRY!L47,"")</f>
        <v/>
      </c>
    </row>
    <row r="48" spans="1:5" ht="15.75" customHeight="1" x14ac:dyDescent="0.2">
      <c r="A48" s="1" t="str">
        <f>IF(REGISTRY!G48="Male",REGISTRY!A48,"")</f>
        <v>P047</v>
      </c>
      <c r="B48" s="1" t="str">
        <f>IF(REGISTRY!G48="Male",REGISTRY!M48,"")</f>
        <v>عبدالرحمن بن عبدالله بن عبدالرحمن ابراهيم</v>
      </c>
      <c r="C48" s="1">
        <f>IF(REGISTRY!G48="Male",REGISTRY!K48,"")</f>
        <v>7</v>
      </c>
      <c r="D48" s="1">
        <f>IF(REGISTRY!G48="Male",REGISTRY!P48,"")</f>
        <v>0</v>
      </c>
      <c r="E48" s="1" t="str">
        <f>IF(REGISTRY!G48="Male",REGISTRY!L48,"")</f>
        <v>الابراهيم</v>
      </c>
    </row>
    <row r="49" spans="1:5" ht="15.75" customHeight="1" x14ac:dyDescent="0.2">
      <c r="A49" s="1" t="str">
        <f>IF(REGISTRY!G49="Male",REGISTRY!A49,"")</f>
        <v>P048</v>
      </c>
      <c r="B49" s="1" t="str">
        <f>IF(REGISTRY!G49="Male",REGISTRY!M49,"")</f>
        <v>محمد بن عبدالله بن عبدالرحمن ابراهيم</v>
      </c>
      <c r="C49" s="1">
        <f>IF(REGISTRY!G49="Male",REGISTRY!K49,"")</f>
        <v>7</v>
      </c>
      <c r="D49" s="1">
        <f>IF(REGISTRY!G49="Male",REGISTRY!P49,"")</f>
        <v>0</v>
      </c>
      <c r="E49" s="1" t="str">
        <f>IF(REGISTRY!G49="Male",REGISTRY!L49,"")</f>
        <v>الابراهيم</v>
      </c>
    </row>
    <row r="50" spans="1:5" ht="15.75" customHeight="1" x14ac:dyDescent="0.2">
      <c r="A50" s="1" t="str">
        <f>IF(REGISTRY!G50="Male",REGISTRY!A50,"")</f>
        <v>P049</v>
      </c>
      <c r="B50" s="1" t="str">
        <f>IF(REGISTRY!G50="Male",REGISTRY!M50,"")</f>
        <v>مساعد بن عبدالله بن عبدالرحمن ابراهيم</v>
      </c>
      <c r="C50" s="1">
        <f>IF(REGISTRY!G50="Male",REGISTRY!K50,"")</f>
        <v>7</v>
      </c>
      <c r="D50" s="1">
        <f>IF(REGISTRY!G50="Male",REGISTRY!P50,"")</f>
        <v>0</v>
      </c>
      <c r="E50" s="1" t="str">
        <f>IF(REGISTRY!G50="Male",REGISTRY!L50,"")</f>
        <v>الابراهيم</v>
      </c>
    </row>
    <row r="51" spans="1:5" ht="15.75" customHeight="1" x14ac:dyDescent="0.2">
      <c r="A51" s="1" t="str">
        <f>IF(REGISTRY!G51="Male",REGISTRY!A51,"")</f>
        <v/>
      </c>
      <c r="B51" s="1" t="str">
        <f>IF(REGISTRY!G51="Male",REGISTRY!M51,"")</f>
        <v/>
      </c>
      <c r="C51" s="1" t="str">
        <f>IF(REGISTRY!G51="Male",REGISTRY!K51,"")</f>
        <v/>
      </c>
      <c r="D51" s="1" t="str">
        <f>IF(REGISTRY!G51="Male",REGISTRY!P51,"")</f>
        <v/>
      </c>
      <c r="E51" s="1" t="str">
        <f>IF(REGISTRY!G51="Male",REGISTRY!L51,"")</f>
        <v/>
      </c>
    </row>
    <row r="52" spans="1:5" ht="15.75" customHeight="1" x14ac:dyDescent="0.2">
      <c r="A52" s="1" t="str">
        <f>IF(REGISTRY!G52="Male",REGISTRY!A52,"")</f>
        <v/>
      </c>
      <c r="B52" s="1" t="str">
        <f>IF(REGISTRY!G52="Male",REGISTRY!M52,"")</f>
        <v/>
      </c>
      <c r="C52" s="1" t="str">
        <f>IF(REGISTRY!G52="Male",REGISTRY!K52,"")</f>
        <v/>
      </c>
      <c r="D52" s="1" t="str">
        <f>IF(REGISTRY!G52="Male",REGISTRY!P52,"")</f>
        <v/>
      </c>
      <c r="E52" s="1" t="str">
        <f>IF(REGISTRY!G52="Male",REGISTRY!L52,"")</f>
        <v/>
      </c>
    </row>
    <row r="53" spans="1:5" ht="15.75" customHeight="1" x14ac:dyDescent="0.2">
      <c r="A53" s="1" t="str">
        <f>IF(REGISTRY!G53="Male",REGISTRY!A53,"")</f>
        <v>P052</v>
      </c>
      <c r="B53" s="1" t="str">
        <f>IF(REGISTRY!G53="Male",REGISTRY!M53,"")</f>
        <v>أنس بن محمد بن عبدالرحمن ابراهيم</v>
      </c>
      <c r="C53" s="1">
        <f>IF(REGISTRY!G53="Male",REGISTRY!K53,"")</f>
        <v>7</v>
      </c>
      <c r="D53" s="1">
        <f>IF(REGISTRY!G53="Male",REGISTRY!P53,"")</f>
        <v>0</v>
      </c>
      <c r="E53" s="1" t="str">
        <f>IF(REGISTRY!G53="Male",REGISTRY!L53,"")</f>
        <v>الابراهيم</v>
      </c>
    </row>
    <row r="54" spans="1:5" ht="15.75" customHeight="1" x14ac:dyDescent="0.2">
      <c r="A54" s="1" t="str">
        <f>IF(REGISTRY!G54="Male",REGISTRY!A54,"")</f>
        <v>P053</v>
      </c>
      <c r="B54" s="1" t="str">
        <f>IF(REGISTRY!G54="Male",REGISTRY!M54,"")</f>
        <v>عبدالمجيد بن محمد بن عبدالرحمن ابراهيم</v>
      </c>
      <c r="C54" s="1">
        <f>IF(REGISTRY!G54="Male",REGISTRY!K54,"")</f>
        <v>7</v>
      </c>
      <c r="D54" s="1">
        <f>IF(REGISTRY!G54="Male",REGISTRY!P54,"")</f>
        <v>0</v>
      </c>
      <c r="E54" s="1" t="str">
        <f>IF(REGISTRY!G54="Male",REGISTRY!L54,"")</f>
        <v>الابراهيم</v>
      </c>
    </row>
    <row r="55" spans="1:5" ht="15.75" customHeight="1" x14ac:dyDescent="0.2">
      <c r="A55" s="1" t="str">
        <f>IF(REGISTRY!G55="Male",REGISTRY!A55,"")</f>
        <v>P054</v>
      </c>
      <c r="B55" s="1" t="str">
        <f>IF(REGISTRY!G55="Male",REGISTRY!M55,"")</f>
        <v>معاذ بن محمد بن عبدالرحمن ابراهيم</v>
      </c>
      <c r="C55" s="1">
        <f>IF(REGISTRY!G55="Male",REGISTRY!K55,"")</f>
        <v>7</v>
      </c>
      <c r="D55" s="1">
        <f>IF(REGISTRY!G55="Male",REGISTRY!P55,"")</f>
        <v>0</v>
      </c>
      <c r="E55" s="1" t="str">
        <f>IF(REGISTRY!G55="Male",REGISTRY!L55,"")</f>
        <v>الابراهيم</v>
      </c>
    </row>
    <row r="56" spans="1:5" ht="15.75" customHeight="1" x14ac:dyDescent="0.2">
      <c r="A56" s="1" t="str">
        <f>IF(REGISTRY!G56="Male",REGISTRY!A56,"")</f>
        <v>P055</v>
      </c>
      <c r="B56" s="1" t="str">
        <f>IF(REGISTRY!G56="Male",REGISTRY!M56,"")</f>
        <v>تميم بن محمد بن عبدالرحمن ابراهيم</v>
      </c>
      <c r="C56" s="1">
        <f>IF(REGISTRY!G56="Male",REGISTRY!K56,"")</f>
        <v>7</v>
      </c>
      <c r="D56" s="1">
        <f>IF(REGISTRY!G56="Male",REGISTRY!P56,"")</f>
        <v>0</v>
      </c>
      <c r="E56" s="1" t="str">
        <f>IF(REGISTRY!G56="Male",REGISTRY!L56,"")</f>
        <v>الابراهيم</v>
      </c>
    </row>
    <row r="57" spans="1:5" ht="15.75" customHeight="1" x14ac:dyDescent="0.2">
      <c r="A57" s="1" t="str">
        <f>IF(REGISTRY!G57="Male",REGISTRY!A57,"")</f>
        <v/>
      </c>
      <c r="B57" s="1" t="str">
        <f>IF(REGISTRY!G57="Male",REGISTRY!M57,"")</f>
        <v/>
      </c>
      <c r="C57" s="1" t="str">
        <f>IF(REGISTRY!G57="Male",REGISTRY!K57,"")</f>
        <v/>
      </c>
      <c r="D57" s="1" t="str">
        <f>IF(REGISTRY!G57="Male",REGISTRY!P57,"")</f>
        <v/>
      </c>
      <c r="E57" s="1" t="str">
        <f>IF(REGISTRY!G57="Male",REGISTRY!L57,"")</f>
        <v/>
      </c>
    </row>
    <row r="58" spans="1:5" ht="15.75" customHeight="1" x14ac:dyDescent="0.2">
      <c r="A58" s="1" t="str">
        <f>IF(REGISTRY!G58="Male",REGISTRY!A58,"")</f>
        <v/>
      </c>
      <c r="B58" s="1" t="str">
        <f>IF(REGISTRY!G58="Male",REGISTRY!M58,"")</f>
        <v/>
      </c>
      <c r="C58" s="1" t="str">
        <f>IF(REGISTRY!G58="Male",REGISTRY!K58,"")</f>
        <v/>
      </c>
      <c r="D58" s="1" t="str">
        <f>IF(REGISTRY!G58="Male",REGISTRY!P58,"")</f>
        <v/>
      </c>
      <c r="E58" s="1" t="str">
        <f>IF(REGISTRY!G58="Male",REGISTRY!L58,"")</f>
        <v/>
      </c>
    </row>
    <row r="59" spans="1:5" ht="15.75" customHeight="1" x14ac:dyDescent="0.2">
      <c r="A59" s="1" t="str">
        <f>IF(REGISTRY!G59="Male",REGISTRY!A59,"")</f>
        <v/>
      </c>
      <c r="B59" s="1" t="str">
        <f>IF(REGISTRY!G59="Male",REGISTRY!M59,"")</f>
        <v/>
      </c>
      <c r="C59" s="1" t="str">
        <f>IF(REGISTRY!G59="Male",REGISTRY!K59,"")</f>
        <v/>
      </c>
      <c r="D59" s="1" t="str">
        <f>IF(REGISTRY!G59="Male",REGISTRY!P59,"")</f>
        <v/>
      </c>
      <c r="E59" s="1" t="str">
        <f>IF(REGISTRY!G59="Male",REGISTRY!L59,"")</f>
        <v/>
      </c>
    </row>
    <row r="60" spans="1:5" ht="15.75" customHeight="1" x14ac:dyDescent="0.2">
      <c r="A60" s="1" t="str">
        <f>IF(REGISTRY!G60="Male",REGISTRY!A60,"")</f>
        <v>P059</v>
      </c>
      <c r="B60" s="1" t="str">
        <f>IF(REGISTRY!G60="Male",REGISTRY!M60,"")</f>
        <v>بدر بن أحمد بن عبدالرحمن ابراهيم</v>
      </c>
      <c r="C60" s="1">
        <f>IF(REGISTRY!G60="Male",REGISTRY!K60,"")</f>
        <v>7</v>
      </c>
      <c r="D60" s="1">
        <f>IF(REGISTRY!G60="Male",REGISTRY!P60,"")</f>
        <v>0</v>
      </c>
      <c r="E60" s="1" t="str">
        <f>IF(REGISTRY!G60="Male",REGISTRY!L60,"")</f>
        <v>الابراهيم</v>
      </c>
    </row>
    <row r="61" spans="1:5" ht="15.75" customHeight="1" x14ac:dyDescent="0.2">
      <c r="A61" s="1" t="str">
        <f>IF(REGISTRY!G61="Male",REGISTRY!A61,"")</f>
        <v>P060</v>
      </c>
      <c r="B61" s="1" t="str">
        <f>IF(REGISTRY!G61="Male",REGISTRY!M61,"")</f>
        <v>زياد بن أحمد بن عبدالرحمن ابراهيم</v>
      </c>
      <c r="C61" s="1">
        <f>IF(REGISTRY!G61="Male",REGISTRY!K61,"")</f>
        <v>7</v>
      </c>
      <c r="D61" s="1">
        <f>IF(REGISTRY!G61="Male",REGISTRY!P61,"")</f>
        <v>0</v>
      </c>
      <c r="E61" s="1" t="str">
        <f>IF(REGISTRY!G61="Male",REGISTRY!L61,"")</f>
        <v>الابراهيم</v>
      </c>
    </row>
    <row r="62" spans="1:5" ht="15.75" customHeight="1" x14ac:dyDescent="0.2">
      <c r="A62" s="1" t="str">
        <f>IF(REGISTRY!G62="Male",REGISTRY!A62,"")</f>
        <v>P061</v>
      </c>
      <c r="B62" s="1" t="str">
        <f>IF(REGISTRY!G62="Male",REGISTRY!M62,"")</f>
        <v>ريان بن أحمد بن عبدالرحمن ابراهيم</v>
      </c>
      <c r="C62" s="1">
        <f>IF(REGISTRY!G62="Male",REGISTRY!K62,"")</f>
        <v>7</v>
      </c>
      <c r="D62" s="1">
        <f>IF(REGISTRY!G62="Male",REGISTRY!P62,"")</f>
        <v>0</v>
      </c>
      <c r="E62" s="1" t="str">
        <f>IF(REGISTRY!G62="Male",REGISTRY!L62,"")</f>
        <v>الابراهيم</v>
      </c>
    </row>
    <row r="63" spans="1:5" ht="15.75" customHeight="1" x14ac:dyDescent="0.2">
      <c r="A63" s="1" t="str">
        <f>IF(REGISTRY!G63="Male",REGISTRY!A63,"")</f>
        <v>P062</v>
      </c>
      <c r="B63" s="1" t="str">
        <f>IF(REGISTRY!G63="Male",REGISTRY!M63,"")</f>
        <v>مؤيد بن أحمد بن عبدالرحمن ابراهيم</v>
      </c>
      <c r="C63" s="1">
        <f>IF(REGISTRY!G63="Male",REGISTRY!K63,"")</f>
        <v>7</v>
      </c>
      <c r="D63" s="1">
        <f>IF(REGISTRY!G63="Male",REGISTRY!P63,"")</f>
        <v>0</v>
      </c>
      <c r="E63" s="1" t="str">
        <f>IF(REGISTRY!G63="Male",REGISTRY!L63,"")</f>
        <v>الابراهيم</v>
      </c>
    </row>
    <row r="64" spans="1:5" ht="15.75" customHeight="1" x14ac:dyDescent="0.2">
      <c r="A64" s="1" t="str">
        <f>IF(REGISTRY!G64="Male",REGISTRY!A64,"")</f>
        <v>P063</v>
      </c>
      <c r="B64" s="1" t="str">
        <f>IF(REGISTRY!G64="Male",REGISTRY!M64,"")</f>
        <v>عزام بن أحمد بن عبدالرحمن ابراهيم</v>
      </c>
      <c r="C64" s="1">
        <f>IF(REGISTRY!G64="Male",REGISTRY!K64,"")</f>
        <v>7</v>
      </c>
      <c r="D64" s="1">
        <f>IF(REGISTRY!G64="Male",REGISTRY!P64,"")</f>
        <v>0</v>
      </c>
      <c r="E64" s="1" t="str">
        <f>IF(REGISTRY!G64="Male",REGISTRY!L64,"")</f>
        <v>الابراهيم</v>
      </c>
    </row>
    <row r="65" spans="1:5" ht="15.75" customHeight="1" x14ac:dyDescent="0.2">
      <c r="A65" s="1" t="str">
        <f>IF(REGISTRY!G65="Male",REGISTRY!A65,"")</f>
        <v>P064</v>
      </c>
      <c r="B65" s="1" t="str">
        <f>IF(REGISTRY!G65="Male",REGISTRY!M65,"")</f>
        <v>بتال بن أحمد بن عبدالرحمن ابراهيم</v>
      </c>
      <c r="C65" s="1">
        <f>IF(REGISTRY!G65="Male",REGISTRY!K65,"")</f>
        <v>7</v>
      </c>
      <c r="D65" s="1">
        <f>IF(REGISTRY!G65="Male",REGISTRY!P65,"")</f>
        <v>0</v>
      </c>
      <c r="E65" s="1" t="str">
        <f>IF(REGISTRY!G65="Male",REGISTRY!L65,"")</f>
        <v>الابراهيم</v>
      </c>
    </row>
    <row r="66" spans="1:5" ht="15.75" customHeight="1" x14ac:dyDescent="0.2">
      <c r="A66" s="1" t="str">
        <f>IF(REGISTRY!G66="Male",REGISTRY!A66,"")</f>
        <v/>
      </c>
      <c r="B66" s="1" t="str">
        <f>IF(REGISTRY!G66="Male",REGISTRY!M66,"")</f>
        <v/>
      </c>
      <c r="C66" s="1" t="str">
        <f>IF(REGISTRY!G66="Male",REGISTRY!K66,"")</f>
        <v/>
      </c>
      <c r="D66" s="1" t="str">
        <f>IF(REGISTRY!G66="Male",REGISTRY!P66,"")</f>
        <v/>
      </c>
      <c r="E66" s="1" t="str">
        <f>IF(REGISTRY!G66="Male",REGISTRY!L66,"")</f>
        <v/>
      </c>
    </row>
    <row r="67" spans="1:5" ht="15.75" customHeight="1" x14ac:dyDescent="0.2">
      <c r="A67" s="1" t="str">
        <f>IF(REGISTRY!G67="Male",REGISTRY!A67,"")</f>
        <v/>
      </c>
      <c r="B67" s="1" t="str">
        <f>IF(REGISTRY!G67="Male",REGISTRY!M67,"")</f>
        <v/>
      </c>
      <c r="C67" s="1" t="str">
        <f>IF(REGISTRY!G67="Male",REGISTRY!K67,"")</f>
        <v/>
      </c>
      <c r="D67" s="1" t="str">
        <f>IF(REGISTRY!G67="Male",REGISTRY!P67,"")</f>
        <v/>
      </c>
      <c r="E67" s="1" t="str">
        <f>IF(REGISTRY!G67="Male",REGISTRY!L67,"")</f>
        <v/>
      </c>
    </row>
    <row r="68" spans="1:5" ht="15.75" customHeight="1" x14ac:dyDescent="0.2">
      <c r="A68" s="1" t="e">
        <f t="shared" ref="A68:E68" si="0">IF(#REF!="Male",#REF!,"")</f>
        <v>#REF!</v>
      </c>
      <c r="B68" s="1" t="e">
        <f t="shared" si="0"/>
        <v>#REF!</v>
      </c>
      <c r="C68" s="1" t="e">
        <f t="shared" si="0"/>
        <v>#REF!</v>
      </c>
      <c r="D68" s="1" t="e">
        <f t="shared" si="0"/>
        <v>#REF!</v>
      </c>
      <c r="E68" s="1" t="e">
        <f t="shared" si="0"/>
        <v>#REF!</v>
      </c>
    </row>
    <row r="69" spans="1:5" ht="15.75" customHeight="1" x14ac:dyDescent="0.2">
      <c r="A69" s="1" t="e">
        <f t="shared" ref="A69:E69" si="1">IF(#REF!="Male",#REF!,"")</f>
        <v>#REF!</v>
      </c>
      <c r="B69" s="1" t="e">
        <f t="shared" si="1"/>
        <v>#REF!</v>
      </c>
      <c r="C69" s="1" t="e">
        <f t="shared" si="1"/>
        <v>#REF!</v>
      </c>
      <c r="D69" s="1" t="e">
        <f t="shared" si="1"/>
        <v>#REF!</v>
      </c>
      <c r="E69" s="1" t="e">
        <f t="shared" si="1"/>
        <v>#REF!</v>
      </c>
    </row>
    <row r="70" spans="1:5" ht="15.75" customHeight="1" x14ac:dyDescent="0.2">
      <c r="A70" s="1" t="str">
        <f>IF(REGISTRY!G68="Male",REGISTRY!A68,"")</f>
        <v/>
      </c>
      <c r="B70" s="1" t="str">
        <f>IF(REGISTRY!G68="Male",REGISTRY!M68,"")</f>
        <v/>
      </c>
      <c r="C70" s="1" t="str">
        <f>IF(REGISTRY!G68="Male",REGISTRY!K68,"")</f>
        <v/>
      </c>
      <c r="D70" s="1" t="str">
        <f>IF(REGISTRY!G68="Male",REGISTRY!P68,"")</f>
        <v/>
      </c>
      <c r="E70" s="1" t="str">
        <f>IF(REGISTRY!G68="Male",REGISTRY!L68,"")</f>
        <v/>
      </c>
    </row>
    <row r="71" spans="1:5" ht="15.75" customHeight="1" x14ac:dyDescent="0.2">
      <c r="A71" s="1" t="str">
        <f>IF(REGISTRY!G69="Male",REGISTRY!A69,"")</f>
        <v/>
      </c>
      <c r="B71" s="1" t="str">
        <f>IF(REGISTRY!G69="Male",REGISTRY!M69,"")</f>
        <v/>
      </c>
      <c r="C71" s="1" t="str">
        <f>IF(REGISTRY!G69="Male",REGISTRY!K69,"")</f>
        <v/>
      </c>
      <c r="D71" s="1" t="str">
        <f>IF(REGISTRY!G69="Male",REGISTRY!P69,"")</f>
        <v/>
      </c>
      <c r="E71" s="1" t="str">
        <f>IF(REGISTRY!G69="Male",REGISTRY!L69,"")</f>
        <v/>
      </c>
    </row>
    <row r="72" spans="1:5" ht="15.75" customHeight="1" x14ac:dyDescent="0.2">
      <c r="A72" s="1" t="str">
        <f>IF(REGISTRY!G70="Male",REGISTRY!A70,"")</f>
        <v/>
      </c>
      <c r="B72" s="1" t="str">
        <f>IF(REGISTRY!G70="Male",REGISTRY!M70,"")</f>
        <v/>
      </c>
      <c r="C72" s="1" t="str">
        <f>IF(REGISTRY!G70="Male",REGISTRY!K70,"")</f>
        <v/>
      </c>
      <c r="D72" s="1" t="str">
        <f>IF(REGISTRY!G70="Male",REGISTRY!P70,"")</f>
        <v/>
      </c>
      <c r="E72" s="1" t="str">
        <f>IF(REGISTRY!G70="Male",REGISTRY!L70,"")</f>
        <v/>
      </c>
    </row>
    <row r="73" spans="1:5" ht="15.75" customHeight="1" x14ac:dyDescent="0.2">
      <c r="A73" s="1" t="str">
        <f>IF(REGISTRY!G71="Male",REGISTRY!A71,"")</f>
        <v/>
      </c>
      <c r="B73" s="1" t="str">
        <f>IF(REGISTRY!G71="Male",REGISTRY!M71,"")</f>
        <v/>
      </c>
      <c r="C73" s="1" t="str">
        <f>IF(REGISTRY!G71="Male",REGISTRY!K71,"")</f>
        <v/>
      </c>
      <c r="D73" s="1" t="str">
        <f>IF(REGISTRY!G71="Male",REGISTRY!P71,"")</f>
        <v/>
      </c>
      <c r="E73" s="1" t="str">
        <f>IF(REGISTRY!G71="Male",REGISTRY!L71,"")</f>
        <v/>
      </c>
    </row>
    <row r="74" spans="1:5" ht="15.75" customHeight="1" x14ac:dyDescent="0.2">
      <c r="A74" s="1" t="str">
        <f>IF(REGISTRY!G72="Male",REGISTRY!A72,"")</f>
        <v/>
      </c>
      <c r="B74" s="1" t="str">
        <f>IF(REGISTRY!G72="Male",REGISTRY!M72,"")</f>
        <v/>
      </c>
      <c r="C74" s="1" t="str">
        <f>IF(REGISTRY!G72="Male",REGISTRY!K72,"")</f>
        <v/>
      </c>
      <c r="D74" s="1" t="str">
        <f>IF(REGISTRY!G72="Male",REGISTRY!P72,"")</f>
        <v/>
      </c>
      <c r="E74" s="1" t="str">
        <f>IF(REGISTRY!G72="Male",REGISTRY!L72,"")</f>
        <v/>
      </c>
    </row>
    <row r="75" spans="1:5" ht="15.75" customHeight="1" x14ac:dyDescent="0.2">
      <c r="A75" s="1" t="e">
        <f t="shared" ref="A75:E75" si="2">IF(#REF!="Male",#REF!,"")</f>
        <v>#REF!</v>
      </c>
      <c r="B75" s="1" t="e">
        <f t="shared" si="2"/>
        <v>#REF!</v>
      </c>
      <c r="C75" s="1" t="e">
        <f t="shared" si="2"/>
        <v>#REF!</v>
      </c>
      <c r="D75" s="1" t="e">
        <f t="shared" si="2"/>
        <v>#REF!</v>
      </c>
      <c r="E75" s="1" t="e">
        <f t="shared" si="2"/>
        <v>#REF!</v>
      </c>
    </row>
    <row r="76" spans="1:5" ht="15.75" customHeight="1" x14ac:dyDescent="0.2">
      <c r="A76" s="1" t="e">
        <f t="shared" ref="A76:E76" si="3">IF(#REF!="Male",#REF!,"")</f>
        <v>#REF!</v>
      </c>
      <c r="B76" s="1" t="e">
        <f t="shared" si="3"/>
        <v>#REF!</v>
      </c>
      <c r="C76" s="1" t="e">
        <f t="shared" si="3"/>
        <v>#REF!</v>
      </c>
      <c r="D76" s="1" t="e">
        <f t="shared" si="3"/>
        <v>#REF!</v>
      </c>
      <c r="E76" s="1" t="e">
        <f t="shared" si="3"/>
        <v>#REF!</v>
      </c>
    </row>
    <row r="77" spans="1:5" ht="15.75" customHeight="1" x14ac:dyDescent="0.2">
      <c r="A77" s="1" t="str">
        <f>IF(REGISTRY!G73="Male",REGISTRY!A73,"")</f>
        <v/>
      </c>
      <c r="B77" s="1" t="str">
        <f>IF(REGISTRY!G73="Male",REGISTRY!M73,"")</f>
        <v/>
      </c>
      <c r="C77" s="1" t="str">
        <f>IF(REGISTRY!G73="Male",REGISTRY!K73,"")</f>
        <v/>
      </c>
      <c r="D77" s="1" t="str">
        <f>IF(REGISTRY!G73="Male",REGISTRY!P73,"")</f>
        <v/>
      </c>
      <c r="E77" s="1" t="str">
        <f>IF(REGISTRY!G73="Male",REGISTRY!L73,"")</f>
        <v/>
      </c>
    </row>
    <row r="78" spans="1:5" ht="15.75" customHeight="1" x14ac:dyDescent="0.2">
      <c r="A78" s="1" t="e">
        <f t="shared" ref="A78:E78" si="4">IF(#REF!="Male",#REF!,"")</f>
        <v>#REF!</v>
      </c>
      <c r="B78" s="1" t="e">
        <f t="shared" si="4"/>
        <v>#REF!</v>
      </c>
      <c r="C78" s="1" t="e">
        <f t="shared" si="4"/>
        <v>#REF!</v>
      </c>
      <c r="D78" s="1" t="e">
        <f t="shared" si="4"/>
        <v>#REF!</v>
      </c>
      <c r="E78" s="1" t="e">
        <f t="shared" si="4"/>
        <v>#REF!</v>
      </c>
    </row>
    <row r="79" spans="1:5" ht="15.75" customHeight="1" x14ac:dyDescent="0.2">
      <c r="A79" s="1" t="e">
        <f t="shared" ref="A79:E79" si="5">IF(#REF!="Male",#REF!,"")</f>
        <v>#REF!</v>
      </c>
      <c r="B79" s="1" t="e">
        <f t="shared" si="5"/>
        <v>#REF!</v>
      </c>
      <c r="C79" s="1" t="e">
        <f t="shared" si="5"/>
        <v>#REF!</v>
      </c>
      <c r="D79" s="1" t="e">
        <f t="shared" si="5"/>
        <v>#REF!</v>
      </c>
      <c r="E79" s="1" t="e">
        <f t="shared" si="5"/>
        <v>#REF!</v>
      </c>
    </row>
    <row r="80" spans="1:5" ht="15.75" customHeight="1" x14ac:dyDescent="0.2">
      <c r="A80" s="1" t="e">
        <f t="shared" ref="A80:E80" si="6">IF(#REF!="Male",#REF!,"")</f>
        <v>#REF!</v>
      </c>
      <c r="B80" s="1" t="e">
        <f t="shared" si="6"/>
        <v>#REF!</v>
      </c>
      <c r="C80" s="1" t="e">
        <f t="shared" si="6"/>
        <v>#REF!</v>
      </c>
      <c r="D80" s="1" t="e">
        <f t="shared" si="6"/>
        <v>#REF!</v>
      </c>
      <c r="E80" s="1" t="e">
        <f t="shared" si="6"/>
        <v>#REF!</v>
      </c>
    </row>
    <row r="81" spans="1:5" ht="15.75" customHeight="1" x14ac:dyDescent="0.2">
      <c r="A81" s="1" t="e">
        <f t="shared" ref="A81:E81" si="7">IF(#REF!="Male",#REF!,"")</f>
        <v>#REF!</v>
      </c>
      <c r="B81" s="1" t="e">
        <f t="shared" si="7"/>
        <v>#REF!</v>
      </c>
      <c r="C81" s="1" t="e">
        <f t="shared" si="7"/>
        <v>#REF!</v>
      </c>
      <c r="D81" s="1" t="e">
        <f t="shared" si="7"/>
        <v>#REF!</v>
      </c>
      <c r="E81" s="1" t="e">
        <f t="shared" si="7"/>
        <v>#REF!</v>
      </c>
    </row>
    <row r="82" spans="1:5" ht="15.75" customHeight="1" x14ac:dyDescent="0.2">
      <c r="A82" s="1" t="str">
        <f>IF(REGISTRY!G74="Male",REGISTRY!A74,"")</f>
        <v/>
      </c>
      <c r="B82" s="1" t="str">
        <f>IF(REGISTRY!G74="Male",REGISTRY!M74,"")</f>
        <v/>
      </c>
      <c r="C82" s="1" t="str">
        <f>IF(REGISTRY!G74="Male",REGISTRY!K74,"")</f>
        <v/>
      </c>
      <c r="D82" s="1" t="str">
        <f>IF(REGISTRY!G74="Male",REGISTRY!P74,"")</f>
        <v/>
      </c>
      <c r="E82" s="1" t="str">
        <f>IF(REGISTRY!G74="Male",REGISTRY!L74,"")</f>
        <v/>
      </c>
    </row>
    <row r="83" spans="1:5" ht="15.75" customHeight="1" x14ac:dyDescent="0.2">
      <c r="A83" s="1" t="str">
        <f>IF(REGISTRY!G75="Male",REGISTRY!A75,"")</f>
        <v/>
      </c>
      <c r="B83" s="1" t="str">
        <f>IF(REGISTRY!G75="Male",REGISTRY!M75,"")</f>
        <v/>
      </c>
      <c r="C83" s="1" t="str">
        <f>IF(REGISTRY!G75="Male",REGISTRY!K75,"")</f>
        <v/>
      </c>
      <c r="D83" s="1" t="str">
        <f>IF(REGISTRY!G75="Male",REGISTRY!P75,"")</f>
        <v/>
      </c>
      <c r="E83" s="1" t="str">
        <f>IF(REGISTRY!G75="Male",REGISTRY!L75,"")</f>
        <v/>
      </c>
    </row>
    <row r="84" spans="1:5" ht="15.75" customHeight="1" x14ac:dyDescent="0.2">
      <c r="A84" s="1" t="str">
        <f>IF(REGISTRY!G76="Male",REGISTRY!A76,"")</f>
        <v/>
      </c>
      <c r="B84" s="1" t="str">
        <f>IF(REGISTRY!G76="Male",REGISTRY!M76,"")</f>
        <v/>
      </c>
      <c r="C84" s="1" t="str">
        <f>IF(REGISTRY!G76="Male",REGISTRY!K76,"")</f>
        <v/>
      </c>
      <c r="D84" s="1" t="str">
        <f>IF(REGISTRY!G76="Male",REGISTRY!P76,"")</f>
        <v/>
      </c>
      <c r="E84" s="1" t="str">
        <f>IF(REGISTRY!G76="Male",REGISTRY!L76,"")</f>
        <v/>
      </c>
    </row>
    <row r="85" spans="1:5" ht="15.75" customHeight="1" x14ac:dyDescent="0.2">
      <c r="A85" s="1" t="str">
        <f>IF(REGISTRY!G77="Male",REGISTRY!A77,"")</f>
        <v/>
      </c>
      <c r="B85" s="1" t="str">
        <f>IF(REGISTRY!G77="Male",REGISTRY!M77,"")</f>
        <v/>
      </c>
      <c r="C85" s="1" t="str">
        <f>IF(REGISTRY!G77="Male",REGISTRY!K77,"")</f>
        <v/>
      </c>
      <c r="D85" s="1" t="str">
        <f>IF(REGISTRY!G77="Male",REGISTRY!P77,"")</f>
        <v/>
      </c>
      <c r="E85" s="1" t="str">
        <f>IF(REGISTRY!G77="Male",REGISTRY!L77,"")</f>
        <v/>
      </c>
    </row>
    <row r="86" spans="1:5" ht="15.75" customHeight="1" x14ac:dyDescent="0.2">
      <c r="A86" s="1" t="str">
        <f>IF(REGISTRY!G78="Male",REGISTRY!A78,"")</f>
        <v/>
      </c>
      <c r="B86" s="1" t="str">
        <f>IF(REGISTRY!G78="Male",REGISTRY!M78,"")</f>
        <v/>
      </c>
      <c r="C86" s="1" t="str">
        <f>IF(REGISTRY!G78="Male",REGISTRY!K78,"")</f>
        <v/>
      </c>
      <c r="D86" s="1" t="str">
        <f>IF(REGISTRY!G78="Male",REGISTRY!P78,"")</f>
        <v/>
      </c>
      <c r="E86" s="1" t="str">
        <f>IF(REGISTRY!G78="Male",REGISTRY!L78,"")</f>
        <v/>
      </c>
    </row>
    <row r="87" spans="1:5" ht="15.75" customHeight="1" x14ac:dyDescent="0.2">
      <c r="A87" s="1" t="str">
        <f>IF(REGISTRY!G79="Male",REGISTRY!A79,"")</f>
        <v/>
      </c>
      <c r="B87" s="1" t="str">
        <f>IF(REGISTRY!G79="Male",REGISTRY!M79,"")</f>
        <v/>
      </c>
      <c r="C87" s="1" t="str">
        <f>IF(REGISTRY!G79="Male",REGISTRY!K79,"")</f>
        <v/>
      </c>
      <c r="D87" s="1" t="str">
        <f>IF(REGISTRY!G79="Male",REGISTRY!P79,"")</f>
        <v/>
      </c>
      <c r="E87" s="1" t="str">
        <f>IF(REGISTRY!G79="Male",REGISTRY!L79,"")</f>
        <v/>
      </c>
    </row>
    <row r="88" spans="1:5" ht="15.75" customHeight="1" x14ac:dyDescent="0.2">
      <c r="A88" s="1" t="e">
        <f t="shared" ref="A88:E88" si="8">IF(#REF!="Male",#REF!,"")</f>
        <v>#REF!</v>
      </c>
      <c r="B88" s="1" t="e">
        <f t="shared" si="8"/>
        <v>#REF!</v>
      </c>
      <c r="C88" s="1" t="e">
        <f t="shared" si="8"/>
        <v>#REF!</v>
      </c>
      <c r="D88" s="1" t="e">
        <f t="shared" si="8"/>
        <v>#REF!</v>
      </c>
      <c r="E88" s="1" t="e">
        <f t="shared" si="8"/>
        <v>#REF!</v>
      </c>
    </row>
    <row r="89" spans="1:5" ht="15.75" customHeight="1" x14ac:dyDescent="0.2">
      <c r="A89" s="1" t="str">
        <f>IF(REGISTRY!G80="Male",REGISTRY!A80,"")</f>
        <v/>
      </c>
      <c r="B89" s="1" t="str">
        <f>IF(REGISTRY!G80="Male",REGISTRY!M80,"")</f>
        <v/>
      </c>
      <c r="C89" s="1" t="str">
        <f>IF(REGISTRY!G80="Male",REGISTRY!K80,"")</f>
        <v/>
      </c>
      <c r="D89" s="1" t="str">
        <f>IF(REGISTRY!G80="Male",REGISTRY!P80,"")</f>
        <v/>
      </c>
      <c r="E89" s="1" t="str">
        <f>IF(REGISTRY!G80="Male",REGISTRY!L80,"")</f>
        <v/>
      </c>
    </row>
    <row r="90" spans="1:5" ht="15.75" customHeight="1" x14ac:dyDescent="0.2">
      <c r="A90" s="1" t="str">
        <f>IF(REGISTRY!G81="Male",REGISTRY!A81,"")</f>
        <v/>
      </c>
      <c r="B90" s="1" t="str">
        <f>IF(REGISTRY!G81="Male",REGISTRY!M81,"")</f>
        <v/>
      </c>
      <c r="C90" s="1" t="str">
        <f>IF(REGISTRY!G81="Male",REGISTRY!K81,"")</f>
        <v/>
      </c>
      <c r="D90" s="1" t="str">
        <f>IF(REGISTRY!G81="Male",REGISTRY!P81,"")</f>
        <v/>
      </c>
      <c r="E90" s="1" t="str">
        <f>IF(REGISTRY!G81="Male",REGISTRY!L81,"")</f>
        <v/>
      </c>
    </row>
    <row r="91" spans="1:5" ht="15.75" customHeight="1" x14ac:dyDescent="0.2">
      <c r="A91" s="1" t="str">
        <f>IF(REGISTRY!G82="Male",REGISTRY!A82,"")</f>
        <v/>
      </c>
      <c r="B91" s="1" t="str">
        <f>IF(REGISTRY!G82="Male",REGISTRY!M82,"")</f>
        <v/>
      </c>
      <c r="C91" s="1" t="str">
        <f>IF(REGISTRY!G82="Male",REGISTRY!K82,"")</f>
        <v/>
      </c>
      <c r="D91" s="1" t="str">
        <f>IF(REGISTRY!G82="Male",REGISTRY!P82,"")</f>
        <v/>
      </c>
      <c r="E91" s="1" t="str">
        <f>IF(REGISTRY!G82="Male",REGISTRY!L82,"")</f>
        <v/>
      </c>
    </row>
    <row r="92" spans="1:5" ht="15.75" customHeight="1" x14ac:dyDescent="0.2">
      <c r="A92" s="1" t="e">
        <f t="shared" ref="A92:E92" si="9">IF(#REF!="Male",#REF!,"")</f>
        <v>#REF!</v>
      </c>
      <c r="B92" s="1" t="e">
        <f t="shared" si="9"/>
        <v>#REF!</v>
      </c>
      <c r="C92" s="1" t="e">
        <f t="shared" si="9"/>
        <v>#REF!</v>
      </c>
      <c r="D92" s="1" t="e">
        <f t="shared" si="9"/>
        <v>#REF!</v>
      </c>
      <c r="E92" s="1" t="e">
        <f t="shared" si="9"/>
        <v>#REF!</v>
      </c>
    </row>
    <row r="93" spans="1:5" ht="15.75" customHeight="1" x14ac:dyDescent="0.2">
      <c r="A93" s="1" t="e">
        <f t="shared" ref="A93:E93" si="10">IF(#REF!="Male",#REF!,"")</f>
        <v>#REF!</v>
      </c>
      <c r="B93" s="1" t="e">
        <f t="shared" si="10"/>
        <v>#REF!</v>
      </c>
      <c r="C93" s="1" t="e">
        <f t="shared" si="10"/>
        <v>#REF!</v>
      </c>
      <c r="D93" s="1" t="e">
        <f t="shared" si="10"/>
        <v>#REF!</v>
      </c>
      <c r="E93" s="1" t="e">
        <f t="shared" si="10"/>
        <v>#REF!</v>
      </c>
    </row>
    <row r="94" spans="1:5" ht="15.75" customHeight="1" x14ac:dyDescent="0.2">
      <c r="A94" s="1" t="str">
        <f>IF(REGISTRY!G83="Male",REGISTRY!A83,"")</f>
        <v/>
      </c>
      <c r="B94" s="1" t="str">
        <f>IF(REGISTRY!G83="Male",REGISTRY!M83,"")</f>
        <v/>
      </c>
      <c r="C94" s="1" t="str">
        <f>IF(REGISTRY!G83="Male",REGISTRY!K83,"")</f>
        <v/>
      </c>
      <c r="D94" s="1" t="str">
        <f>IF(REGISTRY!G83="Male",REGISTRY!P83,"")</f>
        <v/>
      </c>
      <c r="E94" s="1" t="str">
        <f>IF(REGISTRY!G83="Male",REGISTRY!L83,"")</f>
        <v/>
      </c>
    </row>
    <row r="95" spans="1:5" ht="15.75" customHeight="1" x14ac:dyDescent="0.2">
      <c r="A95" s="1" t="str">
        <f>IF(REGISTRY!G84="Male",REGISTRY!A84,"")</f>
        <v/>
      </c>
      <c r="B95" s="1" t="str">
        <f>IF(REGISTRY!G84="Male",REGISTRY!M84,"")</f>
        <v/>
      </c>
      <c r="C95" s="1" t="str">
        <f>IF(REGISTRY!G84="Male",REGISTRY!K84,"")</f>
        <v/>
      </c>
      <c r="D95" s="1" t="str">
        <f>IF(REGISTRY!G84="Male",REGISTRY!P84,"")</f>
        <v/>
      </c>
      <c r="E95" s="1" t="str">
        <f>IF(REGISTRY!G84="Male",REGISTRY!L84,"")</f>
        <v/>
      </c>
    </row>
    <row r="96" spans="1:5" ht="15.75" customHeight="1" x14ac:dyDescent="0.2">
      <c r="A96" s="1" t="e">
        <f t="shared" ref="A96:E96" si="11">IF(#REF!="Male",#REF!,"")</f>
        <v>#REF!</v>
      </c>
      <c r="B96" s="1" t="e">
        <f t="shared" si="11"/>
        <v>#REF!</v>
      </c>
      <c r="C96" s="1" t="e">
        <f t="shared" si="11"/>
        <v>#REF!</v>
      </c>
      <c r="D96" s="1" t="e">
        <f t="shared" si="11"/>
        <v>#REF!</v>
      </c>
      <c r="E96" s="1" t="e">
        <f t="shared" si="11"/>
        <v>#REF!</v>
      </c>
    </row>
    <row r="97" spans="1:5" ht="15.75" customHeight="1" x14ac:dyDescent="0.2">
      <c r="A97" s="1" t="e">
        <f t="shared" ref="A97:E97" si="12">IF(#REF!="Male",#REF!,"")</f>
        <v>#REF!</v>
      </c>
      <c r="B97" s="1" t="e">
        <f t="shared" si="12"/>
        <v>#REF!</v>
      </c>
      <c r="C97" s="1" t="e">
        <f t="shared" si="12"/>
        <v>#REF!</v>
      </c>
      <c r="D97" s="1" t="e">
        <f t="shared" si="12"/>
        <v>#REF!</v>
      </c>
      <c r="E97" s="1" t="e">
        <f t="shared" si="12"/>
        <v>#REF!</v>
      </c>
    </row>
    <row r="98" spans="1:5" ht="15.75" customHeight="1" x14ac:dyDescent="0.2">
      <c r="A98" s="1" t="e">
        <f t="shared" ref="A98:E98" si="13">IF(#REF!="Male",#REF!,"")</f>
        <v>#REF!</v>
      </c>
      <c r="B98" s="1" t="e">
        <f t="shared" si="13"/>
        <v>#REF!</v>
      </c>
      <c r="C98" s="1" t="e">
        <f t="shared" si="13"/>
        <v>#REF!</v>
      </c>
      <c r="D98" s="1" t="e">
        <f t="shared" si="13"/>
        <v>#REF!</v>
      </c>
      <c r="E98" s="1" t="e">
        <f t="shared" si="13"/>
        <v>#REF!</v>
      </c>
    </row>
    <row r="99" spans="1:5" ht="15.75" customHeight="1" x14ac:dyDescent="0.2">
      <c r="A99" s="1" t="str">
        <f>IF(REGISTRY!G85="Male",REGISTRY!A85,"")</f>
        <v/>
      </c>
      <c r="B99" s="1" t="str">
        <f>IF(REGISTRY!G85="Male",REGISTRY!M85,"")</f>
        <v/>
      </c>
      <c r="C99" s="1" t="str">
        <f>IF(REGISTRY!G85="Male",REGISTRY!K85,"")</f>
        <v/>
      </c>
      <c r="D99" s="1" t="str">
        <f>IF(REGISTRY!G85="Male",REGISTRY!P85,"")</f>
        <v/>
      </c>
      <c r="E99" s="1" t="str">
        <f>IF(REGISTRY!G85="Male",REGISTRY!L85,"")</f>
        <v/>
      </c>
    </row>
    <row r="100" spans="1:5" ht="15.75" customHeight="1" x14ac:dyDescent="0.2">
      <c r="A100" s="1" t="e">
        <f t="shared" ref="A100:E100" si="14">IF(#REF!="Male",#REF!,"")</f>
        <v>#REF!</v>
      </c>
      <c r="B100" s="1" t="e">
        <f t="shared" si="14"/>
        <v>#REF!</v>
      </c>
      <c r="C100" s="1" t="e">
        <f t="shared" si="14"/>
        <v>#REF!</v>
      </c>
      <c r="D100" s="1" t="e">
        <f t="shared" si="14"/>
        <v>#REF!</v>
      </c>
      <c r="E100" s="1" t="e">
        <f t="shared" si="14"/>
        <v>#REF!</v>
      </c>
    </row>
    <row r="101" spans="1:5" ht="15.75" customHeight="1" x14ac:dyDescent="0.2">
      <c r="A101" s="1" t="str">
        <f>IF(REGISTRY!G86="Male",REGISTRY!A86,"")</f>
        <v/>
      </c>
      <c r="B101" s="1" t="str">
        <f>IF(REGISTRY!G86="Male",REGISTRY!M86,"")</f>
        <v/>
      </c>
      <c r="C101" s="1" t="str">
        <f>IF(REGISTRY!G86="Male",REGISTRY!K86,"")</f>
        <v/>
      </c>
      <c r="D101" s="1" t="str">
        <f>IF(REGISTRY!G86="Male",REGISTRY!P86,"")</f>
        <v/>
      </c>
      <c r="E101" s="1" t="str">
        <f>IF(REGISTRY!G86="Male",REGISTRY!L86,"")</f>
        <v/>
      </c>
    </row>
    <row r="102" spans="1:5" ht="15.75" customHeight="1" x14ac:dyDescent="0.2">
      <c r="A102" s="1" t="str">
        <f>IF(REGISTRY!G87="Male",REGISTRY!A87,"")</f>
        <v/>
      </c>
      <c r="B102" s="1" t="str">
        <f>IF(REGISTRY!G87="Male",REGISTRY!M87,"")</f>
        <v/>
      </c>
      <c r="C102" s="1" t="str">
        <f>IF(REGISTRY!G87="Male",REGISTRY!K87,"")</f>
        <v/>
      </c>
      <c r="D102" s="1" t="str">
        <f>IF(REGISTRY!G87="Male",REGISTRY!P87,"")</f>
        <v/>
      </c>
      <c r="E102" s="1" t="str">
        <f>IF(REGISTRY!G87="Male",REGISTRY!L87,"")</f>
        <v/>
      </c>
    </row>
    <row r="103" spans="1:5" ht="15.75" customHeight="1" x14ac:dyDescent="0.2">
      <c r="A103" s="1" t="str">
        <f>IF(REGISTRY!G88="Male",REGISTRY!A88,"")</f>
        <v/>
      </c>
      <c r="B103" s="1" t="str">
        <f>IF(REGISTRY!G88="Male",REGISTRY!M88,"")</f>
        <v/>
      </c>
      <c r="C103" s="1" t="str">
        <f>IF(REGISTRY!G88="Male",REGISTRY!K88,"")</f>
        <v/>
      </c>
      <c r="D103" s="1" t="str">
        <f>IF(REGISTRY!G88="Male",REGISTRY!P88,"")</f>
        <v/>
      </c>
      <c r="E103" s="1" t="str">
        <f>IF(REGISTRY!G88="Male",REGISTRY!L88,"")</f>
        <v/>
      </c>
    </row>
    <row r="104" spans="1:5" ht="15.75" customHeight="1" x14ac:dyDescent="0.2">
      <c r="A104" s="1" t="str">
        <f>IF(REGISTRY!G89="Male",REGISTRY!A89,"")</f>
        <v/>
      </c>
      <c r="B104" s="1" t="str">
        <f>IF(REGISTRY!G89="Male",REGISTRY!M89,"")</f>
        <v/>
      </c>
      <c r="C104" s="1" t="str">
        <f>IF(REGISTRY!G89="Male",REGISTRY!K89,"")</f>
        <v/>
      </c>
      <c r="D104" s="1" t="str">
        <f>IF(REGISTRY!G89="Male",REGISTRY!P89,"")</f>
        <v/>
      </c>
      <c r="E104" s="1" t="str">
        <f>IF(REGISTRY!G89="Male",REGISTRY!L89,"")</f>
        <v/>
      </c>
    </row>
    <row r="105" spans="1:5" ht="15.75" customHeight="1" x14ac:dyDescent="0.2">
      <c r="A105" s="1" t="str">
        <f>IF(REGISTRY!G90="Male",REGISTRY!A90,"")</f>
        <v/>
      </c>
      <c r="B105" s="1" t="str">
        <f>IF(REGISTRY!G90="Male",REGISTRY!M90,"")</f>
        <v/>
      </c>
      <c r="C105" s="1" t="str">
        <f>IF(REGISTRY!G90="Male",REGISTRY!K90,"")</f>
        <v/>
      </c>
      <c r="D105" s="1" t="str">
        <f>IF(REGISTRY!G90="Male",REGISTRY!P90,"")</f>
        <v/>
      </c>
      <c r="E105" s="1" t="str">
        <f>IF(REGISTRY!G90="Male",REGISTRY!L90,"")</f>
        <v/>
      </c>
    </row>
    <row r="106" spans="1:5" ht="15.75" customHeight="1" x14ac:dyDescent="0.2">
      <c r="A106" s="1" t="str">
        <f>IF(REGISTRY!G91="Male",REGISTRY!A91,"")</f>
        <v/>
      </c>
      <c r="B106" s="1" t="str">
        <f>IF(REGISTRY!G91="Male",REGISTRY!M91,"")</f>
        <v/>
      </c>
      <c r="C106" s="1" t="str">
        <f>IF(REGISTRY!G91="Male",REGISTRY!K91,"")</f>
        <v/>
      </c>
      <c r="D106" s="1" t="str">
        <f>IF(REGISTRY!G91="Male",REGISTRY!P91,"")</f>
        <v/>
      </c>
      <c r="E106" s="1" t="str">
        <f>IF(REGISTRY!G91="Male",REGISTRY!L91,"")</f>
        <v/>
      </c>
    </row>
    <row r="107" spans="1:5" ht="15.75" customHeight="1" x14ac:dyDescent="0.2">
      <c r="A107" s="1" t="str">
        <f>IF(REGISTRY!G92="Male",REGISTRY!A92,"")</f>
        <v/>
      </c>
      <c r="B107" s="1" t="str">
        <f>IF(REGISTRY!G92="Male",REGISTRY!M92,"")</f>
        <v/>
      </c>
      <c r="C107" s="1" t="str">
        <f>IF(REGISTRY!G92="Male",REGISTRY!K92,"")</f>
        <v/>
      </c>
      <c r="D107" s="1" t="str">
        <f>IF(REGISTRY!G92="Male",REGISTRY!P92,"")</f>
        <v/>
      </c>
      <c r="E107" s="1" t="str">
        <f>IF(REGISTRY!G92="Male",REGISTRY!L92,"")</f>
        <v/>
      </c>
    </row>
    <row r="108" spans="1:5" ht="15.75" customHeight="1" x14ac:dyDescent="0.2">
      <c r="A108" s="1" t="str">
        <f>IF(REGISTRY!G93="Male",REGISTRY!A93,"")</f>
        <v/>
      </c>
      <c r="B108" s="1" t="str">
        <f>IF(REGISTRY!G93="Male",REGISTRY!M93,"")</f>
        <v/>
      </c>
      <c r="C108" s="1" t="str">
        <f>IF(REGISTRY!G93="Male",REGISTRY!K93,"")</f>
        <v/>
      </c>
      <c r="D108" s="1" t="str">
        <f>IF(REGISTRY!G93="Male",REGISTRY!P93,"")</f>
        <v/>
      </c>
      <c r="E108" s="1" t="str">
        <f>IF(REGISTRY!G93="Male",REGISTRY!L93,"")</f>
        <v/>
      </c>
    </row>
    <row r="109" spans="1:5" ht="15.75" customHeight="1" x14ac:dyDescent="0.2">
      <c r="A109" s="1" t="str">
        <f>IF(REGISTRY!G94="Male",REGISTRY!A94,"")</f>
        <v/>
      </c>
      <c r="B109" s="1" t="str">
        <f>IF(REGISTRY!G94="Male",REGISTRY!M94,"")</f>
        <v/>
      </c>
      <c r="C109" s="1" t="str">
        <f>IF(REGISTRY!G94="Male",REGISTRY!K94,"")</f>
        <v/>
      </c>
      <c r="D109" s="1" t="str">
        <f>IF(REGISTRY!G94="Male",REGISTRY!P94,"")</f>
        <v/>
      </c>
      <c r="E109" s="1" t="str">
        <f>IF(REGISTRY!G94="Male",REGISTRY!L94,"")</f>
        <v/>
      </c>
    </row>
    <row r="110" spans="1:5" ht="15.75" customHeight="1" x14ac:dyDescent="0.2">
      <c r="A110" s="1" t="str">
        <f>IF(REGISTRY!G95="Male",REGISTRY!A95,"")</f>
        <v/>
      </c>
      <c r="B110" s="1" t="str">
        <f>IF(REGISTRY!G95="Male",REGISTRY!M95,"")</f>
        <v/>
      </c>
      <c r="C110" s="1" t="str">
        <f>IF(REGISTRY!G95="Male",REGISTRY!K95,"")</f>
        <v/>
      </c>
      <c r="D110" s="1" t="str">
        <f>IF(REGISTRY!G95="Male",REGISTRY!P95,"")</f>
        <v/>
      </c>
      <c r="E110" s="1" t="str">
        <f>IF(REGISTRY!G95="Male",REGISTRY!L95,"")</f>
        <v/>
      </c>
    </row>
    <row r="111" spans="1:5" ht="15.75" customHeight="1" x14ac:dyDescent="0.2">
      <c r="A111" s="1" t="str">
        <f>IF(REGISTRY!G96="Male",REGISTRY!A96,"")</f>
        <v/>
      </c>
      <c r="B111" s="1" t="str">
        <f>IF(REGISTRY!G96="Male",REGISTRY!M96,"")</f>
        <v/>
      </c>
      <c r="C111" s="1" t="str">
        <f>IF(REGISTRY!G96="Male",REGISTRY!K96,"")</f>
        <v/>
      </c>
      <c r="D111" s="1" t="str">
        <f>IF(REGISTRY!G96="Male",REGISTRY!P96,"")</f>
        <v/>
      </c>
      <c r="E111" s="1" t="str">
        <f>IF(REGISTRY!G96="Male",REGISTRY!L96,"")</f>
        <v/>
      </c>
    </row>
    <row r="112" spans="1:5" ht="15.75" customHeight="1" x14ac:dyDescent="0.2">
      <c r="A112" s="1" t="str">
        <f>IF(REGISTRY!G97="Male",REGISTRY!A97,"")</f>
        <v/>
      </c>
      <c r="B112" s="1" t="str">
        <f>IF(REGISTRY!G97="Male",REGISTRY!M97,"")</f>
        <v/>
      </c>
      <c r="C112" s="1" t="str">
        <f>IF(REGISTRY!G97="Male",REGISTRY!K97,"")</f>
        <v/>
      </c>
      <c r="D112" s="1" t="str">
        <f>IF(REGISTRY!G97="Male",REGISTRY!P97,"")</f>
        <v/>
      </c>
      <c r="E112" s="1" t="str">
        <f>IF(REGISTRY!G97="Male",REGISTRY!L97,"")</f>
        <v/>
      </c>
    </row>
    <row r="113" spans="1:5" ht="15.75" customHeight="1" x14ac:dyDescent="0.2">
      <c r="A113" s="1" t="str">
        <f>IF(REGISTRY!G98="Male",REGISTRY!A98,"")</f>
        <v/>
      </c>
      <c r="B113" s="1" t="str">
        <f>IF(REGISTRY!G98="Male",REGISTRY!M98,"")</f>
        <v/>
      </c>
      <c r="C113" s="1" t="str">
        <f>IF(REGISTRY!G98="Male",REGISTRY!K98,"")</f>
        <v/>
      </c>
      <c r="D113" s="1" t="str">
        <f>IF(REGISTRY!G98="Male",REGISTRY!P98,"")</f>
        <v/>
      </c>
      <c r="E113" s="1" t="str">
        <f>IF(REGISTRY!G98="Male",REGISTRY!L98,"")</f>
        <v/>
      </c>
    </row>
    <row r="114" spans="1:5" ht="15.75" customHeight="1" x14ac:dyDescent="0.2">
      <c r="A114" s="1" t="str">
        <f>IF(REGISTRY!G99="Male",REGISTRY!A99,"")</f>
        <v>P098</v>
      </c>
      <c r="B114" s="1" t="str">
        <f>IF(REGISTRY!G99="Male",REGISTRY!M99,"")</f>
        <v>ابراهيم بن يزيد بن ابراهيم ناصر</v>
      </c>
      <c r="C114" s="1">
        <f>IF(REGISTRY!G99="Male",REGISTRY!K99,"")</f>
        <v>8</v>
      </c>
      <c r="D114" s="1">
        <f>IF(REGISTRY!G99="Male",REGISTRY!P99,"")</f>
        <v>0</v>
      </c>
      <c r="E114" s="1" t="str">
        <f>IF(REGISTRY!G99="Male",REGISTRY!L99,"")</f>
        <v>الابراهيم</v>
      </c>
    </row>
    <row r="115" spans="1:5" ht="15.75" customHeight="1" x14ac:dyDescent="0.2">
      <c r="A115" s="1" t="str">
        <f>IF(REGISTRY!G100="Male",REGISTRY!A100,"")</f>
        <v>P099</v>
      </c>
      <c r="B115" s="1" t="str">
        <f>IF(REGISTRY!G100="Male",REGISTRY!M100,"")</f>
        <v>عبدالرحمن بن يزيد بن ابراهيم ناصر</v>
      </c>
      <c r="C115" s="1">
        <f>IF(REGISTRY!G100="Male",REGISTRY!K100,"")</f>
        <v>8</v>
      </c>
      <c r="D115" s="1">
        <f>IF(REGISTRY!G100="Male",REGISTRY!P100,"")</f>
        <v>0</v>
      </c>
      <c r="E115" s="1" t="str">
        <f>IF(REGISTRY!G100="Male",REGISTRY!L100,"")</f>
        <v>الابراهيم</v>
      </c>
    </row>
    <row r="116" spans="1:5" ht="15.75" customHeight="1" x14ac:dyDescent="0.2">
      <c r="A116" s="1" t="str">
        <f>IF(REGISTRY!G101="Male",REGISTRY!A101,"")</f>
        <v/>
      </c>
      <c r="B116" s="1" t="str">
        <f>IF(REGISTRY!G101="Male",REGISTRY!M101,"")</f>
        <v/>
      </c>
      <c r="C116" s="1" t="str">
        <f>IF(REGISTRY!G101="Male",REGISTRY!K101,"")</f>
        <v/>
      </c>
      <c r="D116" s="1" t="str">
        <f>IF(REGISTRY!G101="Male",REGISTRY!P101,"")</f>
        <v/>
      </c>
      <c r="E116" s="1" t="str">
        <f>IF(REGISTRY!G101="Male",REGISTRY!L101,"")</f>
        <v/>
      </c>
    </row>
    <row r="117" spans="1:5" ht="15.75" customHeight="1" x14ac:dyDescent="0.2">
      <c r="A117" s="1" t="e">
        <f t="shared" ref="A117:E117" si="15">IF(#REF!="Male",#REF!,"")</f>
        <v>#REF!</v>
      </c>
      <c r="B117" s="1" t="e">
        <f t="shared" si="15"/>
        <v>#REF!</v>
      </c>
      <c r="C117" s="1" t="e">
        <f t="shared" si="15"/>
        <v>#REF!</v>
      </c>
      <c r="D117" s="1" t="e">
        <f t="shared" si="15"/>
        <v>#REF!</v>
      </c>
      <c r="E117" s="1" t="e">
        <f t="shared" si="15"/>
        <v>#REF!</v>
      </c>
    </row>
    <row r="118" spans="1:5" ht="15.75" customHeight="1" x14ac:dyDescent="0.2">
      <c r="A118" s="1" t="str">
        <f>IF(REGISTRY!G102="Male",REGISTRY!A102,"")</f>
        <v/>
      </c>
      <c r="B118" s="1" t="str">
        <f>IF(REGISTRY!G102="Male",REGISTRY!M102,"")</f>
        <v/>
      </c>
      <c r="C118" s="1" t="str">
        <f>IF(REGISTRY!G102="Male",REGISTRY!K102,"")</f>
        <v/>
      </c>
      <c r="D118" s="1" t="str">
        <f>IF(REGISTRY!G102="Male",REGISTRY!P102,"")</f>
        <v/>
      </c>
      <c r="E118" s="1" t="str">
        <f>IF(REGISTRY!G102="Male",REGISTRY!L102,"")</f>
        <v/>
      </c>
    </row>
    <row r="119" spans="1:5" ht="15.75" customHeight="1" x14ac:dyDescent="0.2">
      <c r="A119" s="1" t="str">
        <f>IF(REGISTRY!G103="Male",REGISTRY!A103,"")</f>
        <v>P102</v>
      </c>
      <c r="B119" s="1" t="str">
        <f>IF(REGISTRY!G103="Male",REGISTRY!M103,"")</f>
        <v>ابراهيم بن ناصر بن ابراهيم ناصر</v>
      </c>
      <c r="C119" s="1">
        <f>IF(REGISTRY!G103="Male",REGISTRY!K103,"")</f>
        <v>8</v>
      </c>
      <c r="D119" s="1">
        <f>IF(REGISTRY!G103="Male",REGISTRY!P103,"")</f>
        <v>0</v>
      </c>
      <c r="E119" s="1" t="str">
        <f>IF(REGISTRY!G103="Male",REGISTRY!L103,"")</f>
        <v>الابراهيم</v>
      </c>
    </row>
    <row r="120" spans="1:5" ht="15.75" customHeight="1" x14ac:dyDescent="0.2">
      <c r="A120" s="1" t="str">
        <f>IF(REGISTRY!G104="Male",REGISTRY!A104,"")</f>
        <v/>
      </c>
      <c r="B120" s="1" t="str">
        <f>IF(REGISTRY!G104="Male",REGISTRY!M104,"")</f>
        <v/>
      </c>
      <c r="C120" s="1" t="str">
        <f>IF(REGISTRY!G104="Male",REGISTRY!K104,"")</f>
        <v/>
      </c>
      <c r="D120" s="1" t="str">
        <f>IF(REGISTRY!G104="Male",REGISTRY!P104,"")</f>
        <v/>
      </c>
      <c r="E120" s="1" t="str">
        <f>IF(REGISTRY!G104="Male",REGISTRY!L104,"")</f>
        <v/>
      </c>
    </row>
    <row r="121" spans="1:5" ht="15.75" customHeight="1" x14ac:dyDescent="0.2">
      <c r="A121" s="1" t="str">
        <f>IF(REGISTRY!G105="Male",REGISTRY!A105,"")</f>
        <v>P104</v>
      </c>
      <c r="B121" s="1" t="str">
        <f>IF(REGISTRY!G105="Male",REGISTRY!M105,"")</f>
        <v>ابراهيم بن عبدالعزيز بن ابراهيم ناصر</v>
      </c>
      <c r="C121" s="1">
        <f>IF(REGISTRY!G105="Male",REGISTRY!K105,"")</f>
        <v>8</v>
      </c>
      <c r="D121" s="1">
        <f>IF(REGISTRY!G105="Male",REGISTRY!P105,"")</f>
        <v>0</v>
      </c>
      <c r="E121" s="1" t="str">
        <f>IF(REGISTRY!G105="Male",REGISTRY!L105,"")</f>
        <v>الابراهيم</v>
      </c>
    </row>
    <row r="122" spans="1:5" ht="15.75" customHeight="1" x14ac:dyDescent="0.2">
      <c r="A122" s="1" t="str">
        <f>IF(REGISTRY!G106="Male",REGISTRY!A106,"")</f>
        <v/>
      </c>
      <c r="B122" s="1" t="str">
        <f>IF(REGISTRY!G106="Male",REGISTRY!M106,"")</f>
        <v/>
      </c>
      <c r="C122" s="1" t="str">
        <f>IF(REGISTRY!G106="Male",REGISTRY!K106,"")</f>
        <v/>
      </c>
      <c r="D122" s="1" t="str">
        <f>IF(REGISTRY!G106="Male",REGISTRY!P106,"")</f>
        <v/>
      </c>
      <c r="E122" s="1" t="str">
        <f>IF(REGISTRY!G106="Male",REGISTRY!L106,"")</f>
        <v/>
      </c>
    </row>
    <row r="123" spans="1:5" ht="15.75" customHeight="1" x14ac:dyDescent="0.2">
      <c r="A123" s="1" t="str">
        <f>IF(REGISTRY!G107="Male",REGISTRY!A107,"")</f>
        <v>P106</v>
      </c>
      <c r="B123" s="1" t="str">
        <f>IF(REGISTRY!G107="Male",REGISTRY!M107,"")</f>
        <v>عبدالله بن خالد بن محمد ناصر</v>
      </c>
      <c r="C123" s="1">
        <f>IF(REGISTRY!G107="Male",REGISTRY!K107,"")</f>
        <v>8</v>
      </c>
      <c r="D123" s="1">
        <f>IF(REGISTRY!G107="Male",REGISTRY!P107,"")</f>
        <v>0</v>
      </c>
      <c r="E123" s="1" t="str">
        <f>IF(REGISTRY!G107="Male",REGISTRY!L107,"")</f>
        <v>الابراهيم</v>
      </c>
    </row>
    <row r="124" spans="1:5" ht="15.75" customHeight="1" x14ac:dyDescent="0.2">
      <c r="A124" s="1" t="str">
        <f>IF(REGISTRY!G108="Male",REGISTRY!A108,"")</f>
        <v/>
      </c>
      <c r="B124" s="1" t="str">
        <f>IF(REGISTRY!G108="Male",REGISTRY!M108,"")</f>
        <v/>
      </c>
      <c r="C124" s="1" t="str">
        <f>IF(REGISTRY!G108="Male",REGISTRY!K108,"")</f>
        <v/>
      </c>
      <c r="D124" s="1" t="str">
        <f>IF(REGISTRY!G108="Male",REGISTRY!P108,"")</f>
        <v/>
      </c>
      <c r="E124" s="1" t="str">
        <f>IF(REGISTRY!G108="Male",REGISTRY!L108,"")</f>
        <v/>
      </c>
    </row>
    <row r="125" spans="1:5" ht="15.75" customHeight="1" x14ac:dyDescent="0.2">
      <c r="A125" s="1" t="e">
        <f t="shared" ref="A125:E125" si="16">IF(#REF!="Male",#REF!,"")</f>
        <v>#REF!</v>
      </c>
      <c r="B125" s="1" t="e">
        <f t="shared" si="16"/>
        <v>#REF!</v>
      </c>
      <c r="C125" s="1" t="e">
        <f t="shared" si="16"/>
        <v>#REF!</v>
      </c>
      <c r="D125" s="1" t="e">
        <f t="shared" si="16"/>
        <v>#REF!</v>
      </c>
      <c r="E125" s="1" t="e">
        <f t="shared" si="16"/>
        <v>#REF!</v>
      </c>
    </row>
    <row r="126" spans="1:5" ht="15.75" customHeight="1" x14ac:dyDescent="0.2">
      <c r="A126" s="1" t="str">
        <f>IF(REGISTRY!G109="Male",REGISTRY!A109,"")</f>
        <v>P108</v>
      </c>
      <c r="B126" s="1" t="str">
        <f>IF(REGISTRY!G109="Male",REGISTRY!M109,"")</f>
        <v>محمد بن خالد بن محمد ناصر</v>
      </c>
      <c r="C126" s="1">
        <f>IF(REGISTRY!G109="Male",REGISTRY!K109,"")</f>
        <v>8</v>
      </c>
      <c r="D126" s="1">
        <f>IF(REGISTRY!G109="Male",REGISTRY!P109,"")</f>
        <v>0</v>
      </c>
      <c r="E126" s="1" t="str">
        <f>IF(REGISTRY!G109="Male",REGISTRY!L109,"")</f>
        <v>الابراهيم</v>
      </c>
    </row>
    <row r="127" spans="1:5" ht="15.75" customHeight="1" x14ac:dyDescent="0.2">
      <c r="A127" s="1" t="e">
        <f t="shared" ref="A127:E127" si="17">IF(#REF!="Male",#REF!,"")</f>
        <v>#REF!</v>
      </c>
      <c r="B127" s="1" t="e">
        <f t="shared" si="17"/>
        <v>#REF!</v>
      </c>
      <c r="C127" s="1" t="e">
        <f t="shared" si="17"/>
        <v>#REF!</v>
      </c>
      <c r="D127" s="1" t="e">
        <f t="shared" si="17"/>
        <v>#REF!</v>
      </c>
      <c r="E127" s="1" t="e">
        <f t="shared" si="17"/>
        <v>#REF!</v>
      </c>
    </row>
    <row r="128" spans="1:5" ht="15.75" customHeight="1" x14ac:dyDescent="0.2">
      <c r="A128" s="1" t="str">
        <f>IF(REGISTRY!G110="Male",REGISTRY!A110,"")</f>
        <v>P109</v>
      </c>
      <c r="B128" s="1" t="str">
        <f>IF(REGISTRY!G110="Male",REGISTRY!M110,"")</f>
        <v>سعد بن ناصر بن سعد ناصر</v>
      </c>
      <c r="C128" s="1">
        <f>IF(REGISTRY!G110="Male",REGISTRY!K110,"")</f>
        <v>8</v>
      </c>
      <c r="D128" s="1">
        <f>IF(REGISTRY!G110="Male",REGISTRY!P110,"")</f>
        <v>0</v>
      </c>
      <c r="E128" s="1" t="str">
        <f>IF(REGISTRY!G110="Male",REGISTRY!L110,"")</f>
        <v>الابراهيم</v>
      </c>
    </row>
    <row r="129" spans="1:5" ht="15.75" customHeight="1" x14ac:dyDescent="0.2">
      <c r="A129" s="1" t="str">
        <f>IF(REGISTRY!G111="Male",REGISTRY!A111,"")</f>
        <v>P110</v>
      </c>
      <c r="B129" s="1" t="str">
        <f>IF(REGISTRY!G111="Male",REGISTRY!M111,"")</f>
        <v>سلطان بن ناصر بن سعد ناصر</v>
      </c>
      <c r="C129" s="1">
        <f>IF(REGISTRY!G111="Male",REGISTRY!K111,"")</f>
        <v>8</v>
      </c>
      <c r="D129" s="1">
        <f>IF(REGISTRY!G111="Male",REGISTRY!P111,"")</f>
        <v>0</v>
      </c>
      <c r="E129" s="1" t="str">
        <f>IF(REGISTRY!G111="Male",REGISTRY!L111,"")</f>
        <v>الابراهيم</v>
      </c>
    </row>
    <row r="130" spans="1:5" ht="15.75" customHeight="1" x14ac:dyDescent="0.2">
      <c r="A130" s="1" t="str">
        <f>IF(REGISTRY!G112="Male",REGISTRY!A112,"")</f>
        <v/>
      </c>
      <c r="B130" s="1" t="str">
        <f>IF(REGISTRY!G112="Male",REGISTRY!M112,"")</f>
        <v/>
      </c>
      <c r="C130" s="1" t="str">
        <f>IF(REGISTRY!G112="Male",REGISTRY!K112,"")</f>
        <v/>
      </c>
      <c r="D130" s="1" t="str">
        <f>IF(REGISTRY!G112="Male",REGISTRY!P112,"")</f>
        <v/>
      </c>
      <c r="E130" s="1" t="str">
        <f>IF(REGISTRY!G112="Male",REGISTRY!L112,"")</f>
        <v/>
      </c>
    </row>
    <row r="131" spans="1:5" ht="15.75" customHeight="1" x14ac:dyDescent="0.2">
      <c r="A131" s="1" t="str">
        <f>IF(REGISTRY!G113="Male",REGISTRY!A113,"")</f>
        <v>P112</v>
      </c>
      <c r="B131" s="1" t="str">
        <f>IF(REGISTRY!G113="Male",REGISTRY!M113,"")</f>
        <v>ابراهيم بن عبدالكريم بن ابراهيم ناصر</v>
      </c>
      <c r="C131" s="1">
        <f>IF(REGISTRY!G113="Male",REGISTRY!K113,"")</f>
        <v>6</v>
      </c>
      <c r="D131" s="1">
        <f>IF(REGISTRY!G113="Male",REGISTRY!P113,"")</f>
        <v>0</v>
      </c>
      <c r="E131" s="1" t="str">
        <f>IF(REGISTRY!G113="Male",REGISTRY!L113,"")</f>
        <v>الابراهيم</v>
      </c>
    </row>
    <row r="132" spans="1:5" ht="15.75" customHeight="1" x14ac:dyDescent="0.2">
      <c r="A132" s="1" t="str">
        <f>IF(REGISTRY!G114="Male",REGISTRY!A114,"")</f>
        <v>P113</v>
      </c>
      <c r="B132" s="1" t="str">
        <f>IF(REGISTRY!G114="Male",REGISTRY!M114,"")</f>
        <v>خالد بن عبدالكريم بن ابراهيم ناصر</v>
      </c>
      <c r="C132" s="1">
        <f>IF(REGISTRY!G114="Male",REGISTRY!K114,"")</f>
        <v>6</v>
      </c>
      <c r="D132" s="1">
        <f>IF(REGISTRY!G114="Male",REGISTRY!P114,"")</f>
        <v>0</v>
      </c>
      <c r="E132" s="1" t="str">
        <f>IF(REGISTRY!G114="Male",REGISTRY!L114,"")</f>
        <v>الابراهيم</v>
      </c>
    </row>
    <row r="133" spans="1:5" ht="15.75" customHeight="1" x14ac:dyDescent="0.2">
      <c r="A133" s="1" t="str">
        <f>IF(REGISTRY!G115="Male",REGISTRY!A115,"")</f>
        <v>P114</v>
      </c>
      <c r="B133" s="1" t="str">
        <f>IF(REGISTRY!G115="Male",REGISTRY!M115,"")</f>
        <v>محمد بن عبدالكريم بن ابراهيم ناصر</v>
      </c>
      <c r="C133" s="1">
        <f>IF(REGISTRY!G115="Male",REGISTRY!K115,"")</f>
        <v>6</v>
      </c>
      <c r="D133" s="1">
        <f>IF(REGISTRY!G115="Male",REGISTRY!P115,"")</f>
        <v>0</v>
      </c>
      <c r="E133" s="1" t="str">
        <f>IF(REGISTRY!G115="Male",REGISTRY!L115,"")</f>
        <v>الابراهيم</v>
      </c>
    </row>
    <row r="134" spans="1:5" ht="15.75" customHeight="1" x14ac:dyDescent="0.2">
      <c r="A134" s="1" t="str">
        <f>IF(REGISTRY!G116="Male",REGISTRY!A116,"")</f>
        <v>P115</v>
      </c>
      <c r="B134" s="1" t="str">
        <f>IF(REGISTRY!G116="Male",REGISTRY!M116,"")</f>
        <v>عبدالرحمن بن عبدالكريم بن ابراهيم ناصر</v>
      </c>
      <c r="C134" s="1">
        <f>IF(REGISTRY!G116="Male",REGISTRY!K116,"")</f>
        <v>6</v>
      </c>
      <c r="D134" s="1">
        <f>IF(REGISTRY!G116="Male",REGISTRY!P116,"")</f>
        <v>0</v>
      </c>
      <c r="E134" s="1" t="str">
        <f>IF(REGISTRY!G116="Male",REGISTRY!L116,"")</f>
        <v>الابراهيم</v>
      </c>
    </row>
    <row r="135" spans="1:5" ht="15.75" customHeight="1" x14ac:dyDescent="0.2">
      <c r="A135" s="1" t="str">
        <f>IF(REGISTRY!G117="Male",REGISTRY!A117,"")</f>
        <v>P116</v>
      </c>
      <c r="B135" s="1" t="str">
        <f>IF(REGISTRY!G117="Male",REGISTRY!M117,"")</f>
        <v>عبدالله بن عبدالكريم بن ابراهيم ناصر</v>
      </c>
      <c r="C135" s="1">
        <f>IF(REGISTRY!G117="Male",REGISTRY!K117,"")</f>
        <v>6</v>
      </c>
      <c r="D135" s="1">
        <f>IF(REGISTRY!G117="Male",REGISTRY!P117,"")</f>
        <v>0</v>
      </c>
      <c r="E135" s="1" t="str">
        <f>IF(REGISTRY!G117="Male",REGISTRY!L117,"")</f>
        <v>الابراهيم</v>
      </c>
    </row>
    <row r="136" spans="1:5" ht="15.75" customHeight="1" x14ac:dyDescent="0.2">
      <c r="A136" s="1" t="str">
        <f>IF(REGISTRY!G118="Male",REGISTRY!A118,"")</f>
        <v>P117</v>
      </c>
      <c r="B136" s="1" t="str">
        <f>IF(REGISTRY!G118="Male",REGISTRY!M118,"")</f>
        <v>عبدالعزيز بن عبدالكريم بن ابراهيم ناصر</v>
      </c>
      <c r="C136" s="1">
        <f>IF(REGISTRY!G118="Male",REGISTRY!K118,"")</f>
        <v>6</v>
      </c>
      <c r="D136" s="1">
        <f>IF(REGISTRY!G118="Male",REGISTRY!P118,"")</f>
        <v>0</v>
      </c>
      <c r="E136" s="1" t="str">
        <f>IF(REGISTRY!G118="Male",REGISTRY!L118,"")</f>
        <v>الابراهيم</v>
      </c>
    </row>
    <row r="137" spans="1:5" ht="15.75" customHeight="1" x14ac:dyDescent="0.2">
      <c r="A137" s="1" t="str">
        <f>IF(REGISTRY!G119="Male",REGISTRY!A119,"")</f>
        <v>P118</v>
      </c>
      <c r="B137" s="1" t="str">
        <f>IF(REGISTRY!G119="Male",REGISTRY!M119,"")</f>
        <v>خالد بن ابراهيم بن عبدالكريم ابراهيم</v>
      </c>
      <c r="C137" s="1">
        <f>IF(REGISTRY!G119="Male",REGISTRY!K119,"")</f>
        <v>7</v>
      </c>
      <c r="D137" s="1">
        <f>IF(REGISTRY!G119="Male",REGISTRY!P119,"")</f>
        <v>0</v>
      </c>
      <c r="E137" s="1" t="str">
        <f>IF(REGISTRY!G119="Male",REGISTRY!L119,"")</f>
        <v>الابراهيم</v>
      </c>
    </row>
    <row r="138" spans="1:5" ht="15.75" customHeight="1" x14ac:dyDescent="0.2">
      <c r="A138" s="1" t="str">
        <f>IF(REGISTRY!G120="Male",REGISTRY!A120,"")</f>
        <v>P119</v>
      </c>
      <c r="B138" s="1" t="str">
        <f>IF(REGISTRY!G120="Male",REGISTRY!M120,"")</f>
        <v>عبدالملك بن ابراهيم بن عبدالكريم ابراهيم</v>
      </c>
      <c r="C138" s="1">
        <f>IF(REGISTRY!G120="Male",REGISTRY!K120,"")</f>
        <v>7</v>
      </c>
      <c r="D138" s="1">
        <f>IF(REGISTRY!G120="Male",REGISTRY!P120,"")</f>
        <v>0</v>
      </c>
      <c r="E138" s="1" t="str">
        <f>IF(REGISTRY!G120="Male",REGISTRY!L120,"")</f>
        <v>الابراهيم</v>
      </c>
    </row>
    <row r="139" spans="1:5" ht="15.75" customHeight="1" x14ac:dyDescent="0.2">
      <c r="A139" s="1" t="str">
        <f>IF(REGISTRY!G121="Male",REGISTRY!A121,"")</f>
        <v>P120</v>
      </c>
      <c r="B139" s="1" t="str">
        <f>IF(REGISTRY!G121="Male",REGISTRY!M121,"")</f>
        <v>عبدالكريم بن ابراهيم بن عبدالكريم ابراهيم</v>
      </c>
      <c r="C139" s="1">
        <f>IF(REGISTRY!G121="Male",REGISTRY!K121,"")</f>
        <v>7</v>
      </c>
      <c r="D139" s="1">
        <f>IF(REGISTRY!G121="Male",REGISTRY!P121,"")</f>
        <v>0</v>
      </c>
      <c r="E139" s="1" t="str">
        <f>IF(REGISTRY!G121="Male",REGISTRY!L121,"")</f>
        <v>الابراهيم</v>
      </c>
    </row>
    <row r="140" spans="1:5" ht="15.75" customHeight="1" x14ac:dyDescent="0.2">
      <c r="A140" s="1" t="str">
        <f>IF(REGISTRY!G122="Male",REGISTRY!A122,"")</f>
        <v/>
      </c>
      <c r="B140" s="1" t="str">
        <f>IF(REGISTRY!G122="Male",REGISTRY!M122,"")</f>
        <v/>
      </c>
      <c r="C140" s="1" t="str">
        <f>IF(REGISTRY!G122="Male",REGISTRY!K122,"")</f>
        <v/>
      </c>
      <c r="D140" s="1" t="str">
        <f>IF(REGISTRY!G122="Male",REGISTRY!P122,"")</f>
        <v/>
      </c>
      <c r="E140" s="1" t="str">
        <f>IF(REGISTRY!G122="Male",REGISTRY!L122,"")</f>
        <v/>
      </c>
    </row>
    <row r="141" spans="1:5" ht="15.75" customHeight="1" x14ac:dyDescent="0.2">
      <c r="A141" s="1" t="str">
        <f>IF(REGISTRY!G123="Male",REGISTRY!A123,"")</f>
        <v/>
      </c>
      <c r="B141" s="1" t="str">
        <f>IF(REGISTRY!G123="Male",REGISTRY!M123,"")</f>
        <v/>
      </c>
      <c r="C141" s="1" t="str">
        <f>IF(REGISTRY!G123="Male",REGISTRY!K123,"")</f>
        <v/>
      </c>
      <c r="D141" s="1" t="str">
        <f>IF(REGISTRY!G123="Male",REGISTRY!P123,"")</f>
        <v/>
      </c>
      <c r="E141" s="1" t="str">
        <f>IF(REGISTRY!G123="Male",REGISTRY!L123,"")</f>
        <v/>
      </c>
    </row>
    <row r="142" spans="1:5" ht="15.75" customHeight="1" x14ac:dyDescent="0.2">
      <c r="A142" s="1" t="str">
        <f>IF(REGISTRY!G124="Male",REGISTRY!A124,"")</f>
        <v/>
      </c>
      <c r="B142" s="1" t="str">
        <f>IF(REGISTRY!G124="Male",REGISTRY!M124,"")</f>
        <v/>
      </c>
      <c r="C142" s="1" t="str">
        <f>IF(REGISTRY!G124="Male",REGISTRY!K124,"")</f>
        <v/>
      </c>
      <c r="D142" s="1" t="str">
        <f>IF(REGISTRY!G124="Male",REGISTRY!P124,"")</f>
        <v/>
      </c>
      <c r="E142" s="1" t="str">
        <f>IF(REGISTRY!G124="Male",REGISTRY!L124,"")</f>
        <v/>
      </c>
    </row>
    <row r="143" spans="1:5" ht="15.75" customHeight="1" x14ac:dyDescent="0.2">
      <c r="A143" s="1" t="str">
        <f>IF(REGISTRY!G125="Male",REGISTRY!A125,"")</f>
        <v/>
      </c>
      <c r="B143" s="1" t="str">
        <f>IF(REGISTRY!G125="Male",REGISTRY!M125,"")</f>
        <v/>
      </c>
      <c r="C143" s="1" t="str">
        <f>IF(REGISTRY!G125="Male",REGISTRY!K125,"")</f>
        <v/>
      </c>
      <c r="D143" s="1" t="str">
        <f>IF(REGISTRY!G125="Male",REGISTRY!P125,"")</f>
        <v/>
      </c>
      <c r="E143" s="1" t="str">
        <f>IF(REGISTRY!G125="Male",REGISTRY!L125,"")</f>
        <v/>
      </c>
    </row>
    <row r="144" spans="1:5" ht="15.75" customHeight="1" x14ac:dyDescent="0.2">
      <c r="A144" s="1" t="str">
        <f>IF(REGISTRY!G126="Male",REGISTRY!A126,"")</f>
        <v>P125</v>
      </c>
      <c r="B144" s="1" t="str">
        <f>IF(REGISTRY!G126="Male",REGISTRY!M126,"")</f>
        <v>ريان بن خالد بن ابراهيم عبدالكريم</v>
      </c>
      <c r="C144" s="1">
        <f>IF(REGISTRY!G126="Male",REGISTRY!K126,"")</f>
        <v>8</v>
      </c>
      <c r="D144" s="1">
        <f>IF(REGISTRY!G126="Male",REGISTRY!P126,"")</f>
        <v>0</v>
      </c>
      <c r="E144" s="1" t="str">
        <f>IF(REGISTRY!G126="Male",REGISTRY!L126,"")</f>
        <v>الابراهيم</v>
      </c>
    </row>
    <row r="145" spans="1:5" ht="15.75" customHeight="1" x14ac:dyDescent="0.2">
      <c r="A145" s="1" t="str">
        <f>IF(REGISTRY!G127="Male",REGISTRY!A127,"")</f>
        <v>P126</v>
      </c>
      <c r="B145" s="1" t="str">
        <f>IF(REGISTRY!G127="Male",REGISTRY!M127,"")</f>
        <v>عبدالكريم بن خالد بن ابراهيم عبدالكريم</v>
      </c>
      <c r="C145" s="1">
        <f>IF(REGISTRY!G127="Male",REGISTRY!K127,"")</f>
        <v>8</v>
      </c>
      <c r="D145" s="1">
        <f>IF(REGISTRY!G127="Male",REGISTRY!P127,"")</f>
        <v>0</v>
      </c>
      <c r="E145" s="1" t="str">
        <f>IF(REGISTRY!G127="Male",REGISTRY!L127,"")</f>
        <v>الابراهيم</v>
      </c>
    </row>
    <row r="146" spans="1:5" ht="15.75" customHeight="1" x14ac:dyDescent="0.2">
      <c r="A146" s="1" t="str">
        <f>IF(REGISTRY!G128="Male",REGISTRY!A128,"")</f>
        <v>P127</v>
      </c>
      <c r="B146" s="1" t="str">
        <f>IF(REGISTRY!G128="Male",REGISTRY!M128,"")</f>
        <v>عبدالرحمن بن خالد بن ابراهيم عبدالكريم</v>
      </c>
      <c r="C146" s="1">
        <f>IF(REGISTRY!G128="Male",REGISTRY!K128,"")</f>
        <v>8</v>
      </c>
      <c r="D146" s="1">
        <f>IF(REGISTRY!G128="Male",REGISTRY!P128,"")</f>
        <v>0</v>
      </c>
      <c r="E146" s="1" t="str">
        <f>IF(REGISTRY!G128="Male",REGISTRY!L128,"")</f>
        <v>الابراهيم</v>
      </c>
    </row>
    <row r="147" spans="1:5" ht="15.75" customHeight="1" x14ac:dyDescent="0.2">
      <c r="A147" s="1" t="str">
        <f>IF(REGISTRY!G129="Male",REGISTRY!A129,"")</f>
        <v/>
      </c>
      <c r="B147" s="1" t="str">
        <f>IF(REGISTRY!G129="Male",REGISTRY!M129,"")</f>
        <v/>
      </c>
      <c r="C147" s="1" t="str">
        <f>IF(REGISTRY!G129="Male",REGISTRY!K129,"")</f>
        <v/>
      </c>
      <c r="D147" s="1" t="str">
        <f>IF(REGISTRY!G129="Male",REGISTRY!P129,"")</f>
        <v/>
      </c>
      <c r="E147" s="1" t="str">
        <f>IF(REGISTRY!G129="Male",REGISTRY!L129,"")</f>
        <v/>
      </c>
    </row>
    <row r="148" spans="1:5" ht="15.75" customHeight="1" x14ac:dyDescent="0.2">
      <c r="A148" s="1" t="str">
        <f>IF(REGISTRY!G130="Male",REGISTRY!A130,"")</f>
        <v>P129</v>
      </c>
      <c r="B148" s="1" t="str">
        <f>IF(REGISTRY!G130="Male",REGISTRY!M130,"")</f>
        <v>معاذ بن محمد بن عبدالكريم ابراهيم</v>
      </c>
      <c r="C148" s="1">
        <f>IF(REGISTRY!G130="Male",REGISTRY!K130,"")</f>
        <v>7</v>
      </c>
      <c r="D148" s="1">
        <f>IF(REGISTRY!G130="Male",REGISTRY!P130,"")</f>
        <v>0</v>
      </c>
      <c r="E148" s="1" t="str">
        <f>IF(REGISTRY!G130="Male",REGISTRY!L130,"")</f>
        <v>الابراهيم</v>
      </c>
    </row>
    <row r="149" spans="1:5" ht="15.75" customHeight="1" x14ac:dyDescent="0.2">
      <c r="A149" s="1" t="str">
        <f>IF(REGISTRY!G131="Male",REGISTRY!A131,"")</f>
        <v>P130</v>
      </c>
      <c r="B149" s="1" t="str">
        <f>IF(REGISTRY!G131="Male",REGISTRY!M131,"")</f>
        <v>عبدالاله بن محمد بن عبدالكريم ابراهيم</v>
      </c>
      <c r="C149" s="1">
        <f>IF(REGISTRY!G131="Male",REGISTRY!K131,"")</f>
        <v>7</v>
      </c>
      <c r="D149" s="1">
        <f>IF(REGISTRY!G131="Male",REGISTRY!P131,"")</f>
        <v>0</v>
      </c>
      <c r="E149" s="1" t="str">
        <f>IF(REGISTRY!G131="Male",REGISTRY!L131,"")</f>
        <v>الابراهيم</v>
      </c>
    </row>
    <row r="150" spans="1:5" ht="15.75" customHeight="1" x14ac:dyDescent="0.2">
      <c r="A150" s="1" t="str">
        <f>IF(REGISTRY!G132="Male",REGISTRY!A132,"")</f>
        <v/>
      </c>
      <c r="B150" s="1" t="str">
        <f>IF(REGISTRY!G132="Male",REGISTRY!M132,"")</f>
        <v/>
      </c>
      <c r="C150" s="1" t="str">
        <f>IF(REGISTRY!G132="Male",REGISTRY!K132,"")</f>
        <v/>
      </c>
      <c r="D150" s="1" t="str">
        <f>IF(REGISTRY!G132="Male",REGISTRY!P132,"")</f>
        <v/>
      </c>
      <c r="E150" s="1" t="str">
        <f>IF(REGISTRY!G132="Male",REGISTRY!L132,"")</f>
        <v/>
      </c>
    </row>
    <row r="151" spans="1:5" ht="15.75" customHeight="1" x14ac:dyDescent="0.2">
      <c r="A151" s="1" t="str">
        <f>IF(REGISTRY!G133="Male",REGISTRY!A133,"")</f>
        <v/>
      </c>
      <c r="B151" s="1" t="str">
        <f>IF(REGISTRY!G133="Male",REGISTRY!M133,"")</f>
        <v/>
      </c>
      <c r="C151" s="1" t="str">
        <f>IF(REGISTRY!G133="Male",REGISTRY!K133,"")</f>
        <v/>
      </c>
      <c r="D151" s="1" t="str">
        <f>IF(REGISTRY!G133="Male",REGISTRY!P133,"")</f>
        <v/>
      </c>
      <c r="E151" s="1" t="str">
        <f>IF(REGISTRY!G133="Male",REGISTRY!L133,"")</f>
        <v/>
      </c>
    </row>
    <row r="152" spans="1:5" ht="15.75" customHeight="1" x14ac:dyDescent="0.2">
      <c r="A152" s="1" t="str">
        <f>IF(REGISTRY!G134="Male",REGISTRY!A134,"")</f>
        <v/>
      </c>
      <c r="B152" s="1" t="str">
        <f>IF(REGISTRY!G134="Male",REGISTRY!M134,"")</f>
        <v/>
      </c>
      <c r="C152" s="1" t="str">
        <f>IF(REGISTRY!G134="Male",REGISTRY!K134,"")</f>
        <v/>
      </c>
      <c r="D152" s="1" t="str">
        <f>IF(REGISTRY!G134="Male",REGISTRY!P134,"")</f>
        <v/>
      </c>
      <c r="E152" s="1" t="str">
        <f>IF(REGISTRY!G134="Male",REGISTRY!L134,"")</f>
        <v/>
      </c>
    </row>
    <row r="153" spans="1:5" ht="15.75" customHeight="1" x14ac:dyDescent="0.2">
      <c r="A153" s="1" t="str">
        <f>IF(REGISTRY!G135="Male",REGISTRY!A135,"")</f>
        <v/>
      </c>
      <c r="B153" s="1" t="str">
        <f>IF(REGISTRY!G135="Male",REGISTRY!M135,"")</f>
        <v/>
      </c>
      <c r="C153" s="1" t="str">
        <f>IF(REGISTRY!G135="Male",REGISTRY!K135,"")</f>
        <v/>
      </c>
      <c r="D153" s="1" t="str">
        <f>IF(REGISTRY!G135="Male",REGISTRY!P135,"")</f>
        <v/>
      </c>
      <c r="E153" s="1" t="str">
        <f>IF(REGISTRY!G135="Male",REGISTRY!L135,"")</f>
        <v/>
      </c>
    </row>
    <row r="154" spans="1:5" ht="15.75" customHeight="1" x14ac:dyDescent="0.2">
      <c r="A154" s="1" t="str">
        <f>IF(REGISTRY!G136="Male",REGISTRY!A136,"")</f>
        <v>P135</v>
      </c>
      <c r="B154" s="1" t="str">
        <f>IF(REGISTRY!G136="Male",REGISTRY!M136,"")</f>
        <v>عبدالمجيد بن عبدالرحمن بن عبدالكريم ابراهيم</v>
      </c>
      <c r="C154" s="1">
        <f>IF(REGISTRY!G136="Male",REGISTRY!K136,"")</f>
        <v>7</v>
      </c>
      <c r="D154" s="1">
        <f>IF(REGISTRY!G136="Male",REGISTRY!P136,"")</f>
        <v>0</v>
      </c>
      <c r="E154" s="1" t="str">
        <f>IF(REGISTRY!G136="Male",REGISTRY!L136,"")</f>
        <v>الابراهيم</v>
      </c>
    </row>
    <row r="155" spans="1:5" ht="15.75" customHeight="1" x14ac:dyDescent="0.2">
      <c r="A155" s="1" t="str">
        <f>IF(REGISTRY!G137="Male",REGISTRY!A137,"")</f>
        <v/>
      </c>
      <c r="B155" s="1" t="str">
        <f>IF(REGISTRY!G137="Male",REGISTRY!M137,"")</f>
        <v/>
      </c>
      <c r="C155" s="1" t="str">
        <f>IF(REGISTRY!G137="Male",REGISTRY!K137,"")</f>
        <v/>
      </c>
      <c r="D155" s="1" t="str">
        <f>IF(REGISTRY!G137="Male",REGISTRY!P137,"")</f>
        <v/>
      </c>
      <c r="E155" s="1" t="str">
        <f>IF(REGISTRY!G137="Male",REGISTRY!L137,"")</f>
        <v/>
      </c>
    </row>
    <row r="156" spans="1:5" ht="15.75" customHeight="1" x14ac:dyDescent="0.2">
      <c r="A156" s="1" t="str">
        <f>IF(REGISTRY!G138="Male",REGISTRY!A138,"")</f>
        <v/>
      </c>
      <c r="B156" s="1" t="str">
        <f>IF(REGISTRY!G138="Male",REGISTRY!M138,"")</f>
        <v/>
      </c>
      <c r="C156" s="1" t="str">
        <f>IF(REGISTRY!G138="Male",REGISTRY!K138,"")</f>
        <v/>
      </c>
      <c r="D156" s="1" t="str">
        <f>IF(REGISTRY!G138="Male",REGISTRY!P138,"")</f>
        <v/>
      </c>
      <c r="E156" s="1" t="str">
        <f>IF(REGISTRY!G138="Male",REGISTRY!L138,"")</f>
        <v/>
      </c>
    </row>
    <row r="157" spans="1:5" ht="15.75" customHeight="1" x14ac:dyDescent="0.2">
      <c r="A157" s="1" t="str">
        <f>IF(REGISTRY!G139="Male",REGISTRY!A139,"")</f>
        <v/>
      </c>
      <c r="B157" s="1" t="str">
        <f>IF(REGISTRY!G139="Male",REGISTRY!M139,"")</f>
        <v/>
      </c>
      <c r="C157" s="1" t="str">
        <f>IF(REGISTRY!G139="Male",REGISTRY!K139,"")</f>
        <v/>
      </c>
      <c r="D157" s="1" t="str">
        <f>IF(REGISTRY!G139="Male",REGISTRY!P139,"")</f>
        <v/>
      </c>
      <c r="E157" s="1" t="str">
        <f>IF(REGISTRY!G139="Male",REGISTRY!L139,"")</f>
        <v/>
      </c>
    </row>
    <row r="158" spans="1:5" ht="15.75" customHeight="1" x14ac:dyDescent="0.2">
      <c r="A158" s="1" t="str">
        <f>IF(REGISTRY!G140="Male",REGISTRY!A140,"")</f>
        <v>P139</v>
      </c>
      <c r="B158" s="1" t="str">
        <f>IF(REGISTRY!G140="Male",REGISTRY!M140,"")</f>
        <v>تميم بن عبدالله بن عبدالكريم ابراهيم</v>
      </c>
      <c r="C158" s="1">
        <f>IF(REGISTRY!G140="Male",REGISTRY!K140,"")</f>
        <v>8</v>
      </c>
      <c r="D158" s="1">
        <f>IF(REGISTRY!G140="Male",REGISTRY!P140,"")</f>
        <v>0</v>
      </c>
      <c r="E158" s="1" t="str">
        <f>IF(REGISTRY!G140="Male",REGISTRY!L140,"")</f>
        <v>الابراهيم</v>
      </c>
    </row>
    <row r="159" spans="1:5" ht="15.75" customHeight="1" x14ac:dyDescent="0.2">
      <c r="A159" s="1" t="str">
        <f>IF(REGISTRY!G141="Male",REGISTRY!A141,"")</f>
        <v>P140</v>
      </c>
      <c r="B159" s="1" t="str">
        <f>IF(REGISTRY!G141="Male",REGISTRY!M141,"")</f>
        <v>مهند بن عبدالله بن عبدالكريم ابراهيم</v>
      </c>
      <c r="C159" s="1">
        <f>IF(REGISTRY!G141="Male",REGISTRY!K141,"")</f>
        <v>8</v>
      </c>
      <c r="D159" s="1">
        <f>IF(REGISTRY!G141="Male",REGISTRY!P141,"")</f>
        <v>0</v>
      </c>
      <c r="E159" s="1" t="str">
        <f>IF(REGISTRY!G141="Male",REGISTRY!L141,"")</f>
        <v>الابراهيم</v>
      </c>
    </row>
    <row r="160" spans="1:5" ht="15.75" customHeight="1" x14ac:dyDescent="0.2">
      <c r="A160" s="1" t="str">
        <f>IF(REGISTRY!G142="Male",REGISTRY!A142,"")</f>
        <v/>
      </c>
      <c r="B160" s="1" t="str">
        <f>IF(REGISTRY!G142="Male",REGISTRY!M142,"")</f>
        <v/>
      </c>
      <c r="C160" s="1" t="str">
        <f>IF(REGISTRY!G142="Male",REGISTRY!K142,"")</f>
        <v/>
      </c>
      <c r="D160" s="1" t="str">
        <f>IF(REGISTRY!G142="Male",REGISTRY!P142,"")</f>
        <v/>
      </c>
      <c r="E160" s="1" t="str">
        <f>IF(REGISTRY!G142="Male",REGISTRY!L142,"")</f>
        <v/>
      </c>
    </row>
    <row r="161" spans="1:5" ht="15.75" customHeight="1" x14ac:dyDescent="0.2">
      <c r="A161" s="1" t="str">
        <f>IF(REGISTRY!G143="Male",REGISTRY!A143,"")</f>
        <v/>
      </c>
      <c r="B161" s="1" t="str">
        <f>IF(REGISTRY!G143="Male",REGISTRY!M143,"")</f>
        <v/>
      </c>
      <c r="C161" s="1" t="str">
        <f>IF(REGISTRY!G143="Male",REGISTRY!K143,"")</f>
        <v/>
      </c>
      <c r="D161" s="1" t="str">
        <f>IF(REGISTRY!G143="Male",REGISTRY!P143,"")</f>
        <v/>
      </c>
      <c r="E161" s="1" t="str">
        <f>IF(REGISTRY!G143="Male",REGISTRY!L143,"")</f>
        <v/>
      </c>
    </row>
    <row r="162" spans="1:5" ht="15.75" customHeight="1" x14ac:dyDescent="0.2">
      <c r="A162" s="1" t="str">
        <f>IF(REGISTRY!G144="Male",REGISTRY!A144,"")</f>
        <v/>
      </c>
      <c r="B162" s="1" t="str">
        <f>IF(REGISTRY!G144="Male",REGISTRY!M144,"")</f>
        <v/>
      </c>
      <c r="C162" s="1" t="str">
        <f>IF(REGISTRY!G144="Male",REGISTRY!K144,"")</f>
        <v/>
      </c>
      <c r="D162" s="1" t="str">
        <f>IF(REGISTRY!G144="Male",REGISTRY!P144,"")</f>
        <v/>
      </c>
      <c r="E162" s="1" t="str">
        <f>IF(REGISTRY!G144="Male",REGISTRY!L144,"")</f>
        <v/>
      </c>
    </row>
    <row r="163" spans="1:5" ht="15.75" customHeight="1" x14ac:dyDescent="0.2">
      <c r="A163" s="1" t="str">
        <f>IF(REGISTRY!G145="Male",REGISTRY!A145,"")</f>
        <v>P144</v>
      </c>
      <c r="B163" s="1" t="str">
        <f>IF(REGISTRY!G145="Male",REGISTRY!M145,"")</f>
        <v>عبدالله بن عبدالعزيز بن عبدالكريم ابراهيم</v>
      </c>
      <c r="C163" s="1">
        <f>IF(REGISTRY!G145="Male",REGISTRY!K145,"")</f>
        <v>8</v>
      </c>
      <c r="D163" s="1">
        <f>IF(REGISTRY!G145="Male",REGISTRY!P145,"")</f>
        <v>0</v>
      </c>
      <c r="E163" s="1" t="str">
        <f>IF(REGISTRY!G145="Male",REGISTRY!L145,"")</f>
        <v>الابراهيم</v>
      </c>
    </row>
    <row r="164" spans="1:5" ht="15.75" customHeight="1" x14ac:dyDescent="0.2">
      <c r="A164" s="1" t="str">
        <f>IF(REGISTRY!G146="Male",REGISTRY!A146,"")</f>
        <v/>
      </c>
      <c r="B164" s="1" t="str">
        <f>IF(REGISTRY!G146="Male",REGISTRY!M146,"")</f>
        <v/>
      </c>
      <c r="C164" s="1" t="str">
        <f>IF(REGISTRY!G146="Male",REGISTRY!K146,"")</f>
        <v/>
      </c>
      <c r="D164" s="1" t="str">
        <f>IF(REGISTRY!G146="Male",REGISTRY!P146,"")</f>
        <v/>
      </c>
      <c r="E164" s="1" t="str">
        <f>IF(REGISTRY!G146="Male",REGISTRY!L146,"")</f>
        <v/>
      </c>
    </row>
    <row r="165" spans="1:5" ht="15.75" customHeight="1" x14ac:dyDescent="0.2">
      <c r="A165" s="1" t="str">
        <f>IF(REGISTRY!G147="Male",REGISTRY!A147,"")</f>
        <v/>
      </c>
      <c r="B165" s="1" t="str">
        <f>IF(REGISTRY!G147="Male",REGISTRY!M147,"")</f>
        <v/>
      </c>
      <c r="C165" s="1" t="str">
        <f>IF(REGISTRY!G147="Male",REGISTRY!K147,"")</f>
        <v/>
      </c>
      <c r="D165" s="1" t="str">
        <f>IF(REGISTRY!G147="Male",REGISTRY!P147,"")</f>
        <v/>
      </c>
      <c r="E165" s="1" t="str">
        <f>IF(REGISTRY!G147="Male",REGISTRY!L147,"")</f>
        <v/>
      </c>
    </row>
    <row r="166" spans="1:5" ht="15.75" customHeight="1" x14ac:dyDescent="0.2">
      <c r="A166" s="1" t="str">
        <f>IF(REGISTRY!G148="Male",REGISTRY!A148,"")</f>
        <v/>
      </c>
      <c r="B166" s="1" t="str">
        <f>IF(REGISTRY!G148="Male",REGISTRY!M148,"")</f>
        <v/>
      </c>
      <c r="C166" s="1" t="str">
        <f>IF(REGISTRY!G148="Male",REGISTRY!K148,"")</f>
        <v/>
      </c>
      <c r="D166" s="1" t="str">
        <f>IF(REGISTRY!G148="Male",REGISTRY!P148,"")</f>
        <v/>
      </c>
      <c r="E166" s="1" t="str">
        <f>IF(REGISTRY!G148="Male",REGISTRY!L148,"")</f>
        <v/>
      </c>
    </row>
    <row r="167" spans="1:5" ht="15.75" customHeight="1" x14ac:dyDescent="0.2">
      <c r="A167" s="1" t="str">
        <f>IF(REGISTRY!G149="Male",REGISTRY!A149,"")</f>
        <v/>
      </c>
      <c r="B167" s="1" t="str">
        <f>IF(REGISTRY!G149="Male",REGISTRY!M149,"")</f>
        <v/>
      </c>
      <c r="C167" s="1" t="str">
        <f>IF(REGISTRY!G149="Male",REGISTRY!K149,"")</f>
        <v/>
      </c>
      <c r="D167" s="1" t="str">
        <f>IF(REGISTRY!G149="Male",REGISTRY!P149,"")</f>
        <v/>
      </c>
      <c r="E167" s="1" t="str">
        <f>IF(REGISTRY!G149="Male",REGISTRY!L149,"")</f>
        <v/>
      </c>
    </row>
    <row r="168" spans="1:5" ht="15.75" customHeight="1" x14ac:dyDescent="0.2">
      <c r="A168" s="1" t="str">
        <f>IF(REGISTRY!G150="Male",REGISTRY!A150,"")</f>
        <v/>
      </c>
      <c r="B168" s="1" t="str">
        <f>IF(REGISTRY!G150="Male",REGISTRY!M150,"")</f>
        <v/>
      </c>
      <c r="C168" s="1" t="str">
        <f>IF(REGISTRY!G150="Male",REGISTRY!K150,"")</f>
        <v/>
      </c>
      <c r="D168" s="1" t="str">
        <f>IF(REGISTRY!G150="Male",REGISTRY!P150,"")</f>
        <v/>
      </c>
      <c r="E168" s="1" t="str">
        <f>IF(REGISTRY!G150="Male",REGISTRY!L150,"")</f>
        <v/>
      </c>
    </row>
    <row r="169" spans="1:5" ht="15.75" customHeight="1" x14ac:dyDescent="0.2">
      <c r="A169" s="1" t="str">
        <f>IF(REGISTRY!G151="Male",REGISTRY!A151,"")</f>
        <v/>
      </c>
      <c r="B169" s="1" t="str">
        <f>IF(REGISTRY!G151="Male",REGISTRY!M151,"")</f>
        <v/>
      </c>
      <c r="C169" s="1" t="str">
        <f>IF(REGISTRY!G151="Male",REGISTRY!K151,"")</f>
        <v/>
      </c>
      <c r="D169" s="1" t="str">
        <f>IF(REGISTRY!G151="Male",REGISTRY!P151,"")</f>
        <v/>
      </c>
      <c r="E169" s="1" t="str">
        <f>IF(REGISTRY!G151="Male",REGISTRY!L151,"")</f>
        <v/>
      </c>
    </row>
    <row r="170" spans="1:5" ht="15.75" customHeight="1" x14ac:dyDescent="0.2">
      <c r="A170" s="1" t="str">
        <f>IF(REGISTRY!G152="Male",REGISTRY!A152,"")</f>
        <v/>
      </c>
      <c r="B170" s="1" t="str">
        <f>IF(REGISTRY!G152="Male",REGISTRY!M152,"")</f>
        <v/>
      </c>
      <c r="C170" s="1" t="str">
        <f>IF(REGISTRY!G152="Male",REGISTRY!K152,"")</f>
        <v/>
      </c>
      <c r="D170" s="1" t="str">
        <f>IF(REGISTRY!G152="Male",REGISTRY!P152,"")</f>
        <v/>
      </c>
      <c r="E170" s="1" t="str">
        <f>IF(REGISTRY!G152="Male",REGISTRY!L152,"")</f>
        <v/>
      </c>
    </row>
    <row r="171" spans="1:5" ht="15.75" customHeight="1" x14ac:dyDescent="0.2">
      <c r="A171" s="1" t="str">
        <f>IF(REGISTRY!G153="Male",REGISTRY!A153,"")</f>
        <v/>
      </c>
      <c r="B171" s="1" t="str">
        <f>IF(REGISTRY!G153="Male",REGISTRY!M153,"")</f>
        <v/>
      </c>
      <c r="C171" s="1" t="str">
        <f>IF(REGISTRY!G153="Male",REGISTRY!K153,"")</f>
        <v/>
      </c>
      <c r="D171" s="1" t="str">
        <f>IF(REGISTRY!G153="Male",REGISTRY!P153,"")</f>
        <v/>
      </c>
      <c r="E171" s="1" t="str">
        <f>IF(REGISTRY!G153="Male",REGISTRY!L153,"")</f>
        <v/>
      </c>
    </row>
    <row r="172" spans="1:5" ht="15.75" customHeight="1" x14ac:dyDescent="0.2">
      <c r="A172" s="1" t="str">
        <f>IF(REGISTRY!G154="Male",REGISTRY!A154,"")</f>
        <v>P153</v>
      </c>
      <c r="B172" s="1" t="str">
        <f>IF(REGISTRY!G154="Male",REGISTRY!M154,"")</f>
        <v>عبدالعزيز بن فوزان بن حمد -</v>
      </c>
      <c r="C172" s="1">
        <f>IF(REGISTRY!G154="Male",REGISTRY!K154,"")</f>
        <v>3</v>
      </c>
      <c r="D172" s="1">
        <f>IF(REGISTRY!G154="Male",REGISTRY!P154,"")</f>
        <v>0</v>
      </c>
      <c r="E172" s="1" t="str">
        <f>IF(REGISTRY!G154="Male",REGISTRY!L154,"")</f>
        <v>الفوزان</v>
      </c>
    </row>
    <row r="173" spans="1:5" ht="15.75" customHeight="1" x14ac:dyDescent="0.2">
      <c r="A173" s="1" t="str">
        <f>IF(REGISTRY!G155="Male",REGISTRY!A155,"")</f>
        <v>P154</v>
      </c>
      <c r="B173" s="1" t="str">
        <f>IF(REGISTRY!G155="Male",REGISTRY!M155,"")</f>
        <v>محمد بن فوزان بن حمد -</v>
      </c>
      <c r="C173" s="1">
        <f>IF(REGISTRY!G155="Male",REGISTRY!K155,"")</f>
        <v>3</v>
      </c>
      <c r="D173" s="1">
        <f>IF(REGISTRY!G155="Male",REGISTRY!P155,"")</f>
        <v>0</v>
      </c>
      <c r="E173" s="1" t="str">
        <f>IF(REGISTRY!G155="Male",REGISTRY!L155,"")</f>
        <v>الفوزان</v>
      </c>
    </row>
    <row r="174" spans="1:5" ht="15.75" customHeight="1" x14ac:dyDescent="0.2">
      <c r="A174" s="1" t="str">
        <f>IF(REGISTRY!G156="Male",REGISTRY!A156,"")</f>
        <v>P155</v>
      </c>
      <c r="B174" s="1" t="str">
        <f>IF(REGISTRY!G156="Male",REGISTRY!M156,"")</f>
        <v>عبدالله بن عبدالعزيز بن فوزان حمد</v>
      </c>
      <c r="C174" s="1">
        <f>IF(REGISTRY!G156="Male",REGISTRY!K156,"")</f>
        <v>4</v>
      </c>
      <c r="D174" s="1">
        <f>IF(REGISTRY!G156="Male",REGISTRY!P156,"")</f>
        <v>0</v>
      </c>
      <c r="E174" s="1" t="str">
        <f>IF(REGISTRY!G156="Male",REGISTRY!L156,"")</f>
        <v>الفوزان</v>
      </c>
    </row>
    <row r="175" spans="1:5" ht="15.75" customHeight="1" x14ac:dyDescent="0.2">
      <c r="A175" s="1" t="str">
        <f>IF(REGISTRY!G157="Male",REGISTRY!A157,"")</f>
        <v>P156</v>
      </c>
      <c r="B175" s="1" t="str">
        <f>IF(REGISTRY!G157="Male",REGISTRY!M157,"")</f>
        <v>عبدالعزيز بن عبدالله بن عبدالعزيز فوزان</v>
      </c>
      <c r="C175" s="1">
        <f>IF(REGISTRY!G157="Male",REGISTRY!K157,"")</f>
        <v>5</v>
      </c>
      <c r="D175" s="1">
        <f>IF(REGISTRY!G157="Male",REGISTRY!P157,"")</f>
        <v>0</v>
      </c>
      <c r="E175" s="1" t="str">
        <f>IF(REGISTRY!G157="Male",REGISTRY!L157,"")</f>
        <v>الفوزان</v>
      </c>
    </row>
    <row r="176" spans="1:5" ht="15.75" customHeight="1" x14ac:dyDescent="0.2">
      <c r="A176" s="1" t="str">
        <f>IF(REGISTRY!G158="Male",REGISTRY!A158,"")</f>
        <v>P157</v>
      </c>
      <c r="B176" s="1" t="str">
        <f>IF(REGISTRY!G158="Male",REGISTRY!M158,"")</f>
        <v>فوزان بن عبدالعزيز بن فوزان حمد</v>
      </c>
      <c r="C176" s="1">
        <f>IF(REGISTRY!G158="Male",REGISTRY!K158,"")</f>
        <v>4</v>
      </c>
      <c r="D176" s="1">
        <f>IF(REGISTRY!G158="Male",REGISTRY!P158,"")</f>
        <v>0</v>
      </c>
      <c r="E176" s="1" t="str">
        <f>IF(REGISTRY!G158="Male",REGISTRY!L158,"")</f>
        <v>الفوزان</v>
      </c>
    </row>
    <row r="177" spans="1:5" ht="15.75" customHeight="1" x14ac:dyDescent="0.2">
      <c r="A177" s="1" t="str">
        <f>IF(REGISTRY!G159="Male",REGISTRY!A159,"")</f>
        <v>P158</v>
      </c>
      <c r="B177" s="1" t="str">
        <f>IF(REGISTRY!G159="Male",REGISTRY!M159,"")</f>
        <v>محمد بن فوزان بن عبدالعزيز فوزان</v>
      </c>
      <c r="C177" s="1">
        <f>IF(REGISTRY!G159="Male",REGISTRY!K159,"")</f>
        <v>5</v>
      </c>
      <c r="D177" s="1">
        <f>IF(REGISTRY!G159="Male",REGISTRY!P159,"")</f>
        <v>0</v>
      </c>
      <c r="E177" s="1" t="str">
        <f>IF(REGISTRY!G159="Male",REGISTRY!L159,"")</f>
        <v>الفوزان</v>
      </c>
    </row>
    <row r="178" spans="1:5" ht="15.75" customHeight="1" x14ac:dyDescent="0.2">
      <c r="A178" s="1" t="str">
        <f>IF(REGISTRY!G160="Male",REGISTRY!A160,"")</f>
        <v>P159</v>
      </c>
      <c r="B178" s="1" t="str">
        <f>IF(REGISTRY!G160="Male",REGISTRY!M160,"")</f>
        <v>ابراهيم بن فوزان بن عبدالعزيز فوزان</v>
      </c>
      <c r="C178" s="1">
        <f>IF(REGISTRY!G160="Male",REGISTRY!K160,"")</f>
        <v>5</v>
      </c>
      <c r="D178" s="1">
        <f>IF(REGISTRY!G160="Male",REGISTRY!P160,"")</f>
        <v>0</v>
      </c>
      <c r="E178" s="1" t="str">
        <f>IF(REGISTRY!G160="Male",REGISTRY!L160,"")</f>
        <v>الفوزان</v>
      </c>
    </row>
    <row r="179" spans="1:5" ht="15.75" customHeight="1" x14ac:dyDescent="0.2">
      <c r="A179" s="1" t="str">
        <f>IF(REGISTRY!G161="Male",REGISTRY!A161,"")</f>
        <v>P160</v>
      </c>
      <c r="B179" s="1" t="str">
        <f>IF(REGISTRY!G161="Male",REGISTRY!M161,"")</f>
        <v>عبدالعزيز بن فوزان بن عبدالعزيز فوزان</v>
      </c>
      <c r="C179" s="1">
        <f>IF(REGISTRY!G161="Male",REGISTRY!K161,"")</f>
        <v>5</v>
      </c>
      <c r="D179" s="1">
        <f>IF(REGISTRY!G161="Male",REGISTRY!P161,"")</f>
        <v>0</v>
      </c>
      <c r="E179" s="1" t="str">
        <f>IF(REGISTRY!G161="Male",REGISTRY!L161,"")</f>
        <v>الفوزان</v>
      </c>
    </row>
    <row r="180" spans="1:5" ht="15.75" customHeight="1" x14ac:dyDescent="0.2">
      <c r="A180" s="1" t="str">
        <f>IF(REGISTRY!G162="Male",REGISTRY!A162,"")</f>
        <v>P161</v>
      </c>
      <c r="B180" s="1" t="str">
        <f>IF(REGISTRY!G162="Male",REGISTRY!M162,"")</f>
        <v>عبدالله بن ابراهيم بن فوزان عبدالعزيز</v>
      </c>
      <c r="C180" s="1">
        <f>IF(REGISTRY!G162="Male",REGISTRY!K162,"")</f>
        <v>6</v>
      </c>
      <c r="D180" s="1">
        <f>IF(REGISTRY!G162="Male",REGISTRY!P162,"")</f>
        <v>0</v>
      </c>
      <c r="E180" s="1" t="str">
        <f>IF(REGISTRY!G162="Male",REGISTRY!L162,"")</f>
        <v>الفوزان</v>
      </c>
    </row>
    <row r="181" spans="1:5" ht="15.75" customHeight="1" x14ac:dyDescent="0.2">
      <c r="A181" s="1" t="str">
        <f>IF(REGISTRY!G163="Male",REGISTRY!A163,"")</f>
        <v>P162</v>
      </c>
      <c r="B181" s="1" t="str">
        <f>IF(REGISTRY!G163="Male",REGISTRY!M163,"")</f>
        <v>فوزان بن ابراهيم بن فوزان عبدالعزيز</v>
      </c>
      <c r="C181" s="1">
        <f>IF(REGISTRY!G163="Male",REGISTRY!K163,"")</f>
        <v>6</v>
      </c>
      <c r="D181" s="1">
        <f>IF(REGISTRY!G163="Male",REGISTRY!P163,"")</f>
        <v>0</v>
      </c>
      <c r="E181" s="1" t="str">
        <f>IF(REGISTRY!G163="Male",REGISTRY!L163,"")</f>
        <v>الفوزان</v>
      </c>
    </row>
    <row r="182" spans="1:5" ht="15.75" customHeight="1" x14ac:dyDescent="0.2">
      <c r="A182" s="1" t="str">
        <f>IF(REGISTRY!G164="Male",REGISTRY!A164,"")</f>
        <v>P163</v>
      </c>
      <c r="B182" s="1" t="str">
        <f>IF(REGISTRY!G164="Male",REGISTRY!M164,"")</f>
        <v>محمد بن ابراهيم بن فوزان عبدالعزيز</v>
      </c>
      <c r="C182" s="1">
        <f>IF(REGISTRY!G164="Male",REGISTRY!K164,"")</f>
        <v>6</v>
      </c>
      <c r="D182" s="1">
        <f>IF(REGISTRY!G164="Male",REGISTRY!P164,"")</f>
        <v>0</v>
      </c>
      <c r="E182" s="1" t="str">
        <f>IF(REGISTRY!G164="Male",REGISTRY!L164,"")</f>
        <v>الفوزان</v>
      </c>
    </row>
    <row r="183" spans="1:5" ht="15.75" customHeight="1" x14ac:dyDescent="0.2">
      <c r="A183" s="1" t="str">
        <f>IF(REGISTRY!G165="Male",REGISTRY!A165,"")</f>
        <v>P164</v>
      </c>
      <c r="B183" s="1" t="str">
        <f>IF(REGISTRY!G165="Male",REGISTRY!M165,"")</f>
        <v>حمد بن ابراهيم بن فوزان عبدالعزيز</v>
      </c>
      <c r="C183" s="1">
        <f>IF(REGISTRY!G165="Male",REGISTRY!K165,"")</f>
        <v>6</v>
      </c>
      <c r="D183" s="1">
        <f>IF(REGISTRY!G165="Male",REGISTRY!P165,"")</f>
        <v>0</v>
      </c>
      <c r="E183" s="1" t="str">
        <f>IF(REGISTRY!G165="Male",REGISTRY!L165,"")</f>
        <v>الفوزان</v>
      </c>
    </row>
    <row r="184" spans="1:5" ht="15.75" customHeight="1" x14ac:dyDescent="0.2">
      <c r="A184" s="1" t="str">
        <f>IF(REGISTRY!G166="Male",REGISTRY!A166,"")</f>
        <v>P165</v>
      </c>
      <c r="B184" s="1" t="str">
        <f>IF(REGISTRY!G166="Male",REGISTRY!M166,"")</f>
        <v>ابراهيم بن عبدالله بن ابراهيم فوزان</v>
      </c>
      <c r="C184" s="1">
        <f>IF(REGISTRY!G166="Male",REGISTRY!K166,"")</f>
        <v>7</v>
      </c>
      <c r="D184" s="1">
        <f>IF(REGISTRY!G166="Male",REGISTRY!P166,"")</f>
        <v>0</v>
      </c>
      <c r="E184" s="1" t="str">
        <f>IF(REGISTRY!G166="Male",REGISTRY!L166,"")</f>
        <v>الفوزان</v>
      </c>
    </row>
    <row r="185" spans="1:5" ht="15.75" customHeight="1" x14ac:dyDescent="0.2">
      <c r="A185" s="1" t="str">
        <f>IF(REGISTRY!G167="Male",REGISTRY!A167,"")</f>
        <v>P166</v>
      </c>
      <c r="B185" s="1" t="str">
        <f>IF(REGISTRY!G167="Male",REGISTRY!M167,"")</f>
        <v>عبدالعزيز بن عبدالله بن ابراهيم فوزان</v>
      </c>
      <c r="C185" s="1">
        <f>IF(REGISTRY!G167="Male",REGISTRY!K167,"")</f>
        <v>7</v>
      </c>
      <c r="D185" s="1">
        <f>IF(REGISTRY!G167="Male",REGISTRY!P167,"")</f>
        <v>0</v>
      </c>
      <c r="E185" s="1" t="str">
        <f>IF(REGISTRY!G167="Male",REGISTRY!L167,"")</f>
        <v>الفوزان</v>
      </c>
    </row>
    <row r="186" spans="1:5" ht="15.75" customHeight="1" x14ac:dyDescent="0.2">
      <c r="A186" s="1" t="str">
        <f>IF(REGISTRY!G168="Male",REGISTRY!A168,"")</f>
        <v>P167</v>
      </c>
      <c r="B186" s="1" t="str">
        <f>IF(REGISTRY!G168="Male",REGISTRY!M168,"")</f>
        <v>عبدالملك بن عبدالله بن ابراهيم فوزان</v>
      </c>
      <c r="C186" s="1">
        <f>IF(REGISTRY!G168="Male",REGISTRY!K168,"")</f>
        <v>7</v>
      </c>
      <c r="D186" s="1">
        <f>IF(REGISTRY!G168="Male",REGISTRY!P168,"")</f>
        <v>0</v>
      </c>
      <c r="E186" s="1" t="str">
        <f>IF(REGISTRY!G168="Male",REGISTRY!L168,"")</f>
        <v>الفوزان</v>
      </c>
    </row>
    <row r="187" spans="1:5" ht="15.75" customHeight="1" x14ac:dyDescent="0.2">
      <c r="A187" s="1" t="str">
        <f>IF(REGISTRY!G169="Male",REGISTRY!A169,"")</f>
        <v>P168</v>
      </c>
      <c r="B187" s="1" t="str">
        <f>IF(REGISTRY!G169="Male",REGISTRY!M169,"")</f>
        <v>محمد بن عبدالله بن ابراهيم فوزان</v>
      </c>
      <c r="C187" s="1">
        <f>IF(REGISTRY!G169="Male",REGISTRY!K169,"")</f>
        <v>7</v>
      </c>
      <c r="D187" s="1">
        <f>IF(REGISTRY!G169="Male",REGISTRY!P169,"")</f>
        <v>0</v>
      </c>
      <c r="E187" s="1" t="str">
        <f>IF(REGISTRY!G169="Male",REGISTRY!L169,"")</f>
        <v>الفوزان</v>
      </c>
    </row>
    <row r="188" spans="1:5" ht="15.75" customHeight="1" x14ac:dyDescent="0.2">
      <c r="A188" s="1" t="str">
        <f>IF(REGISTRY!G170="Male",REGISTRY!A170,"")</f>
        <v>P169</v>
      </c>
      <c r="B188" s="1" t="str">
        <f>IF(REGISTRY!G170="Male",REGISTRY!M170,"")</f>
        <v>مازن بن فوزان بن ابراهيم فوزان</v>
      </c>
      <c r="C188" s="1">
        <f>IF(REGISTRY!G170="Male",REGISTRY!K170,"")</f>
        <v>7</v>
      </c>
      <c r="D188" s="1">
        <f>IF(REGISTRY!G170="Male",REGISTRY!P170,"")</f>
        <v>0</v>
      </c>
      <c r="E188" s="1" t="str">
        <f>IF(REGISTRY!G170="Male",REGISTRY!L170,"")</f>
        <v>الفوزان</v>
      </c>
    </row>
    <row r="189" spans="1:5" ht="15.75" customHeight="1" x14ac:dyDescent="0.2">
      <c r="A189" s="1" t="str">
        <f>IF(REGISTRY!G171="Male",REGISTRY!A171,"")</f>
        <v>P170</v>
      </c>
      <c r="B189" s="1" t="str">
        <f>IF(REGISTRY!G171="Male",REGISTRY!M171,"")</f>
        <v>عامر بن فوزان بن ابراهيم فوزان</v>
      </c>
      <c r="C189" s="1">
        <f>IF(REGISTRY!G171="Male",REGISTRY!K171,"")</f>
        <v>7</v>
      </c>
      <c r="D189" s="1">
        <f>IF(REGISTRY!G171="Male",REGISTRY!P171,"")</f>
        <v>0</v>
      </c>
      <c r="E189" s="1" t="str">
        <f>IF(REGISTRY!G171="Male",REGISTRY!L171,"")</f>
        <v>الفوزان</v>
      </c>
    </row>
    <row r="190" spans="1:5" ht="15.75" customHeight="1" x14ac:dyDescent="0.2">
      <c r="A190" s="1" t="str">
        <f>IF(REGISTRY!G172="Male",REGISTRY!A172,"")</f>
        <v>P171</v>
      </c>
      <c r="B190" s="1" t="str">
        <f>IF(REGISTRY!G172="Male",REGISTRY!M172,"")</f>
        <v>قتيبة بن فوزان بن ابراهيم فوزان</v>
      </c>
      <c r="C190" s="1">
        <f>IF(REGISTRY!G172="Male",REGISTRY!K172,"")</f>
        <v>7</v>
      </c>
      <c r="D190" s="1">
        <f>IF(REGISTRY!G172="Male",REGISTRY!P172,"")</f>
        <v>0</v>
      </c>
      <c r="E190" s="1" t="str">
        <f>IF(REGISTRY!G172="Male",REGISTRY!L172,"")</f>
        <v>الفوزان</v>
      </c>
    </row>
    <row r="191" spans="1:5" ht="15.75" customHeight="1" x14ac:dyDescent="0.2">
      <c r="A191" s="1" t="str">
        <f>IF(REGISTRY!G173="Male",REGISTRY!A173,"")</f>
        <v>P172</v>
      </c>
      <c r="B191" s="1" t="str">
        <f>IF(REGISTRY!G173="Male",REGISTRY!M173,"")</f>
        <v>خالد بن محمد بن ابراهيم فوزان</v>
      </c>
      <c r="C191" s="1">
        <f>IF(REGISTRY!G173="Male",REGISTRY!K173,"")</f>
        <v>7</v>
      </c>
      <c r="D191" s="1">
        <f>IF(REGISTRY!G173="Male",REGISTRY!P173,"")</f>
        <v>0</v>
      </c>
      <c r="E191" s="1" t="str">
        <f>IF(REGISTRY!G173="Male",REGISTRY!L173,"")</f>
        <v>الفوزان</v>
      </c>
    </row>
    <row r="192" spans="1:5" ht="15.75" customHeight="1" x14ac:dyDescent="0.2">
      <c r="A192" s="1" t="str">
        <f>IF(REGISTRY!G174="Male",REGISTRY!A174,"")</f>
        <v>P173</v>
      </c>
      <c r="B192" s="1" t="str">
        <f>IF(REGISTRY!G174="Male",REGISTRY!M174,"")</f>
        <v>ابراهيم بن حمد بن ابراهيم فوزان</v>
      </c>
      <c r="C192" s="1">
        <f>IF(REGISTRY!G174="Male",REGISTRY!K174,"")</f>
        <v>7</v>
      </c>
      <c r="D192" s="1">
        <f>IF(REGISTRY!G174="Male",REGISTRY!P174,"")</f>
        <v>0</v>
      </c>
      <c r="E192" s="1" t="str">
        <f>IF(REGISTRY!G174="Male",REGISTRY!L174,"")</f>
        <v>الفوزان</v>
      </c>
    </row>
    <row r="193" spans="1:5" ht="15.75" customHeight="1" x14ac:dyDescent="0.2">
      <c r="A193" s="1" t="str">
        <f>IF(REGISTRY!G175="Male",REGISTRY!A175,"")</f>
        <v>P174</v>
      </c>
      <c r="B193" s="1" t="str">
        <f>IF(REGISTRY!G175="Male",REGISTRY!M175,"")</f>
        <v>عبدالرحمن بن عبدالعزيز بن فوزان عبدالعزيز</v>
      </c>
      <c r="C193" s="1">
        <f>IF(REGISTRY!G175="Male",REGISTRY!K175,"")</f>
        <v>6</v>
      </c>
      <c r="D193" s="1">
        <f>IF(REGISTRY!G175="Male",REGISTRY!P175,"")</f>
        <v>0</v>
      </c>
      <c r="E193" s="1" t="str">
        <f>IF(REGISTRY!G175="Male",REGISTRY!L175,"")</f>
        <v>الفوزان</v>
      </c>
    </row>
    <row r="194" spans="1:5" ht="15.75" customHeight="1" x14ac:dyDescent="0.2">
      <c r="A194" s="1" t="str">
        <f>IF(REGISTRY!G176="Male",REGISTRY!A176,"")</f>
        <v>P175</v>
      </c>
      <c r="B194" s="1" t="str">
        <f>IF(REGISTRY!G176="Male",REGISTRY!M176,"")</f>
        <v>سعد بن عبدالعزيز بن فوزان عبدالعزيز</v>
      </c>
      <c r="C194" s="1">
        <f>IF(REGISTRY!G176="Male",REGISTRY!K176,"")</f>
        <v>6</v>
      </c>
      <c r="D194" s="1">
        <f>IF(REGISTRY!G176="Male",REGISTRY!P176,"")</f>
        <v>0</v>
      </c>
      <c r="E194" s="1" t="str">
        <f>IF(REGISTRY!G176="Male",REGISTRY!L176,"")</f>
        <v>الفوزان</v>
      </c>
    </row>
    <row r="195" spans="1:5" ht="15.75" customHeight="1" x14ac:dyDescent="0.2">
      <c r="A195" s="1" t="str">
        <f>IF(REGISTRY!G177="Male",REGISTRY!A177,"")</f>
        <v>P176</v>
      </c>
      <c r="B195" s="1" t="str">
        <f>IF(REGISTRY!G177="Male",REGISTRY!M177,"")</f>
        <v>فوزان بن عبدالعزيز بن فوزان عبدالعزيز</v>
      </c>
      <c r="C195" s="1">
        <f>IF(REGISTRY!G177="Male",REGISTRY!K177,"")</f>
        <v>6</v>
      </c>
      <c r="D195" s="1">
        <f>IF(REGISTRY!G177="Male",REGISTRY!P177,"")</f>
        <v>0</v>
      </c>
      <c r="E195" s="1" t="str">
        <f>IF(REGISTRY!G177="Male",REGISTRY!L177,"")</f>
        <v>الفوزان</v>
      </c>
    </row>
    <row r="196" spans="1:5" ht="15.75" customHeight="1" x14ac:dyDescent="0.2">
      <c r="A196" s="1" t="str">
        <f>IF(REGISTRY!G178="Male",REGISTRY!A178,"")</f>
        <v>P177</v>
      </c>
      <c r="B196" s="1" t="str">
        <f>IF(REGISTRY!G178="Male",REGISTRY!M178,"")</f>
        <v>عبدالله بن عبدالعزيز بن فوزان عبدالعزيز</v>
      </c>
      <c r="C196" s="1">
        <f>IF(REGISTRY!G178="Male",REGISTRY!K178,"")</f>
        <v>6</v>
      </c>
      <c r="D196" s="1">
        <f>IF(REGISTRY!G178="Male",REGISTRY!P178,"")</f>
        <v>0</v>
      </c>
      <c r="E196" s="1" t="str">
        <f>IF(REGISTRY!G178="Male",REGISTRY!L178,"")</f>
        <v>الفوزان</v>
      </c>
    </row>
    <row r="197" spans="1:5" ht="15.75" customHeight="1" x14ac:dyDescent="0.2">
      <c r="A197" s="1" t="str">
        <f>IF(REGISTRY!G179="Male",REGISTRY!A179,"")</f>
        <v>P178</v>
      </c>
      <c r="B197" s="1" t="str">
        <f>IF(REGISTRY!G179="Male",REGISTRY!M179,"")</f>
        <v>فهد بن عبدالعزيز بن فوزان عبدالعزيز</v>
      </c>
      <c r="C197" s="1">
        <f>IF(REGISTRY!G179="Male",REGISTRY!K179,"")</f>
        <v>6</v>
      </c>
      <c r="D197" s="1">
        <f>IF(REGISTRY!G179="Male",REGISTRY!P179,"")</f>
        <v>0</v>
      </c>
      <c r="E197" s="1" t="str">
        <f>IF(REGISTRY!G179="Male",REGISTRY!L179,"")</f>
        <v>الفوزان</v>
      </c>
    </row>
    <row r="198" spans="1:5" ht="15.75" customHeight="1" x14ac:dyDescent="0.2">
      <c r="A198" s="1" t="str">
        <f>IF(REGISTRY!G180="Male",REGISTRY!A180,"")</f>
        <v>P179</v>
      </c>
      <c r="B198" s="1" t="str">
        <f>IF(REGISTRY!G180="Male",REGISTRY!M180,"")</f>
        <v>خالد بن عبدالعزيز بن فوزان عبدالعزيز</v>
      </c>
      <c r="C198" s="1">
        <f>IF(REGISTRY!G180="Male",REGISTRY!K180,"")</f>
        <v>6</v>
      </c>
      <c r="D198" s="1">
        <f>IF(REGISTRY!G180="Male",REGISTRY!P180,"")</f>
        <v>0</v>
      </c>
      <c r="E198" s="1" t="str">
        <f>IF(REGISTRY!G180="Male",REGISTRY!L180,"")</f>
        <v>الفوزان</v>
      </c>
    </row>
    <row r="199" spans="1:5" ht="15.75" customHeight="1" x14ac:dyDescent="0.2">
      <c r="A199" s="1" t="str">
        <f>IF(REGISTRY!G181="Male",REGISTRY!A181,"")</f>
        <v>P180</v>
      </c>
      <c r="B199" s="1" t="str">
        <f>IF(REGISTRY!G181="Male",REGISTRY!M181,"")</f>
        <v>ناصر بن عبدالعزيز بن فوزان عبدالعزيز</v>
      </c>
      <c r="C199" s="1">
        <f>IF(REGISTRY!G181="Male",REGISTRY!K181,"")</f>
        <v>6</v>
      </c>
      <c r="D199" s="1">
        <f>IF(REGISTRY!G181="Male",REGISTRY!P181,"")</f>
        <v>0</v>
      </c>
      <c r="E199" s="1" t="str">
        <f>IF(REGISTRY!G181="Male",REGISTRY!L181,"")</f>
        <v>الفوزان</v>
      </c>
    </row>
    <row r="200" spans="1:5" ht="15.75" customHeight="1" x14ac:dyDescent="0.2">
      <c r="A200" s="1" t="str">
        <f>IF(REGISTRY!G182="Male",REGISTRY!A182,"")</f>
        <v>P181</v>
      </c>
      <c r="B200" s="1" t="str">
        <f>IF(REGISTRY!G182="Male",REGISTRY!M182,"")</f>
        <v>منصور بن عبدالعزيز بن فوزان عبدالعزيز</v>
      </c>
      <c r="C200" s="1">
        <f>IF(REGISTRY!G182="Male",REGISTRY!K182,"")</f>
        <v>6</v>
      </c>
      <c r="D200" s="1">
        <f>IF(REGISTRY!G182="Male",REGISTRY!P182,"")</f>
        <v>0</v>
      </c>
      <c r="E200" s="1" t="str">
        <f>IF(REGISTRY!G182="Male",REGISTRY!L182,"")</f>
        <v>الفوزان</v>
      </c>
    </row>
    <row r="201" spans="1:5" ht="15.75" customHeight="1" x14ac:dyDescent="0.2">
      <c r="A201" s="1" t="str">
        <f>IF(REGISTRY!G183="Male",REGISTRY!A183,"")</f>
        <v>P182</v>
      </c>
      <c r="B201" s="1" t="str">
        <f>IF(REGISTRY!G183="Male",REGISTRY!M183,"")</f>
        <v>فواز بن عبدالعزيز بن فوزان عبدالعزيز</v>
      </c>
      <c r="C201" s="1">
        <f>IF(REGISTRY!G183="Male",REGISTRY!K183,"")</f>
        <v>6</v>
      </c>
      <c r="D201" s="1">
        <f>IF(REGISTRY!G183="Male",REGISTRY!P183,"")</f>
        <v>0</v>
      </c>
      <c r="E201" s="1" t="str">
        <f>IF(REGISTRY!G183="Male",REGISTRY!L183,"")</f>
        <v>الفوزان</v>
      </c>
    </row>
    <row r="202" spans="1:5" ht="15.75" customHeight="1" x14ac:dyDescent="0.2">
      <c r="A202" s="1" t="str">
        <f>IF(REGISTRY!G184="Male",REGISTRY!A184,"")</f>
        <v>P183</v>
      </c>
      <c r="B202" s="1" t="str">
        <f>IF(REGISTRY!G184="Male",REGISTRY!M184,"")</f>
        <v>عبدالمحسن بن عبدالعزيز بن فوزان عبدالعزيز</v>
      </c>
      <c r="C202" s="1">
        <f>IF(REGISTRY!G184="Male",REGISTRY!K184,"")</f>
        <v>6</v>
      </c>
      <c r="D202" s="1">
        <f>IF(REGISTRY!G184="Male",REGISTRY!P184,"")</f>
        <v>0</v>
      </c>
      <c r="E202" s="1" t="str">
        <f>IF(REGISTRY!G184="Male",REGISTRY!L184,"")</f>
        <v>الفوزان</v>
      </c>
    </row>
    <row r="203" spans="1:5" ht="15.75" customHeight="1" x14ac:dyDescent="0.2">
      <c r="A203" s="1" t="str">
        <f>IF(REGISTRY!G185="Male",REGISTRY!A185,"")</f>
        <v>P184</v>
      </c>
      <c r="B203" s="1" t="str">
        <f>IF(REGISTRY!G185="Male",REGISTRY!M185,"")</f>
        <v>مشاري بن خالد بن عبدالعزيز فوزان</v>
      </c>
      <c r="C203" s="1">
        <f>IF(REGISTRY!G185="Male",REGISTRY!K185,"")</f>
        <v>7</v>
      </c>
      <c r="D203" s="1">
        <f>IF(REGISTRY!G185="Male",REGISTRY!P185,"")</f>
        <v>0</v>
      </c>
      <c r="E203" s="1" t="str">
        <f>IF(REGISTRY!G185="Male",REGISTRY!L185,"")</f>
        <v>الفوزان</v>
      </c>
    </row>
    <row r="204" spans="1:5" ht="15.75" customHeight="1" x14ac:dyDescent="0.2">
      <c r="A204" s="1" t="str">
        <f>IF(REGISTRY!G186="Male",REGISTRY!A186,"")</f>
        <v>P185</v>
      </c>
      <c r="B204" s="1" t="str">
        <f>IF(REGISTRY!G186="Male",REGISTRY!M186,"")</f>
        <v>مصعب بن خالد بن عبدالعزيز فوزان</v>
      </c>
      <c r="C204" s="1">
        <f>IF(REGISTRY!G186="Male",REGISTRY!K186,"")</f>
        <v>7</v>
      </c>
      <c r="D204" s="1">
        <f>IF(REGISTRY!G186="Male",REGISTRY!P186,"")</f>
        <v>0</v>
      </c>
      <c r="E204" s="1" t="str">
        <f>IF(REGISTRY!G186="Male",REGISTRY!L186,"")</f>
        <v>الفوزان</v>
      </c>
    </row>
    <row r="205" spans="1:5" ht="15.75" customHeight="1" x14ac:dyDescent="0.2">
      <c r="A205" s="1" t="str">
        <f>IF(REGISTRY!G187="Male",REGISTRY!A187,"")</f>
        <v>P186</v>
      </c>
      <c r="B205" s="1" t="str">
        <f>IF(REGISTRY!G187="Male",REGISTRY!M187,"")</f>
        <v>عبدالعزيز بن خالد بن عبدالعزيز فوزان</v>
      </c>
      <c r="C205" s="1">
        <f>IF(REGISTRY!G187="Male",REGISTRY!K187,"")</f>
        <v>7</v>
      </c>
      <c r="D205" s="1">
        <f>IF(REGISTRY!G187="Male",REGISTRY!P187,"")</f>
        <v>0</v>
      </c>
      <c r="E205" s="1" t="str">
        <f>IF(REGISTRY!G187="Male",REGISTRY!L187,"")</f>
        <v>الفوزان</v>
      </c>
    </row>
    <row r="206" spans="1:5" ht="15.75" customHeight="1" x14ac:dyDescent="0.2">
      <c r="A206" s="1" t="str">
        <f>IF(REGISTRY!G188="Male",REGISTRY!A188,"")</f>
        <v>P187</v>
      </c>
      <c r="B206" s="1" t="str">
        <f>IF(REGISTRY!G188="Male",REGISTRY!M188,"")</f>
        <v>عبدالعزيز بن فهد بن عبدالعزيز فوزان</v>
      </c>
      <c r="C206" s="1">
        <f>IF(REGISTRY!G188="Male",REGISTRY!K188,"")</f>
        <v>7</v>
      </c>
      <c r="D206" s="1">
        <f>IF(REGISTRY!G188="Male",REGISTRY!P188,"")</f>
        <v>0</v>
      </c>
      <c r="E206" s="1" t="str">
        <f>IF(REGISTRY!G188="Male",REGISTRY!L188,"")</f>
        <v>الفوزان</v>
      </c>
    </row>
    <row r="207" spans="1:5" ht="15.75" customHeight="1" x14ac:dyDescent="0.2">
      <c r="A207" s="1" t="str">
        <f>IF(REGISTRY!G189="Male",REGISTRY!A189,"")</f>
        <v>P188</v>
      </c>
      <c r="B207" s="1" t="str">
        <f>IF(REGISTRY!G189="Male",REGISTRY!M189,"")</f>
        <v>عمر بن فهد بن عبدالعزيز فوزان</v>
      </c>
      <c r="C207" s="1">
        <f>IF(REGISTRY!G189="Male",REGISTRY!K189,"")</f>
        <v>7</v>
      </c>
      <c r="D207" s="1">
        <f>IF(REGISTRY!G189="Male",REGISTRY!P189,"")</f>
        <v>0</v>
      </c>
      <c r="E207" s="1" t="str">
        <f>IF(REGISTRY!G189="Male",REGISTRY!L189,"")</f>
        <v>الفوزان</v>
      </c>
    </row>
    <row r="208" spans="1:5" ht="15.75" customHeight="1" x14ac:dyDescent="0.2">
      <c r="A208" s="1" t="str">
        <f>IF(REGISTRY!G190="Male",REGISTRY!A190,"")</f>
        <v>P189</v>
      </c>
      <c r="B208" s="1" t="str">
        <f>IF(REGISTRY!G190="Male",REGISTRY!M190,"")</f>
        <v>عاصم بن فهد بن عبدالعزيز فوزان</v>
      </c>
      <c r="C208" s="1">
        <f>IF(REGISTRY!G190="Male",REGISTRY!K190,"")</f>
        <v>7</v>
      </c>
      <c r="D208" s="1">
        <f>IF(REGISTRY!G190="Male",REGISTRY!P190,"")</f>
        <v>0</v>
      </c>
      <c r="E208" s="1" t="str">
        <f>IF(REGISTRY!G190="Male",REGISTRY!L190,"")</f>
        <v>الفوزان</v>
      </c>
    </row>
    <row r="209" spans="1:5" ht="15.75" customHeight="1" x14ac:dyDescent="0.2">
      <c r="A209" s="1" t="str">
        <f>IF(REGISTRY!G191="Male",REGISTRY!A191,"")</f>
        <v>P190</v>
      </c>
      <c r="B209" s="1" t="str">
        <f>IF(REGISTRY!G191="Male",REGISTRY!M191,"")</f>
        <v>ابراهيم بن عبدالله بن عبدالعزيز فوزان</v>
      </c>
      <c r="C209" s="1">
        <f>IF(REGISTRY!G191="Male",REGISTRY!K191,"")</f>
        <v>7</v>
      </c>
      <c r="D209" s="1">
        <f>IF(REGISTRY!G191="Male",REGISTRY!P191,"")</f>
        <v>0</v>
      </c>
      <c r="E209" s="1" t="str">
        <f>IF(REGISTRY!G191="Male",REGISTRY!L191,"")</f>
        <v>الفوزان</v>
      </c>
    </row>
    <row r="210" spans="1:5" ht="15.75" customHeight="1" x14ac:dyDescent="0.2">
      <c r="A210" s="1" t="str">
        <f>IF(REGISTRY!G192="Male",REGISTRY!A192,"")</f>
        <v>P191</v>
      </c>
      <c r="B210" s="1" t="str">
        <f>IF(REGISTRY!G192="Male",REGISTRY!M192,"")</f>
        <v>فهد بن فوزان بن عبدالعزيز فوزان</v>
      </c>
      <c r="C210" s="1">
        <f>IF(REGISTRY!G192="Male",REGISTRY!K192,"")</f>
        <v>7</v>
      </c>
      <c r="D210" s="1">
        <f>IF(REGISTRY!G192="Male",REGISTRY!P192,"")</f>
        <v>0</v>
      </c>
      <c r="E210" s="1" t="str">
        <f>IF(REGISTRY!G192="Male",REGISTRY!L192,"")</f>
        <v>الفوزان</v>
      </c>
    </row>
    <row r="211" spans="1:5" ht="15.75" customHeight="1" x14ac:dyDescent="0.2">
      <c r="A211" s="1" t="str">
        <f>IF(REGISTRY!G193="Male",REGISTRY!A193,"")</f>
        <v>P192</v>
      </c>
      <c r="B211" s="1" t="str">
        <f>IF(REGISTRY!G193="Male",REGISTRY!M193,"")</f>
        <v>محمد بن فوزان بن عبدالعزيز فوزان</v>
      </c>
      <c r="C211" s="1">
        <f>IF(REGISTRY!G193="Male",REGISTRY!K193,"")</f>
        <v>7</v>
      </c>
      <c r="D211" s="1">
        <f>IF(REGISTRY!G193="Male",REGISTRY!P193,"")</f>
        <v>0</v>
      </c>
      <c r="E211" s="1" t="str">
        <f>IF(REGISTRY!G193="Male",REGISTRY!L193,"")</f>
        <v>الفوزان</v>
      </c>
    </row>
    <row r="212" spans="1:5" ht="15.75" customHeight="1" x14ac:dyDescent="0.2">
      <c r="A212" s="1" t="str">
        <f>IF(REGISTRY!G194="Male",REGISTRY!A194,"")</f>
        <v>P193</v>
      </c>
      <c r="B212" s="1" t="str">
        <f>IF(REGISTRY!G194="Male",REGISTRY!M194,"")</f>
        <v>مشعل بن فوزان بن عبدالعزيز فوزان</v>
      </c>
      <c r="C212" s="1">
        <f>IF(REGISTRY!G194="Male",REGISTRY!K194,"")</f>
        <v>7</v>
      </c>
      <c r="D212" s="1">
        <f>IF(REGISTRY!G194="Male",REGISTRY!P194,"")</f>
        <v>0</v>
      </c>
      <c r="E212" s="1" t="str">
        <f>IF(REGISTRY!G194="Male",REGISTRY!L194,"")</f>
        <v>الفوزان</v>
      </c>
    </row>
    <row r="213" spans="1:5" ht="15.75" customHeight="1" x14ac:dyDescent="0.2">
      <c r="A213" s="1" t="str">
        <f>IF(REGISTRY!G195="Male",REGISTRY!A195,"")</f>
        <v>P194</v>
      </c>
      <c r="B213" s="1" t="str">
        <f>IF(REGISTRY!G195="Male",REGISTRY!M195,"")</f>
        <v>سعود بن سعد بن عبدالعزيز فوزان</v>
      </c>
      <c r="C213" s="1">
        <f>IF(REGISTRY!G195="Male",REGISTRY!K195,"")</f>
        <v>7</v>
      </c>
      <c r="D213" s="1">
        <f>IF(REGISTRY!G195="Male",REGISTRY!P195,"")</f>
        <v>0</v>
      </c>
      <c r="E213" s="1" t="str">
        <f>IF(REGISTRY!G195="Male",REGISTRY!L195,"")</f>
        <v>الفوزان</v>
      </c>
    </row>
    <row r="214" spans="1:5" ht="15.75" customHeight="1" x14ac:dyDescent="0.2">
      <c r="A214" s="1" t="str">
        <f>IF(REGISTRY!G196="Male",REGISTRY!A196,"")</f>
        <v>P195</v>
      </c>
      <c r="B214" s="1" t="str">
        <f>IF(REGISTRY!G196="Male",REGISTRY!M196,"")</f>
        <v>عبدالله بن سعود بن سعد عبدالعزيز</v>
      </c>
      <c r="C214" s="1">
        <f>IF(REGISTRY!G196="Male",REGISTRY!K196,"")</f>
        <v>8</v>
      </c>
      <c r="D214" s="1">
        <f>IF(REGISTRY!G196="Male",REGISTRY!P196,"")</f>
        <v>0</v>
      </c>
      <c r="E214" s="1" t="str">
        <f>IF(REGISTRY!G196="Male",REGISTRY!L196,"")</f>
        <v>الفوزان</v>
      </c>
    </row>
    <row r="215" spans="1:5" ht="15.75" customHeight="1" x14ac:dyDescent="0.2">
      <c r="A215" s="1" t="str">
        <f>IF(REGISTRY!G197="Male",REGISTRY!A197,"")</f>
        <v>P196</v>
      </c>
      <c r="B215" s="1" t="str">
        <f>IF(REGISTRY!G197="Male",REGISTRY!M197,"")</f>
        <v>اسامه بن سعود بن سعد عبدالعزيز</v>
      </c>
      <c r="C215" s="1">
        <f>IF(REGISTRY!G197="Male",REGISTRY!K197,"")</f>
        <v>8</v>
      </c>
      <c r="D215" s="1">
        <f>IF(REGISTRY!G197="Male",REGISTRY!P197,"")</f>
        <v>0</v>
      </c>
      <c r="E215" s="1" t="str">
        <f>IF(REGISTRY!G197="Male",REGISTRY!L197,"")</f>
        <v>الفوزان</v>
      </c>
    </row>
    <row r="216" spans="1:5" ht="15.75" customHeight="1" x14ac:dyDescent="0.2">
      <c r="A216" s="1" t="str">
        <f>IF(REGISTRY!G198="Male",REGISTRY!A198,"")</f>
        <v>P197</v>
      </c>
      <c r="B216" s="1" t="str">
        <f>IF(REGISTRY!G198="Male",REGISTRY!M198,"")</f>
        <v>عبدالله بن سعد بن عبدالعزيز فوزان</v>
      </c>
      <c r="C216" s="1">
        <f>IF(REGISTRY!G198="Male",REGISTRY!K198,"")</f>
        <v>7</v>
      </c>
      <c r="D216" s="1">
        <f>IF(REGISTRY!G198="Male",REGISTRY!P198,"")</f>
        <v>0</v>
      </c>
      <c r="E216" s="1" t="str">
        <f>IF(REGISTRY!G198="Male",REGISTRY!L198,"")</f>
        <v>الفوزان</v>
      </c>
    </row>
    <row r="217" spans="1:5" ht="15.75" customHeight="1" x14ac:dyDescent="0.2">
      <c r="A217" s="1" t="str">
        <f>IF(REGISTRY!G199="Male",REGISTRY!A199,"")</f>
        <v>P198</v>
      </c>
      <c r="B217" s="1" t="str">
        <f>IF(REGISTRY!G199="Male",REGISTRY!M199,"")</f>
        <v>سعد بن عبدالله بن سعد عبدالعزيز</v>
      </c>
      <c r="C217" s="1">
        <f>IF(REGISTRY!G199="Male",REGISTRY!K199,"")</f>
        <v>8</v>
      </c>
      <c r="D217" s="1">
        <f>IF(REGISTRY!G199="Male",REGISTRY!P199,"")</f>
        <v>0</v>
      </c>
      <c r="E217" s="1" t="str">
        <f>IF(REGISTRY!G199="Male",REGISTRY!L199,"")</f>
        <v>الفوزان</v>
      </c>
    </row>
    <row r="218" spans="1:5" ht="15.75" customHeight="1" x14ac:dyDescent="0.2">
      <c r="A218" s="1" t="str">
        <f>IF(REGISTRY!G200="Male",REGISTRY!A200,"")</f>
        <v>P199</v>
      </c>
      <c r="B218" s="1" t="str">
        <f>IF(REGISTRY!G200="Male",REGISTRY!M200,"")</f>
        <v>محمد بن سعد بن عبدالعزيز فوزان</v>
      </c>
      <c r="C218" s="1">
        <f>IF(REGISTRY!G200="Male",REGISTRY!K200,"")</f>
        <v>7</v>
      </c>
      <c r="D218" s="1">
        <f>IF(REGISTRY!G200="Male",REGISTRY!P200,"")</f>
        <v>0</v>
      </c>
      <c r="E218" s="1" t="str">
        <f>IF(REGISTRY!G200="Male",REGISTRY!L200,"")</f>
        <v>الفوزان</v>
      </c>
    </row>
    <row r="219" spans="1:5" ht="15.75" customHeight="1" x14ac:dyDescent="0.2">
      <c r="A219" s="1" t="str">
        <f>IF(REGISTRY!G201="Male",REGISTRY!A201,"")</f>
        <v>P200</v>
      </c>
      <c r="B219" s="1" t="str">
        <f>IF(REGISTRY!G201="Male",REGISTRY!M201,"")</f>
        <v>صالح بن سعد بن عبدالعزيز فوزان</v>
      </c>
      <c r="C219" s="1">
        <f>IF(REGISTRY!G201="Male",REGISTRY!K201,"")</f>
        <v>7</v>
      </c>
      <c r="D219" s="1">
        <f>IF(REGISTRY!G201="Male",REGISTRY!P201,"")</f>
        <v>0</v>
      </c>
      <c r="E219" s="1" t="str">
        <f>IF(REGISTRY!G201="Male",REGISTRY!L201,"")</f>
        <v>الفوزان</v>
      </c>
    </row>
    <row r="220" spans="1:5" ht="15.75" customHeight="1" x14ac:dyDescent="0.2">
      <c r="A220" s="1" t="str">
        <f>IF(REGISTRY!G202="Male",REGISTRY!A202,"")</f>
        <v>P201</v>
      </c>
      <c r="B220" s="1" t="str">
        <f>IF(REGISTRY!G202="Male",REGISTRY!M202,"")</f>
        <v>تميم بن سعد بن عبدالعزيز فوزان</v>
      </c>
      <c r="C220" s="1">
        <f>IF(REGISTRY!G202="Male",REGISTRY!K202,"")</f>
        <v>7</v>
      </c>
      <c r="D220" s="1">
        <f>IF(REGISTRY!G202="Male",REGISTRY!P202,"")</f>
        <v>0</v>
      </c>
      <c r="E220" s="1" t="str">
        <f>IF(REGISTRY!G202="Male",REGISTRY!L202,"")</f>
        <v>الفوزان</v>
      </c>
    </row>
    <row r="221" spans="1:5" ht="15.75" customHeight="1" x14ac:dyDescent="0.2">
      <c r="A221" s="1" t="str">
        <f>IF(REGISTRY!G203="Male",REGISTRY!A203,"")</f>
        <v>P202</v>
      </c>
      <c r="B221" s="1" t="str">
        <f>IF(REGISTRY!G203="Male",REGISTRY!M203,"")</f>
        <v>محمد بن عبدالرحمن بن عبدالعزيز فوزان</v>
      </c>
      <c r="C221" s="1">
        <f>IF(REGISTRY!G203="Male",REGISTRY!K203,"")</f>
        <v>7</v>
      </c>
      <c r="D221" s="1">
        <f>IF(REGISTRY!G203="Male",REGISTRY!P203,"")</f>
        <v>0</v>
      </c>
      <c r="E221" s="1" t="str">
        <f>IF(REGISTRY!G203="Male",REGISTRY!L203,"")</f>
        <v>الفوزان</v>
      </c>
    </row>
    <row r="222" spans="1:5" ht="15.75" customHeight="1" x14ac:dyDescent="0.2">
      <c r="A222" s="1" t="str">
        <f>IF(REGISTRY!G204="Male",REGISTRY!A204,"")</f>
        <v>P203</v>
      </c>
      <c r="B222" s="1" t="str">
        <f>IF(REGISTRY!G204="Male",REGISTRY!M204,"")</f>
        <v>عبدالله بن عبدالرحمن بن عبدالعزيز فوزان</v>
      </c>
      <c r="C222" s="1">
        <f>IF(REGISTRY!G204="Male",REGISTRY!K204,"")</f>
        <v>7</v>
      </c>
      <c r="D222" s="1">
        <f>IF(REGISTRY!G204="Male",REGISTRY!P204,"")</f>
        <v>0</v>
      </c>
      <c r="E222" s="1" t="str">
        <f>IF(REGISTRY!G204="Male",REGISTRY!L204,"")</f>
        <v>الفوزان</v>
      </c>
    </row>
    <row r="223" spans="1:5" ht="15.75" customHeight="1" x14ac:dyDescent="0.2">
      <c r="A223" s="1" t="str">
        <f>IF(REGISTRY!G205="Male",REGISTRY!A205,"")</f>
        <v>P204</v>
      </c>
      <c r="B223" s="1" t="str">
        <f>IF(REGISTRY!G205="Male",REGISTRY!M205,"")</f>
        <v>عبدالمجيد بن عبدالرحمن بن عبدالعزيز فوزان</v>
      </c>
      <c r="C223" s="1">
        <f>IF(REGISTRY!G205="Male",REGISTRY!K205,"")</f>
        <v>7</v>
      </c>
      <c r="D223" s="1">
        <f>IF(REGISTRY!G205="Male",REGISTRY!P205,"")</f>
        <v>0</v>
      </c>
      <c r="E223" s="1" t="str">
        <f>IF(REGISTRY!G205="Male",REGISTRY!L205,"")</f>
        <v>الفوزان</v>
      </c>
    </row>
    <row r="224" spans="1:5" ht="15.75" customHeight="1" x14ac:dyDescent="0.2">
      <c r="A224" s="1" t="str">
        <f>IF(REGISTRY!G206="Male",REGISTRY!A206,"")</f>
        <v>P205</v>
      </c>
      <c r="B224" s="1" t="str">
        <f>IF(REGISTRY!G206="Male",REGISTRY!M206,"")</f>
        <v>عبدالعزيز بن عبدالرحمن بن عبدالعزيز فوزان</v>
      </c>
      <c r="C224" s="1">
        <f>IF(REGISTRY!G206="Male",REGISTRY!K206,"")</f>
        <v>7</v>
      </c>
      <c r="D224" s="1">
        <f>IF(REGISTRY!G206="Male",REGISTRY!P206,"")</f>
        <v>0</v>
      </c>
      <c r="E224" s="1" t="str">
        <f>IF(REGISTRY!G206="Male",REGISTRY!L206,"")</f>
        <v>الفوزان</v>
      </c>
    </row>
    <row r="225" spans="1:5" ht="15.75" customHeight="1" x14ac:dyDescent="0.2">
      <c r="A225" s="1" t="str">
        <f>IF(REGISTRY!G207="Male",REGISTRY!A207,"")</f>
        <v>P206</v>
      </c>
      <c r="B225" s="1" t="str">
        <f>IF(REGISTRY!G207="Male",REGISTRY!M207,"")</f>
        <v>احمد بن عبدالرحمن بن عبدالعزيز فوزان</v>
      </c>
      <c r="C225" s="1">
        <f>IF(REGISTRY!G207="Male",REGISTRY!K207,"")</f>
        <v>7</v>
      </c>
      <c r="D225" s="1">
        <f>IF(REGISTRY!G207="Male",REGISTRY!P207,"")</f>
        <v>0</v>
      </c>
      <c r="E225" s="1" t="str">
        <f>IF(REGISTRY!G207="Male",REGISTRY!L207,"")</f>
        <v>الفوزان</v>
      </c>
    </row>
    <row r="226" spans="1:5" ht="15.75" customHeight="1" x14ac:dyDescent="0.2">
      <c r="A226" s="1" t="str">
        <f>IF(REGISTRY!G208="Male",REGISTRY!A208,"")</f>
        <v>P207</v>
      </c>
      <c r="B226" s="1" t="str">
        <f>IF(REGISTRY!G208="Male",REGISTRY!M208,"")</f>
        <v>يوسف بن عبدالرحمن بن عبدالعزيز فوزان</v>
      </c>
      <c r="C226" s="1">
        <f>IF(REGISTRY!G208="Male",REGISTRY!K208,"")</f>
        <v>7</v>
      </c>
      <c r="D226" s="1">
        <f>IF(REGISTRY!G208="Male",REGISTRY!P208,"")</f>
        <v>0</v>
      </c>
      <c r="E226" s="1" t="str">
        <f>IF(REGISTRY!G208="Male",REGISTRY!L208,"")</f>
        <v>الفوزان</v>
      </c>
    </row>
    <row r="227" spans="1:5" ht="15.75" customHeight="1" x14ac:dyDescent="0.2">
      <c r="A227" s="1" t="str">
        <f>IF(REGISTRY!G209="Male",REGISTRY!A209,"")</f>
        <v>P208</v>
      </c>
      <c r="B227" s="1" t="str">
        <f>IF(REGISTRY!G209="Male",REGISTRY!M209,"")</f>
        <v>عبدالاله بن عبدالرحمن بن عبدالعزيز فوزان</v>
      </c>
      <c r="C227" s="1">
        <f>IF(REGISTRY!G209="Male",REGISTRY!K209,"")</f>
        <v>7</v>
      </c>
      <c r="D227" s="1">
        <f>IF(REGISTRY!G209="Male",REGISTRY!P209,"")</f>
        <v>0</v>
      </c>
      <c r="E227" s="1" t="str">
        <f>IF(REGISTRY!G209="Male",REGISTRY!L209,"")</f>
        <v>الفوزان</v>
      </c>
    </row>
    <row r="228" spans="1:5" ht="15.75" customHeight="1" x14ac:dyDescent="0.2">
      <c r="A228" s="1" t="str">
        <f>IF(REGISTRY!G210="Male",REGISTRY!A210,"")</f>
        <v>P209</v>
      </c>
      <c r="B228" s="1" t="str">
        <f>IF(REGISTRY!G210="Male",REGISTRY!M210,"")</f>
        <v>عبدالرحمن بن محمد بن عبدالرحمن عبدالعزيز</v>
      </c>
      <c r="C228" s="1">
        <f>IF(REGISTRY!G210="Male",REGISTRY!K210,"")</f>
        <v>8</v>
      </c>
      <c r="D228" s="1">
        <f>IF(REGISTRY!G210="Male",REGISTRY!P210,"")</f>
        <v>0</v>
      </c>
      <c r="E228" s="1" t="str">
        <f>IF(REGISTRY!G210="Male",REGISTRY!L210,"")</f>
        <v>الفوزان</v>
      </c>
    </row>
    <row r="229" spans="1:5" ht="15.75" customHeight="1" x14ac:dyDescent="0.2">
      <c r="A229" s="1" t="str">
        <f>IF(REGISTRY!G211="Male",REGISTRY!A211,"")</f>
        <v>P210</v>
      </c>
      <c r="B229" s="1" t="str">
        <f>IF(REGISTRY!G211="Male",REGISTRY!M211,"")</f>
        <v>عبدالعزيز بن محمد بن عبدالرحمن عبدالعزيز</v>
      </c>
      <c r="C229" s="1">
        <f>IF(REGISTRY!G211="Male",REGISTRY!K211,"")</f>
        <v>8</v>
      </c>
      <c r="D229" s="1">
        <f>IF(REGISTRY!G211="Male",REGISTRY!P211,"")</f>
        <v>0</v>
      </c>
      <c r="E229" s="1" t="str">
        <f>IF(REGISTRY!G211="Male",REGISTRY!L211,"")</f>
        <v>الفوزان</v>
      </c>
    </row>
    <row r="230" spans="1:5" ht="15.75" customHeight="1" x14ac:dyDescent="0.2">
      <c r="A230" s="1" t="str">
        <f>IF(REGISTRY!G212="Male",REGISTRY!A212,"")</f>
        <v>P211</v>
      </c>
      <c r="B230" s="1" t="str">
        <f>IF(REGISTRY!G212="Male",REGISTRY!M212,"")</f>
        <v>نايف بن محمد بن عبدالرحمن عبدالعزيز</v>
      </c>
      <c r="C230" s="1">
        <f>IF(REGISTRY!G212="Male",REGISTRY!K212,"")</f>
        <v>8</v>
      </c>
      <c r="D230" s="1">
        <f>IF(REGISTRY!G212="Male",REGISTRY!P212,"")</f>
        <v>0</v>
      </c>
      <c r="E230" s="1" t="str">
        <f>IF(REGISTRY!G212="Male",REGISTRY!L212,"")</f>
        <v>الفوزان</v>
      </c>
    </row>
    <row r="231" spans="1:5" ht="15.75" customHeight="1" x14ac:dyDescent="0.2">
      <c r="A231" s="1" t="str">
        <f>IF(REGISTRY!G213="Male",REGISTRY!A213,"")</f>
        <v>P212</v>
      </c>
      <c r="B231" s="1" t="str">
        <f>IF(REGISTRY!G213="Male",REGISTRY!M213,"")</f>
        <v>عبدالله بن محمد بن عبدالرحمن عبدالعزيز</v>
      </c>
      <c r="C231" s="1">
        <f>IF(REGISTRY!G213="Male",REGISTRY!K213,"")</f>
        <v>8</v>
      </c>
      <c r="D231" s="1">
        <f>IF(REGISTRY!G213="Male",REGISTRY!P213,"")</f>
        <v>0</v>
      </c>
      <c r="E231" s="1" t="str">
        <f>IF(REGISTRY!G213="Male",REGISTRY!L213,"")</f>
        <v>الفوزان</v>
      </c>
    </row>
    <row r="232" spans="1:5" ht="15.75" customHeight="1" x14ac:dyDescent="0.2">
      <c r="A232" s="1" t="str">
        <f>IF(REGISTRY!G214="Male",REGISTRY!A214,"")</f>
        <v>P213</v>
      </c>
      <c r="B232" s="1" t="str">
        <f>IF(REGISTRY!G214="Male",REGISTRY!M214,"")</f>
        <v>عبدالله بن محمد بن فوزان عبدالعزيز</v>
      </c>
      <c r="C232" s="1">
        <f>IF(REGISTRY!G214="Male",REGISTRY!K214,"")</f>
        <v>6</v>
      </c>
      <c r="D232" s="1">
        <f>IF(REGISTRY!G214="Male",REGISTRY!P214,"")</f>
        <v>0</v>
      </c>
      <c r="E232" s="1" t="str">
        <f>IF(REGISTRY!G214="Male",REGISTRY!L214,"")</f>
        <v>الفوزان</v>
      </c>
    </row>
    <row r="233" spans="1:5" ht="15.75" customHeight="1" x14ac:dyDescent="0.2">
      <c r="A233" s="1" t="str">
        <f>IF(REGISTRY!G215="Male",REGISTRY!A215,"")</f>
        <v>P214</v>
      </c>
      <c r="B233" s="1" t="str">
        <f>IF(REGISTRY!G215="Male",REGISTRY!M215,"")</f>
        <v>فوزان بن محمد بن فوزان عبدالعزيز</v>
      </c>
      <c r="C233" s="1">
        <f>IF(REGISTRY!G215="Male",REGISTRY!K215,"")</f>
        <v>6</v>
      </c>
      <c r="D233" s="1">
        <f>IF(REGISTRY!G215="Male",REGISTRY!P215,"")</f>
        <v>0</v>
      </c>
      <c r="E233" s="1" t="str">
        <f>IF(REGISTRY!G215="Male",REGISTRY!L215,"")</f>
        <v>الفوزان</v>
      </c>
    </row>
    <row r="234" spans="1:5" ht="15.75" customHeight="1" x14ac:dyDescent="0.2">
      <c r="A234" s="1" t="str">
        <f>IF(REGISTRY!G216="Male",REGISTRY!A216,"")</f>
        <v>P215</v>
      </c>
      <c r="B234" s="1" t="str">
        <f>IF(REGISTRY!G216="Male",REGISTRY!M216,"")</f>
        <v>عبدالرحمن بن محمد بن فوزان عبدالعزيز</v>
      </c>
      <c r="C234" s="1">
        <f>IF(REGISTRY!G216="Male",REGISTRY!K216,"")</f>
        <v>6</v>
      </c>
      <c r="D234" s="1">
        <f>IF(REGISTRY!G216="Male",REGISTRY!P216,"")</f>
        <v>0</v>
      </c>
      <c r="E234" s="1" t="str">
        <f>IF(REGISTRY!G216="Male",REGISTRY!L216,"")</f>
        <v>الفوزان</v>
      </c>
    </row>
    <row r="235" spans="1:5" ht="15.75" customHeight="1" x14ac:dyDescent="0.2">
      <c r="A235" s="1" t="str">
        <f>IF(REGISTRY!G217="Male",REGISTRY!A217,"")</f>
        <v>P216</v>
      </c>
      <c r="B235" s="1" t="str">
        <f>IF(REGISTRY!G217="Male",REGISTRY!M217,"")</f>
        <v>محمد بن عبدالرحمن بن محمد فوزان</v>
      </c>
      <c r="C235" s="1">
        <f>IF(REGISTRY!G217="Male",REGISTRY!K217,"")</f>
        <v>7</v>
      </c>
      <c r="D235" s="1">
        <f>IF(REGISTRY!G217="Male",REGISTRY!P217,"")</f>
        <v>0</v>
      </c>
      <c r="E235" s="1" t="str">
        <f>IF(REGISTRY!G217="Male",REGISTRY!L217,"")</f>
        <v>الفوزان</v>
      </c>
    </row>
    <row r="236" spans="1:5" ht="15.75" customHeight="1" x14ac:dyDescent="0.2">
      <c r="A236" s="1" t="str">
        <f>IF(REGISTRY!G218="Male",REGISTRY!A218,"")</f>
        <v>P217</v>
      </c>
      <c r="B236" s="1" t="str">
        <f>IF(REGISTRY!G218="Male",REGISTRY!M218,"")</f>
        <v>عبدالله بن عبدالرحمن بن محمد فوزان</v>
      </c>
      <c r="C236" s="1">
        <f>IF(REGISTRY!G218="Male",REGISTRY!K218,"")</f>
        <v>7</v>
      </c>
      <c r="D236" s="1">
        <f>IF(REGISTRY!G218="Male",REGISTRY!P218,"")</f>
        <v>0</v>
      </c>
      <c r="E236" s="1" t="str">
        <f>IF(REGISTRY!G218="Male",REGISTRY!L218,"")</f>
        <v>الفوزان</v>
      </c>
    </row>
    <row r="237" spans="1:5" ht="15.75" customHeight="1" x14ac:dyDescent="0.2">
      <c r="A237" s="1" t="str">
        <f>IF(REGISTRY!G219="Male",REGISTRY!A219,"")</f>
        <v>P218</v>
      </c>
      <c r="B237" s="1" t="str">
        <f>IF(REGISTRY!G219="Male",REGISTRY!M219,"")</f>
        <v>محمد بن فوزان بن محمد فوزان</v>
      </c>
      <c r="C237" s="1">
        <f>IF(REGISTRY!G219="Male",REGISTRY!K219,"")</f>
        <v>7</v>
      </c>
      <c r="D237" s="1">
        <f>IF(REGISTRY!G219="Male",REGISTRY!P219,"")</f>
        <v>0</v>
      </c>
      <c r="E237" s="1" t="str">
        <f>IF(REGISTRY!G219="Male",REGISTRY!L219,"")</f>
        <v>الفوزان</v>
      </c>
    </row>
    <row r="238" spans="1:5" ht="15.75" customHeight="1" x14ac:dyDescent="0.2">
      <c r="A238" s="1" t="str">
        <f>IF(REGISTRY!G220="Male",REGISTRY!A220,"")</f>
        <v>P219</v>
      </c>
      <c r="B238" s="1" t="str">
        <f>IF(REGISTRY!G220="Male",REGISTRY!M220,"")</f>
        <v>اسامه بن فوزان بن محمد فوزان</v>
      </c>
      <c r="C238" s="1">
        <f>IF(REGISTRY!G220="Male",REGISTRY!K220,"")</f>
        <v>7</v>
      </c>
      <c r="D238" s="1">
        <f>IF(REGISTRY!G220="Male",REGISTRY!P220,"")</f>
        <v>0</v>
      </c>
      <c r="E238" s="1" t="str">
        <f>IF(REGISTRY!G220="Male",REGISTRY!L220,"")</f>
        <v>الفوزان</v>
      </c>
    </row>
    <row r="239" spans="1:5" ht="15.75" customHeight="1" x14ac:dyDescent="0.2">
      <c r="A239" s="1" t="str">
        <f>IF(REGISTRY!G221="Male",REGISTRY!A221,"")</f>
        <v>P220</v>
      </c>
      <c r="B239" s="1" t="str">
        <f>IF(REGISTRY!G221="Male",REGISTRY!M221,"")</f>
        <v>باسل بن فوزان بن محمد فوزان</v>
      </c>
      <c r="C239" s="1">
        <f>IF(REGISTRY!G221="Male",REGISTRY!K221,"")</f>
        <v>7</v>
      </c>
      <c r="D239" s="1">
        <f>IF(REGISTRY!G221="Male",REGISTRY!P221,"")</f>
        <v>0</v>
      </c>
      <c r="E239" s="1" t="str">
        <f>IF(REGISTRY!G221="Male",REGISTRY!L221,"")</f>
        <v>الفوزان</v>
      </c>
    </row>
    <row r="240" spans="1:5" ht="15.75" customHeight="1" x14ac:dyDescent="0.2">
      <c r="A240" s="1" t="str">
        <f>IF(REGISTRY!G222="Male",REGISTRY!A222,"")</f>
        <v>P221</v>
      </c>
      <c r="B240" s="1" t="str">
        <f>IF(REGISTRY!G222="Male",REGISTRY!M222,"")</f>
        <v>حسام بن فوزان بن محمد فوزان</v>
      </c>
      <c r="C240" s="1">
        <f>IF(REGISTRY!G222="Male",REGISTRY!K222,"")</f>
        <v>7</v>
      </c>
      <c r="D240" s="1">
        <f>IF(REGISTRY!G222="Male",REGISTRY!P222,"")</f>
        <v>0</v>
      </c>
      <c r="E240" s="1" t="str">
        <f>IF(REGISTRY!G222="Male",REGISTRY!L222,"")</f>
        <v>الفوزان</v>
      </c>
    </row>
    <row r="241" spans="1:5" ht="15.75" customHeight="1" x14ac:dyDescent="0.2">
      <c r="A241" s="1" t="str">
        <f>IF(REGISTRY!G223="Male",REGISTRY!A223,"")</f>
        <v>P222</v>
      </c>
      <c r="B241" s="1" t="str">
        <f>IF(REGISTRY!G223="Male",REGISTRY!M223,"")</f>
        <v>انس بن فوزان بن محمد فوزان</v>
      </c>
      <c r="C241" s="1">
        <f>IF(REGISTRY!G223="Male",REGISTRY!K223,"")</f>
        <v>7</v>
      </c>
      <c r="D241" s="1">
        <f>IF(REGISTRY!G223="Male",REGISTRY!P223,"")</f>
        <v>0</v>
      </c>
      <c r="E241" s="1" t="str">
        <f>IF(REGISTRY!G223="Male",REGISTRY!L223,"")</f>
        <v>الفوزان</v>
      </c>
    </row>
    <row r="242" spans="1:5" ht="15.75" customHeight="1" x14ac:dyDescent="0.2">
      <c r="A242" s="1" t="str">
        <f>IF(REGISTRY!G224="Male",REGISTRY!A224,"")</f>
        <v>P223</v>
      </c>
      <c r="B242" s="1" t="str">
        <f>IF(REGISTRY!G224="Male",REGISTRY!M224,"")</f>
        <v>عمر بن محمد بن عبدالرحمن محمد</v>
      </c>
      <c r="C242" s="1">
        <f>IF(REGISTRY!G224="Male",REGISTRY!K224,"")</f>
        <v>8</v>
      </c>
      <c r="D242" s="1">
        <f>IF(REGISTRY!G224="Male",REGISTRY!P224,"")</f>
        <v>0</v>
      </c>
      <c r="E242" s="1" t="str">
        <f>IF(REGISTRY!G224="Male",REGISTRY!L224,"")</f>
        <v>الفوزان</v>
      </c>
    </row>
    <row r="243" spans="1:5" ht="15.75" customHeight="1" x14ac:dyDescent="0.2">
      <c r="A243" s="1" t="str">
        <f>IF(REGISTRY!G225="Male",REGISTRY!A225,"")</f>
        <v>P224</v>
      </c>
      <c r="B243" s="1" t="str">
        <f>IF(REGISTRY!G225="Male",REGISTRY!M225,"")</f>
        <v>عبدالرحمن بن محمد بن عبدالرحمن محمد</v>
      </c>
      <c r="C243" s="1">
        <f>IF(REGISTRY!G225="Male",REGISTRY!K225,"")</f>
        <v>8</v>
      </c>
      <c r="D243" s="1">
        <f>IF(REGISTRY!G225="Male",REGISTRY!P225,"")</f>
        <v>0</v>
      </c>
      <c r="E243" s="1" t="str">
        <f>IF(REGISTRY!G225="Male",REGISTRY!L225,"")</f>
        <v>الفوزان</v>
      </c>
    </row>
    <row r="244" spans="1:5" ht="15.75" customHeight="1" x14ac:dyDescent="0.2">
      <c r="A244" s="1" t="str">
        <f>IF(REGISTRY!G226="Male",REGISTRY!A226,"")</f>
        <v>P225</v>
      </c>
      <c r="B244" s="1" t="str">
        <f>IF(REGISTRY!G226="Male",REGISTRY!M226,"")</f>
        <v>محمد بن عبدالله بن محمد فوزان</v>
      </c>
      <c r="C244" s="1">
        <f>IF(REGISTRY!G226="Male",REGISTRY!K226,"")</f>
        <v>7</v>
      </c>
      <c r="D244" s="1">
        <f>IF(REGISTRY!G226="Male",REGISTRY!P226,"")</f>
        <v>0</v>
      </c>
      <c r="E244" s="1" t="str">
        <f>IF(REGISTRY!G226="Male",REGISTRY!L226,"")</f>
        <v>الفوزان</v>
      </c>
    </row>
    <row r="245" spans="1:5" ht="15.75" customHeight="1" x14ac:dyDescent="0.2">
      <c r="A245" s="1" t="str">
        <f>IF(REGISTRY!G227="Male",REGISTRY!A227,"")</f>
        <v>P226</v>
      </c>
      <c r="B245" s="1" t="str">
        <f>IF(REGISTRY!G227="Male",REGISTRY!M227,"")</f>
        <v>عبدالله بن محمد بن عبدالله محمد</v>
      </c>
      <c r="C245" s="1">
        <f>IF(REGISTRY!G227="Male",REGISTRY!K227,"")</f>
        <v>8</v>
      </c>
      <c r="D245" s="1">
        <f>IF(REGISTRY!G227="Male",REGISTRY!P227,"")</f>
        <v>0</v>
      </c>
      <c r="E245" s="1" t="str">
        <f>IF(REGISTRY!G227="Male",REGISTRY!L227,"")</f>
        <v>الفوزان</v>
      </c>
    </row>
    <row r="246" spans="1:5" ht="15.75" customHeight="1" x14ac:dyDescent="0.2">
      <c r="A246" s="1" t="str">
        <f>IF(REGISTRY!G228="Male",REGISTRY!A228,"")</f>
        <v>P227</v>
      </c>
      <c r="B246" s="1" t="str">
        <f>IF(REGISTRY!G228="Male",REGISTRY!M228,"")</f>
        <v>فوزان بن محمد بن فوزان عبدالعزيز</v>
      </c>
      <c r="C246" s="1">
        <f>IF(REGISTRY!G228="Male",REGISTRY!K228,"")</f>
        <v>8</v>
      </c>
      <c r="D246" s="1">
        <f>IF(REGISTRY!G228="Male",REGISTRY!P228,"")</f>
        <v>0</v>
      </c>
      <c r="E246" s="1" t="str">
        <f>IF(REGISTRY!G228="Male",REGISTRY!L228,"")</f>
        <v>الفوزان</v>
      </c>
    </row>
    <row r="247" spans="1:5" ht="15.75" customHeight="1" x14ac:dyDescent="0.2">
      <c r="A247" s="1" t="str">
        <f>IF(REGISTRY!G229="Male",REGISTRY!A229,"")</f>
        <v>P228</v>
      </c>
      <c r="B247" s="1" t="str">
        <f>IF(REGISTRY!G229="Male",REGISTRY!M229,"")</f>
        <v>عبدالرحمن بن محمد بن فوزان عبدالعزيز</v>
      </c>
      <c r="C247" s="1">
        <f>IF(REGISTRY!G229="Male",REGISTRY!K229,"")</f>
        <v>8</v>
      </c>
      <c r="D247" s="1">
        <f>IF(REGISTRY!G229="Male",REGISTRY!P229,"")</f>
        <v>0</v>
      </c>
      <c r="E247" s="1" t="str">
        <f>IF(REGISTRY!G229="Male",REGISTRY!L229,"")</f>
        <v>الفوزان</v>
      </c>
    </row>
    <row r="248" spans="1:5" ht="15.75" customHeight="1" x14ac:dyDescent="0.2">
      <c r="A248" s="1" t="str">
        <f>IF(REGISTRY!G230="Male",REGISTRY!A230,"")</f>
        <v>P229</v>
      </c>
      <c r="B248" s="1" t="str">
        <f>IF(REGISTRY!G230="Male",REGISTRY!M230,"")</f>
        <v>محمد بن فوزان بن محمد فوزان</v>
      </c>
      <c r="C248" s="1">
        <f>IF(REGISTRY!G230="Male",REGISTRY!K230,"")</f>
        <v>9</v>
      </c>
      <c r="D248" s="1">
        <f>IF(REGISTRY!G230="Male",REGISTRY!P230,"")</f>
        <v>0</v>
      </c>
      <c r="E248" s="1" t="str">
        <f>IF(REGISTRY!G230="Male",REGISTRY!L230,"")</f>
        <v>الفوزان</v>
      </c>
    </row>
    <row r="249" spans="1:5" ht="15.75" customHeight="1" x14ac:dyDescent="0.2">
      <c r="A249" s="1" t="str">
        <f>IF(REGISTRY!G231="Male",REGISTRY!A231,"")</f>
        <v>P230</v>
      </c>
      <c r="B249" s="1" t="str">
        <f>IF(REGISTRY!G231="Male",REGISTRY!M231,"")</f>
        <v>عمر بن محمد بن فوزان محمد</v>
      </c>
      <c r="C249" s="1">
        <f>IF(REGISTRY!G231="Male",REGISTRY!K231,"")</f>
        <v>10</v>
      </c>
      <c r="D249" s="1">
        <f>IF(REGISTRY!G231="Male",REGISTRY!P231,"")</f>
        <v>0</v>
      </c>
      <c r="E249" s="1" t="str">
        <f>IF(REGISTRY!G231="Male",REGISTRY!L231,"")</f>
        <v>الفوزان</v>
      </c>
    </row>
    <row r="250" spans="1:5" ht="15.75" customHeight="1" x14ac:dyDescent="0.2">
      <c r="A250" s="1" t="str">
        <f>IF(REGISTRY!G232="Male",REGISTRY!A232,"")</f>
        <v>P231</v>
      </c>
      <c r="B250" s="1" t="str">
        <f>IF(REGISTRY!G232="Male",REGISTRY!M232,"")</f>
        <v>عبدالرحمن بن محمد بن فوزان محمد</v>
      </c>
      <c r="C250" s="1">
        <f>IF(REGISTRY!G232="Male",REGISTRY!K232,"")</f>
        <v>10</v>
      </c>
      <c r="D250" s="1">
        <f>IF(REGISTRY!G232="Male",REGISTRY!P232,"")</f>
        <v>0</v>
      </c>
      <c r="E250" s="1" t="str">
        <f>IF(REGISTRY!G232="Male",REGISTRY!L232,"")</f>
        <v>الفوزان</v>
      </c>
    </row>
    <row r="251" spans="1:5" ht="15.75" customHeight="1" x14ac:dyDescent="0.2">
      <c r="A251" s="1" t="str">
        <f>IF(REGISTRY!G233="Male",REGISTRY!A233,"")</f>
        <v>P232</v>
      </c>
      <c r="B251" s="1" t="str">
        <f>IF(REGISTRY!G233="Male",REGISTRY!M233,"")</f>
        <v>محمد بن عبدالرحمن بن محمد فوزان</v>
      </c>
      <c r="C251" s="1">
        <f>IF(REGISTRY!G233="Male",REGISTRY!K233,"")</f>
        <v>9</v>
      </c>
      <c r="D251" s="1">
        <f>IF(REGISTRY!G233="Male",REGISTRY!P233,"")</f>
        <v>0</v>
      </c>
      <c r="E251" s="1" t="str">
        <f>IF(REGISTRY!G233="Male",REGISTRY!L233,"")</f>
        <v>الفوزان</v>
      </c>
    </row>
    <row r="252" spans="1:5" ht="15.75" customHeight="1" x14ac:dyDescent="0.2">
      <c r="A252" s="1" t="str">
        <f>IF(REGISTRY!G234="Male",REGISTRY!A234,"")</f>
        <v>P233</v>
      </c>
      <c r="B252" s="1" t="str">
        <f>IF(REGISTRY!G234="Male",REGISTRY!M234,"")</f>
        <v>عبدالله بن عبدالرحمن بن محمد فوزان</v>
      </c>
      <c r="C252" s="1">
        <f>IF(REGISTRY!G234="Male",REGISTRY!K234,"")</f>
        <v>9</v>
      </c>
      <c r="D252" s="1">
        <f>IF(REGISTRY!G234="Male",REGISTRY!P234,"")</f>
        <v>0</v>
      </c>
      <c r="E252" s="1" t="str">
        <f>IF(REGISTRY!G234="Male",REGISTRY!L234,"")</f>
        <v>الفوزان</v>
      </c>
    </row>
    <row r="253" spans="1:5" ht="15.75" customHeight="1" x14ac:dyDescent="0.2">
      <c r="A253" s="1" t="str">
        <f>IF(REGISTRY!G235="Male",REGISTRY!A235,"")</f>
        <v>P234</v>
      </c>
      <c r="B253" s="1" t="str">
        <f>IF(REGISTRY!G235="Male",REGISTRY!M235,"")</f>
        <v xml:space="preserve">عبدالله بن عبدالكريم بن حمد </v>
      </c>
      <c r="C253" s="1">
        <f>IF(REGISTRY!G235="Male",REGISTRY!K235,"")</f>
        <v>3</v>
      </c>
      <c r="D253" s="1">
        <f>IF(REGISTRY!G235="Male",REGISTRY!P235,"")</f>
        <v>0</v>
      </c>
      <c r="E253" s="1" t="str">
        <f>IF(REGISTRY!G235="Male",REGISTRY!L235,"")</f>
        <v>العبدالكريم</v>
      </c>
    </row>
    <row r="254" spans="1:5" ht="15.75" customHeight="1" x14ac:dyDescent="0.2">
      <c r="A254" s="1" t="str">
        <f>IF(REGISTRY!G236="Male",REGISTRY!A236,"")</f>
        <v>P235</v>
      </c>
      <c r="B254" s="1" t="str">
        <f>IF(REGISTRY!G236="Male",REGISTRY!M236,"")</f>
        <v>عبدالكريم بن عبدالله بن عبدالكريم حمد</v>
      </c>
      <c r="C254" s="1">
        <f>IF(REGISTRY!G236="Male",REGISTRY!K236,"")</f>
        <v>4</v>
      </c>
      <c r="D254" s="1">
        <f>IF(REGISTRY!G236="Male",REGISTRY!P236,"")</f>
        <v>0</v>
      </c>
      <c r="E254" s="1" t="str">
        <f>IF(REGISTRY!G236="Male",REGISTRY!L236,"")</f>
        <v>العبدالكريم</v>
      </c>
    </row>
    <row r="255" spans="1:5" ht="15.75" customHeight="1" x14ac:dyDescent="0.2">
      <c r="A255" s="1" t="str">
        <f>IF(REGISTRY!G237="Male",REGISTRY!A237,"")</f>
        <v>P236</v>
      </c>
      <c r="B255" s="1" t="str">
        <f>IF(REGISTRY!G237="Male",REGISTRY!M237,"")</f>
        <v>محمد بن عبدالله بن عبدالكريم حمد</v>
      </c>
      <c r="C255" s="1">
        <f>IF(REGISTRY!G237="Male",REGISTRY!K237,"")</f>
        <v>4</v>
      </c>
      <c r="D255" s="1">
        <f>IF(REGISTRY!G237="Male",REGISTRY!P237,"")</f>
        <v>0</v>
      </c>
      <c r="E255" s="1" t="str">
        <f>IF(REGISTRY!G237="Male",REGISTRY!L237,"")</f>
        <v>العبدالكريم</v>
      </c>
    </row>
    <row r="256" spans="1:5" ht="15.75" customHeight="1" x14ac:dyDescent="0.2">
      <c r="A256" s="1" t="str">
        <f>IF(REGISTRY!G238="Male",REGISTRY!A238,"")</f>
        <v>P237</v>
      </c>
      <c r="B256" s="1" t="str">
        <f>IF(REGISTRY!G238="Male",REGISTRY!M238,"")</f>
        <v>عثمان بن محمد بن عبدالله عبدالكريم</v>
      </c>
      <c r="C256" s="1">
        <f>IF(REGISTRY!G238="Male",REGISTRY!K238,"")</f>
        <v>5</v>
      </c>
      <c r="D256" s="1">
        <f>IF(REGISTRY!G238="Male",REGISTRY!P238,"")</f>
        <v>0</v>
      </c>
      <c r="E256" s="1" t="str">
        <f>IF(REGISTRY!G238="Male",REGISTRY!L238,"")</f>
        <v>العبدالكريم</v>
      </c>
    </row>
    <row r="257" spans="1:5" ht="15.75" customHeight="1" x14ac:dyDescent="0.2">
      <c r="A257" s="1" t="str">
        <f>IF(REGISTRY!G239="Male",REGISTRY!A239,"")</f>
        <v>P238</v>
      </c>
      <c r="B257" s="1" t="str">
        <f>IF(REGISTRY!G239="Male",REGISTRY!M239,"")</f>
        <v>عبدالعزيز بن محمد بن عبدالله عبدالكريم</v>
      </c>
      <c r="C257" s="1">
        <f>IF(REGISTRY!G239="Male",REGISTRY!K239,"")</f>
        <v>5</v>
      </c>
      <c r="D257" s="1">
        <f>IF(REGISTRY!G239="Male",REGISTRY!P239,"")</f>
        <v>0</v>
      </c>
      <c r="E257" s="1" t="str">
        <f>IF(REGISTRY!G239="Male",REGISTRY!L239,"")</f>
        <v>العبدالكريم</v>
      </c>
    </row>
    <row r="258" spans="1:5" ht="15.75" customHeight="1" x14ac:dyDescent="0.2">
      <c r="A258" s="1" t="str">
        <f>IF(REGISTRY!G240="Male",REGISTRY!A240,"")</f>
        <v>P239</v>
      </c>
      <c r="B258" s="1" t="str">
        <f>IF(REGISTRY!G240="Male",REGISTRY!M240,"")</f>
        <v>عبدالله بن محمد بن عبدالله عبدالكريم</v>
      </c>
      <c r="C258" s="1">
        <f>IF(REGISTRY!G240="Male",REGISTRY!K240,"")</f>
        <v>5</v>
      </c>
      <c r="D258" s="1">
        <f>IF(REGISTRY!G240="Male",REGISTRY!P240,"")</f>
        <v>0</v>
      </c>
      <c r="E258" s="1" t="str">
        <f>IF(REGISTRY!G240="Male",REGISTRY!L240,"")</f>
        <v>العبدالكريم</v>
      </c>
    </row>
    <row r="259" spans="1:5" ht="15.75" customHeight="1" x14ac:dyDescent="0.2">
      <c r="A259" s="1" t="str">
        <f>IF(REGISTRY!G241="Male",REGISTRY!A241,"")</f>
        <v>P240</v>
      </c>
      <c r="B259" s="1" t="str">
        <f>IF(REGISTRY!G241="Male",REGISTRY!M241,"")</f>
        <v>محمد بن عبدالله بن محمد عبدالله</v>
      </c>
      <c r="C259" s="1">
        <f>IF(REGISTRY!G241="Male",REGISTRY!K241,"")</f>
        <v>6</v>
      </c>
      <c r="D259" s="1">
        <f>IF(REGISTRY!G241="Male",REGISTRY!P241,"")</f>
        <v>0</v>
      </c>
      <c r="E259" s="1" t="str">
        <f>IF(REGISTRY!G241="Male",REGISTRY!L241,"")</f>
        <v>العبدالكريم</v>
      </c>
    </row>
    <row r="260" spans="1:5" ht="15.75" customHeight="1" x14ac:dyDescent="0.2">
      <c r="A260" s="1" t="str">
        <f>IF(REGISTRY!G242="Male",REGISTRY!A242,"")</f>
        <v>P241</v>
      </c>
      <c r="B260" s="1" t="str">
        <f>IF(REGISTRY!G242="Male",REGISTRY!M242,"")</f>
        <v>عبدالعزيز بن عبدالله بن محمد عبدالله</v>
      </c>
      <c r="C260" s="1">
        <f>IF(REGISTRY!G242="Male",REGISTRY!K242,"")</f>
        <v>6</v>
      </c>
      <c r="D260" s="1">
        <f>IF(REGISTRY!G242="Male",REGISTRY!P242,"")</f>
        <v>0</v>
      </c>
      <c r="E260" s="1" t="str">
        <f>IF(REGISTRY!G242="Male",REGISTRY!L242,"")</f>
        <v>العبدالكريم</v>
      </c>
    </row>
    <row r="261" spans="1:5" ht="15.75" customHeight="1" x14ac:dyDescent="0.2">
      <c r="A261" s="1" t="str">
        <f>IF(REGISTRY!G243="Male",REGISTRY!A243,"")</f>
        <v>P242</v>
      </c>
      <c r="B261" s="1" t="str">
        <f>IF(REGISTRY!G243="Male",REGISTRY!M243,"")</f>
        <v>عبدالله بن محمد بن عبدالله محمد</v>
      </c>
      <c r="C261" s="1">
        <f>IF(REGISTRY!G243="Male",REGISTRY!K243,"")</f>
        <v>7</v>
      </c>
      <c r="D261" s="1">
        <f>IF(REGISTRY!G243="Male",REGISTRY!P243,"")</f>
        <v>0</v>
      </c>
      <c r="E261" s="1" t="str">
        <f>IF(REGISTRY!G243="Male",REGISTRY!L243,"")</f>
        <v>العبدالكريم</v>
      </c>
    </row>
    <row r="262" spans="1:5" ht="15.75" customHeight="1" x14ac:dyDescent="0.2">
      <c r="A262" s="1" t="str">
        <f>IF(REGISTRY!G244="Male",REGISTRY!A244,"")</f>
        <v>P243</v>
      </c>
      <c r="B262" s="1" t="str">
        <f>IF(REGISTRY!G244="Male",REGISTRY!M244,"")</f>
        <v>عبدالعزيز بن محمد بن عبدالله محمد</v>
      </c>
      <c r="C262" s="1">
        <f>IF(REGISTRY!G244="Male",REGISTRY!K244,"")</f>
        <v>7</v>
      </c>
      <c r="D262" s="1">
        <f>IF(REGISTRY!G244="Male",REGISTRY!P244,"")</f>
        <v>0</v>
      </c>
      <c r="E262" s="1" t="str">
        <f>IF(REGISTRY!G244="Male",REGISTRY!L244,"")</f>
        <v>العبدالكريم</v>
      </c>
    </row>
    <row r="263" spans="1:5" ht="15.75" customHeight="1" x14ac:dyDescent="0.2">
      <c r="A263" s="1" t="str">
        <f>IF(REGISTRY!G245="Male",REGISTRY!A245,"")</f>
        <v>P244</v>
      </c>
      <c r="B263" s="1" t="str">
        <f>IF(REGISTRY!G245="Male",REGISTRY!M245,"")</f>
        <v>يوسف بن محمد بن عبدالله محمد</v>
      </c>
      <c r="C263" s="1">
        <f>IF(REGISTRY!G245="Male",REGISTRY!K245,"")</f>
        <v>7</v>
      </c>
      <c r="D263" s="1">
        <f>IF(REGISTRY!G245="Male",REGISTRY!P245,"")</f>
        <v>0</v>
      </c>
      <c r="E263" s="1" t="str">
        <f>IF(REGISTRY!G245="Male",REGISTRY!L245,"")</f>
        <v>العبدالكريم</v>
      </c>
    </row>
    <row r="264" spans="1:5" ht="15.75" customHeight="1" x14ac:dyDescent="0.2">
      <c r="A264" s="1" t="str">
        <f>IF(REGISTRY!G246="Male",REGISTRY!A246,"")</f>
        <v/>
      </c>
      <c r="B264" s="1" t="str">
        <f>IF(REGISTRY!G246="Male",REGISTRY!M246,"")</f>
        <v/>
      </c>
      <c r="C264" s="1" t="str">
        <f>IF(REGISTRY!G246="Male",REGISTRY!K246,"")</f>
        <v/>
      </c>
      <c r="D264" s="1" t="str">
        <f>IF(REGISTRY!G246="Male",REGISTRY!P246,"")</f>
        <v/>
      </c>
      <c r="E264" s="1" t="str">
        <f>IF(REGISTRY!G246="Male",REGISTRY!L246,"")</f>
        <v/>
      </c>
    </row>
    <row r="265" spans="1:5" ht="15.75" customHeight="1" x14ac:dyDescent="0.2">
      <c r="A265" s="1" t="str">
        <f>IF(REGISTRY!G247="Male",REGISTRY!A247,"")</f>
        <v/>
      </c>
      <c r="B265" s="1" t="str">
        <f>IF(REGISTRY!G247="Male",REGISTRY!M247,"")</f>
        <v/>
      </c>
      <c r="C265" s="1" t="str">
        <f>IF(REGISTRY!G247="Male",REGISTRY!K247,"")</f>
        <v/>
      </c>
      <c r="D265" s="1" t="str">
        <f>IF(REGISTRY!G247="Male",REGISTRY!P247,"")</f>
        <v/>
      </c>
      <c r="E265" s="1" t="str">
        <f>IF(REGISTRY!G247="Male",REGISTRY!L247,"")</f>
        <v/>
      </c>
    </row>
    <row r="266" spans="1:5" ht="15.75" customHeight="1" x14ac:dyDescent="0.2">
      <c r="A266" s="1" t="str">
        <f>IF(REGISTRY!G248="Male",REGISTRY!A248,"")</f>
        <v/>
      </c>
      <c r="B266" s="1" t="str">
        <f>IF(REGISTRY!G248="Male",REGISTRY!M248,"")</f>
        <v/>
      </c>
      <c r="C266" s="1" t="str">
        <f>IF(REGISTRY!G248="Male",REGISTRY!K248,"")</f>
        <v/>
      </c>
      <c r="D266" s="1" t="str">
        <f>IF(REGISTRY!G248="Male",REGISTRY!P248,"")</f>
        <v/>
      </c>
      <c r="E266" s="1" t="str">
        <f>IF(REGISTRY!G248="Male",REGISTRY!L248,"")</f>
        <v/>
      </c>
    </row>
    <row r="267" spans="1:5" ht="15.75" customHeight="1" x14ac:dyDescent="0.2">
      <c r="A267" s="1" t="str">
        <f>IF(REGISTRY!G249="Male",REGISTRY!A249,"")</f>
        <v>P248</v>
      </c>
      <c r="B267" s="1" t="str">
        <f>IF(REGISTRY!G249="Male",REGISTRY!M249,"")</f>
        <v>عمر بن محمد بن عبدالله محمد</v>
      </c>
      <c r="C267" s="1">
        <f>IF(REGISTRY!G249="Male",REGISTRY!K249,"")</f>
        <v>7</v>
      </c>
      <c r="D267" s="1">
        <f>IF(REGISTRY!G249="Male",REGISTRY!P249,"")</f>
        <v>0</v>
      </c>
      <c r="E267" s="1" t="str">
        <f>IF(REGISTRY!G249="Male",REGISTRY!L249,"")</f>
        <v>العبدالكريم</v>
      </c>
    </row>
    <row r="268" spans="1:5" ht="15.75" customHeight="1" x14ac:dyDescent="0.2">
      <c r="A268" s="1" t="str">
        <f>IF(REGISTRY!G250="Male",REGISTRY!A250,"")</f>
        <v/>
      </c>
      <c r="B268" s="1" t="str">
        <f>IF(REGISTRY!G250="Male",REGISTRY!M250,"")</f>
        <v/>
      </c>
      <c r="C268" s="1" t="str">
        <f>IF(REGISTRY!G250="Male",REGISTRY!K250,"")</f>
        <v/>
      </c>
      <c r="D268" s="1" t="str">
        <f>IF(REGISTRY!G250="Male",REGISTRY!P250,"")</f>
        <v/>
      </c>
      <c r="E268" s="1" t="str">
        <f>IF(REGISTRY!G250="Male",REGISTRY!L250,"")</f>
        <v/>
      </c>
    </row>
    <row r="269" spans="1:5" ht="15.75" customHeight="1" x14ac:dyDescent="0.2">
      <c r="A269" s="1" t="str">
        <f>IF(REGISTRY!G251="Male",REGISTRY!A251,"")</f>
        <v/>
      </c>
      <c r="B269" s="1" t="str">
        <f>IF(REGISTRY!G251="Male",REGISTRY!M251,"")</f>
        <v/>
      </c>
      <c r="C269" s="1" t="str">
        <f>IF(REGISTRY!G251="Male",REGISTRY!K251,"")</f>
        <v/>
      </c>
      <c r="D269" s="1" t="str">
        <f>IF(REGISTRY!G251="Male",REGISTRY!P251,"")</f>
        <v/>
      </c>
      <c r="E269" s="1" t="str">
        <f>IF(REGISTRY!G251="Male",REGISTRY!L251,"")</f>
        <v/>
      </c>
    </row>
    <row r="270" spans="1:5" ht="15.75" customHeight="1" x14ac:dyDescent="0.2">
      <c r="A270" s="1" t="str">
        <f>IF(REGISTRY!G252="Male",REGISTRY!A252,"")</f>
        <v/>
      </c>
      <c r="B270" s="1" t="str">
        <f>IF(REGISTRY!G252="Male",REGISTRY!M252,"")</f>
        <v/>
      </c>
      <c r="C270" s="1" t="str">
        <f>IF(REGISTRY!G252="Male",REGISTRY!K252,"")</f>
        <v/>
      </c>
      <c r="D270" s="1" t="str">
        <f>IF(REGISTRY!G252="Male",REGISTRY!P252,"")</f>
        <v/>
      </c>
      <c r="E270" s="1" t="str">
        <f>IF(REGISTRY!G252="Male",REGISTRY!L252,"")</f>
        <v/>
      </c>
    </row>
    <row r="271" spans="1:5" ht="15.75" customHeight="1" x14ac:dyDescent="0.2">
      <c r="A271" s="1" t="str">
        <f>IF(REGISTRY!G253="Male",REGISTRY!A253,"")</f>
        <v/>
      </c>
      <c r="B271" s="1" t="str">
        <f>IF(REGISTRY!G253="Male",REGISTRY!M253,"")</f>
        <v/>
      </c>
      <c r="C271" s="1" t="str">
        <f>IF(REGISTRY!G253="Male",REGISTRY!K253,"")</f>
        <v/>
      </c>
      <c r="D271" s="1" t="str">
        <f>IF(REGISTRY!G253="Male",REGISTRY!P253,"")</f>
        <v/>
      </c>
      <c r="E271" s="1" t="str">
        <f>IF(REGISTRY!G253="Male",REGISTRY!L253,"")</f>
        <v/>
      </c>
    </row>
    <row r="272" spans="1:5" ht="15.75" customHeight="1" x14ac:dyDescent="0.2">
      <c r="A272" s="1" t="str">
        <f>IF(REGISTRY!G254="Male",REGISTRY!A254,"")</f>
        <v/>
      </c>
      <c r="B272" s="1" t="str">
        <f>IF(REGISTRY!G254="Male",REGISTRY!M254,"")</f>
        <v/>
      </c>
      <c r="C272" s="1" t="str">
        <f>IF(REGISTRY!G254="Male",REGISTRY!K254,"")</f>
        <v/>
      </c>
      <c r="D272" s="1" t="str">
        <f>IF(REGISTRY!G254="Male",REGISTRY!P254,"")</f>
        <v/>
      </c>
      <c r="E272" s="1" t="str">
        <f>IF(REGISTRY!G254="Male",REGISTRY!L254,"")</f>
        <v/>
      </c>
    </row>
    <row r="273" spans="1:5" ht="15.75" customHeight="1" x14ac:dyDescent="0.2">
      <c r="A273" s="1" t="str">
        <f>IF(REGISTRY!G255="Male",REGISTRY!A255,"")</f>
        <v>P254</v>
      </c>
      <c r="B273" s="1" t="str">
        <f>IF(REGISTRY!G255="Male",REGISTRY!M255,"")</f>
        <v>عبدالله  بن عبدالعزيز بن عبدالله محمد</v>
      </c>
      <c r="C273" s="1">
        <f>IF(REGISTRY!G255="Male",REGISTRY!K255,"")</f>
        <v>7</v>
      </c>
      <c r="D273" s="1">
        <f>IF(REGISTRY!G255="Male",REGISTRY!P255,"")</f>
        <v>0</v>
      </c>
      <c r="E273" s="1" t="str">
        <f>IF(REGISTRY!G255="Male",REGISTRY!L255,"")</f>
        <v>العبدالكريم</v>
      </c>
    </row>
    <row r="274" spans="1:5" ht="15.75" customHeight="1" x14ac:dyDescent="0.2">
      <c r="A274" s="1" t="str">
        <f>IF(REGISTRY!G256="Male",REGISTRY!A256,"")</f>
        <v>P255</v>
      </c>
      <c r="B274" s="1" t="str">
        <f>IF(REGISTRY!G256="Male",REGISTRY!M256,"")</f>
        <v>فهد بن عبدالعزيز بن عبدالله محمد</v>
      </c>
      <c r="C274" s="1">
        <f>IF(REGISTRY!G256="Male",REGISTRY!K256,"")</f>
        <v>7</v>
      </c>
      <c r="D274" s="1">
        <f>IF(REGISTRY!G256="Male",REGISTRY!P256,"")</f>
        <v>0</v>
      </c>
      <c r="E274" s="1" t="str">
        <f>IF(REGISTRY!G256="Male",REGISTRY!L256,"")</f>
        <v>العبدالكريم</v>
      </c>
    </row>
    <row r="275" spans="1:5" ht="15.75" customHeight="1" x14ac:dyDescent="0.2">
      <c r="A275" s="1" t="str">
        <f>IF(REGISTRY!G257="Male",REGISTRY!A257,"")</f>
        <v/>
      </c>
      <c r="B275" s="1" t="str">
        <f>IF(REGISTRY!G257="Male",REGISTRY!M257,"")</f>
        <v/>
      </c>
      <c r="C275" s="1" t="str">
        <f>IF(REGISTRY!G257="Male",REGISTRY!K257,"")</f>
        <v/>
      </c>
      <c r="D275" s="1" t="str">
        <f>IF(REGISTRY!G257="Male",REGISTRY!P257,"")</f>
        <v/>
      </c>
      <c r="E275" s="1" t="str">
        <f>IF(REGISTRY!G257="Male",REGISTRY!L257,"")</f>
        <v/>
      </c>
    </row>
    <row r="276" spans="1:5" ht="15.75" customHeight="1" x14ac:dyDescent="0.2">
      <c r="A276" s="1" t="str">
        <f>IF(REGISTRY!G258="Male",REGISTRY!A258,"")</f>
        <v/>
      </c>
      <c r="B276" s="1" t="str">
        <f>IF(REGISTRY!G258="Male",REGISTRY!M258,"")</f>
        <v/>
      </c>
      <c r="C276" s="1" t="str">
        <f>IF(REGISTRY!G258="Male",REGISTRY!K258,"")</f>
        <v/>
      </c>
      <c r="D276" s="1" t="str">
        <f>IF(REGISTRY!G258="Male",REGISTRY!P258,"")</f>
        <v/>
      </c>
      <c r="E276" s="1" t="str">
        <f>IF(REGISTRY!G258="Male",REGISTRY!L258,"")</f>
        <v/>
      </c>
    </row>
    <row r="277" spans="1:5" ht="15.75" customHeight="1" x14ac:dyDescent="0.2">
      <c r="A277" s="1" t="str">
        <f>IF(REGISTRY!G259="Male",REGISTRY!A259,"")</f>
        <v/>
      </c>
      <c r="B277" s="1" t="str">
        <f>IF(REGISTRY!G259="Male",REGISTRY!M259,"")</f>
        <v/>
      </c>
      <c r="C277" s="1" t="str">
        <f>IF(REGISTRY!G259="Male",REGISTRY!K259,"")</f>
        <v/>
      </c>
      <c r="D277" s="1" t="str">
        <f>IF(REGISTRY!G259="Male",REGISTRY!P259,"")</f>
        <v/>
      </c>
      <c r="E277" s="1" t="str">
        <f>IF(REGISTRY!G259="Male",REGISTRY!L259,"")</f>
        <v/>
      </c>
    </row>
    <row r="278" spans="1:5" ht="15.75" customHeight="1" x14ac:dyDescent="0.2">
      <c r="A278" s="1" t="str">
        <f>IF(REGISTRY!G260="Male",REGISTRY!A260,"")</f>
        <v/>
      </c>
      <c r="B278" s="1" t="str">
        <f>IF(REGISTRY!G260="Male",REGISTRY!M260,"")</f>
        <v/>
      </c>
      <c r="C278" s="1" t="str">
        <f>IF(REGISTRY!G260="Male",REGISTRY!K260,"")</f>
        <v/>
      </c>
      <c r="D278" s="1" t="str">
        <f>IF(REGISTRY!G260="Male",REGISTRY!P260,"")</f>
        <v/>
      </c>
      <c r="E278" s="1" t="str">
        <f>IF(REGISTRY!G260="Male",REGISTRY!L260,"")</f>
        <v/>
      </c>
    </row>
    <row r="279" spans="1:5" ht="15.75" customHeight="1" x14ac:dyDescent="0.2">
      <c r="A279" s="1" t="str">
        <f>IF(REGISTRY!G261="Male",REGISTRY!A261,"")</f>
        <v/>
      </c>
      <c r="B279" s="1" t="str">
        <f>IF(REGISTRY!G261="Male",REGISTRY!M261,"")</f>
        <v/>
      </c>
      <c r="C279" s="1" t="str">
        <f>IF(REGISTRY!G261="Male",REGISTRY!K261,"")</f>
        <v/>
      </c>
      <c r="D279" s="1" t="str">
        <f>IF(REGISTRY!G261="Male",REGISTRY!P261,"")</f>
        <v/>
      </c>
      <c r="E279" s="1" t="str">
        <f>IF(REGISTRY!G261="Male",REGISTRY!L261,"")</f>
        <v/>
      </c>
    </row>
    <row r="280" spans="1:5" ht="15.75" customHeight="1" x14ac:dyDescent="0.2">
      <c r="A280" s="1" t="str">
        <f>IF(REGISTRY!G262="Male",REGISTRY!A262,"")</f>
        <v/>
      </c>
      <c r="B280" s="1" t="str">
        <f>IF(REGISTRY!G262="Male",REGISTRY!M262,"")</f>
        <v/>
      </c>
      <c r="C280" s="1" t="str">
        <f>IF(REGISTRY!G262="Male",REGISTRY!K262,"")</f>
        <v/>
      </c>
      <c r="D280" s="1" t="str">
        <f>IF(REGISTRY!G262="Male",REGISTRY!P262,"")</f>
        <v/>
      </c>
      <c r="E280" s="1" t="str">
        <f>IF(REGISTRY!G262="Male",REGISTRY!L262,"")</f>
        <v/>
      </c>
    </row>
    <row r="281" spans="1:5" ht="15.75" customHeight="1" x14ac:dyDescent="0.2">
      <c r="A281" s="1" t="str">
        <f>IF(REGISTRY!G263="Male",REGISTRY!A263,"")</f>
        <v/>
      </c>
      <c r="B281" s="1" t="str">
        <f>IF(REGISTRY!G263="Male",REGISTRY!M263,"")</f>
        <v/>
      </c>
      <c r="C281" s="1" t="str">
        <f>IF(REGISTRY!G263="Male",REGISTRY!K263,"")</f>
        <v/>
      </c>
      <c r="D281" s="1" t="str">
        <f>IF(REGISTRY!G263="Male",REGISTRY!P263,"")</f>
        <v/>
      </c>
      <c r="E281" s="1" t="str">
        <f>IF(REGISTRY!G263="Male",REGISTRY!L263,"")</f>
        <v/>
      </c>
    </row>
    <row r="282" spans="1:5" ht="15.75" customHeight="1" x14ac:dyDescent="0.2">
      <c r="A282" s="1" t="str">
        <f>IF(REGISTRY!G264="Male",REGISTRY!A264,"")</f>
        <v>P263</v>
      </c>
      <c r="B282" s="1" t="str">
        <f>IF(REGISTRY!G264="Male",REGISTRY!M264,"")</f>
        <v>ابراهيم بن عبدالعزيز بن ابراهيم ناصر</v>
      </c>
      <c r="C282" s="1">
        <f>IF(REGISTRY!G264="Male",REGISTRY!K264,"")</f>
        <v>6</v>
      </c>
      <c r="D282" s="1">
        <f>IF(REGISTRY!G264="Male",REGISTRY!P264,"")</f>
        <v>0</v>
      </c>
      <c r="E282" s="1" t="str">
        <f>IF(REGISTRY!G264="Male",REGISTRY!L264,"")</f>
        <v>الابراهيم</v>
      </c>
    </row>
    <row r="283" spans="1:5" ht="15.75" customHeight="1" x14ac:dyDescent="0.2">
      <c r="A283" s="1" t="str">
        <f>IF(REGISTRY!G265="Male",REGISTRY!A265,"")</f>
        <v>P264</v>
      </c>
      <c r="B283" s="1" t="str">
        <f>IF(REGISTRY!G265="Male",REGISTRY!M265,"")</f>
        <v>خالد بن عبدالعزيز بن ابراهيم ناصر</v>
      </c>
      <c r="C283" s="1">
        <f>IF(REGISTRY!G265="Male",REGISTRY!K265,"")</f>
        <v>6</v>
      </c>
      <c r="D283" s="1">
        <f>IF(REGISTRY!G265="Male",REGISTRY!P265,"")</f>
        <v>0</v>
      </c>
      <c r="E283" s="1" t="str">
        <f>IF(REGISTRY!G265="Male",REGISTRY!L265,"")</f>
        <v>الابراهيم</v>
      </c>
    </row>
    <row r="284" spans="1:5" ht="15.75" customHeight="1" x14ac:dyDescent="0.2">
      <c r="A284" s="1" t="str">
        <f>IF(REGISTRY!G266="Male",REGISTRY!A266,"")</f>
        <v>P265</v>
      </c>
      <c r="B284" s="1" t="str">
        <f>IF(REGISTRY!G266="Male",REGISTRY!M266,"")</f>
        <v>عبدالله بن عبدالعزيز بن ابراهيم ناصر</v>
      </c>
      <c r="C284" s="1">
        <f>IF(REGISTRY!G266="Male",REGISTRY!K266,"")</f>
        <v>6</v>
      </c>
      <c r="D284" s="1">
        <f>IF(REGISTRY!G266="Male",REGISTRY!P266,"")</f>
        <v>0</v>
      </c>
      <c r="E284" s="1" t="str">
        <f>IF(REGISTRY!G266="Male",REGISTRY!L266,"")</f>
        <v>الابراهيم</v>
      </c>
    </row>
    <row r="285" spans="1:5" ht="15.75" customHeight="1" x14ac:dyDescent="0.2">
      <c r="A285" s="1" t="str">
        <f>IF(REGISTRY!G267="Male",REGISTRY!A267,"")</f>
        <v/>
      </c>
      <c r="B285" s="1" t="str">
        <f>IF(REGISTRY!G267="Male",REGISTRY!M267,"")</f>
        <v/>
      </c>
      <c r="C285" s="1" t="str">
        <f>IF(REGISTRY!G267="Male",REGISTRY!K267,"")</f>
        <v/>
      </c>
      <c r="D285" s="1" t="str">
        <f>IF(REGISTRY!G267="Male",REGISTRY!P267,"")</f>
        <v/>
      </c>
      <c r="E285" s="1" t="str">
        <f>IF(REGISTRY!G267="Male",REGISTRY!L267,"")</f>
        <v/>
      </c>
    </row>
    <row r="286" spans="1:5" ht="15.75" customHeight="1" x14ac:dyDescent="0.2">
      <c r="A286" s="1" t="str">
        <f>IF(REGISTRY!G268="Male",REGISTRY!A268,"")</f>
        <v/>
      </c>
      <c r="B286" s="1" t="str">
        <f>IF(REGISTRY!G268="Male",REGISTRY!M268,"")</f>
        <v/>
      </c>
      <c r="C286" s="1" t="str">
        <f>IF(REGISTRY!G268="Male",REGISTRY!K268,"")</f>
        <v/>
      </c>
      <c r="D286" s="1" t="str">
        <f>IF(REGISTRY!G268="Male",REGISTRY!P268,"")</f>
        <v/>
      </c>
      <c r="E286" s="1" t="str">
        <f>IF(REGISTRY!G268="Male",REGISTRY!L268,"")</f>
        <v/>
      </c>
    </row>
    <row r="287" spans="1:5" ht="15.75" customHeight="1" x14ac:dyDescent="0.2">
      <c r="A287" s="1" t="str">
        <f>IF(REGISTRY!G269="Male",REGISTRY!A269,"")</f>
        <v/>
      </c>
      <c r="B287" s="1" t="str">
        <f>IF(REGISTRY!G269="Male",REGISTRY!M269,"")</f>
        <v/>
      </c>
      <c r="C287" s="1" t="str">
        <f>IF(REGISTRY!G269="Male",REGISTRY!K269,"")</f>
        <v/>
      </c>
      <c r="D287" s="1" t="str">
        <f>IF(REGISTRY!G269="Male",REGISTRY!P269,"")</f>
        <v/>
      </c>
      <c r="E287" s="1" t="str">
        <f>IF(REGISTRY!G269="Male",REGISTRY!L269,"")</f>
        <v/>
      </c>
    </row>
    <row r="288" spans="1:5" ht="15.75" customHeight="1" x14ac:dyDescent="0.2">
      <c r="A288" s="1" t="str">
        <f>IF(REGISTRY!G270="Male",REGISTRY!A270,"")</f>
        <v>P269</v>
      </c>
      <c r="B288" s="1" t="str">
        <f>IF(REGISTRY!G270="Male",REGISTRY!M270,"")</f>
        <v xml:space="preserve">عثمان بن عبدالكريم بن حمد </v>
      </c>
      <c r="C288" s="1">
        <f>IF(REGISTRY!G270="Male",REGISTRY!K270,"")</f>
        <v>3</v>
      </c>
      <c r="D288" s="1">
        <f>IF(REGISTRY!G270="Male",REGISTRY!P270,"")</f>
        <v>0</v>
      </c>
      <c r="E288" s="1" t="str">
        <f>IF(REGISTRY!G270="Male",REGISTRY!L270,"")</f>
        <v>العبدالكريم</v>
      </c>
    </row>
    <row r="289" spans="1:5" ht="15.75" customHeight="1" x14ac:dyDescent="0.2">
      <c r="A289" s="1" t="str">
        <f>IF(REGISTRY!G271="Male",REGISTRY!A271,"")</f>
        <v>P270</v>
      </c>
      <c r="B289" s="1" t="str">
        <f>IF(REGISTRY!G271="Male",REGISTRY!M271,"")</f>
        <v>عبدالرحمن بن عثمان بن عبدالكريم حمد</v>
      </c>
      <c r="C289" s="1">
        <f>IF(REGISTRY!G271="Male",REGISTRY!K271,"")</f>
        <v>4</v>
      </c>
      <c r="D289" s="1">
        <f>IF(REGISTRY!G271="Male",REGISTRY!P271,"")</f>
        <v>0</v>
      </c>
      <c r="E289" s="1" t="str">
        <f>IF(REGISTRY!G271="Male",REGISTRY!L271,"")</f>
        <v>العبدالكريم</v>
      </c>
    </row>
    <row r="290" spans="1:5" ht="15.75" customHeight="1" x14ac:dyDescent="0.2">
      <c r="A290" s="1" t="str">
        <f>IF(REGISTRY!G272="Male",REGISTRY!A272,"")</f>
        <v>P271</v>
      </c>
      <c r="B290" s="1" t="str">
        <f>IF(REGISTRY!G272="Male",REGISTRY!M272,"")</f>
        <v>عبدالكريم بن عثمان بن عبدالكريم حمد</v>
      </c>
      <c r="C290" s="1">
        <f>IF(REGISTRY!G272="Male",REGISTRY!K272,"")</f>
        <v>4</v>
      </c>
      <c r="D290" s="1">
        <f>IF(REGISTRY!G272="Male",REGISTRY!P272,"")</f>
        <v>0</v>
      </c>
      <c r="E290" s="1" t="str">
        <f>IF(REGISTRY!G272="Male",REGISTRY!L272,"")</f>
        <v>العبدالكريم</v>
      </c>
    </row>
    <row r="291" spans="1:5" ht="15.75" customHeight="1" x14ac:dyDescent="0.2">
      <c r="A291" s="1" t="str">
        <f>IF(REGISTRY!G273="Male",REGISTRY!A273,"")</f>
        <v>P272</v>
      </c>
      <c r="B291" s="1" t="str">
        <f>IF(REGISTRY!G273="Male",REGISTRY!M273,"")</f>
        <v>دخيل بن عثمان بن عبدالكريم حمد</v>
      </c>
      <c r="C291" s="1">
        <f>IF(REGISTRY!G273="Male",REGISTRY!K273,"")</f>
        <v>4</v>
      </c>
      <c r="D291" s="1">
        <f>IF(REGISTRY!G273="Male",REGISTRY!P273,"")</f>
        <v>0</v>
      </c>
      <c r="E291" s="1" t="str">
        <f>IF(REGISTRY!G273="Male",REGISTRY!L273,"")</f>
        <v>العبدالكريم</v>
      </c>
    </row>
    <row r="292" spans="1:5" ht="15.75" customHeight="1" x14ac:dyDescent="0.2">
      <c r="A292" s="1" t="str">
        <f>IF(REGISTRY!G274="Male",REGISTRY!A274,"")</f>
        <v>P273</v>
      </c>
      <c r="B292" s="1" t="str">
        <f>IF(REGISTRY!G274="Male",REGISTRY!M274,"")</f>
        <v>عثمان بن عبدالكريم بن عثمان عبدالكريم</v>
      </c>
      <c r="C292" s="1">
        <f>IF(REGISTRY!G274="Male",REGISTRY!K274,"")</f>
        <v>5</v>
      </c>
      <c r="D292" s="1">
        <f>IF(REGISTRY!G274="Male",REGISTRY!P274,"")</f>
        <v>0</v>
      </c>
      <c r="E292" s="1" t="str">
        <f>IF(REGISTRY!G274="Male",REGISTRY!L274,"")</f>
        <v>العبدالكريم</v>
      </c>
    </row>
    <row r="293" spans="1:5" ht="15.75" customHeight="1" x14ac:dyDescent="0.2">
      <c r="A293" s="1" t="str">
        <f>IF(REGISTRY!G275="Male",REGISTRY!A275,"")</f>
        <v>P274</v>
      </c>
      <c r="B293" s="1" t="str">
        <f>IF(REGISTRY!G275="Male",REGISTRY!M275,"")</f>
        <v>عبدالرحمن بن عبدالكريم بن عثمان عبدالكريم</v>
      </c>
      <c r="C293" s="1">
        <f>IF(REGISTRY!G275="Male",REGISTRY!K275,"")</f>
        <v>5</v>
      </c>
      <c r="D293" s="1">
        <f>IF(REGISTRY!G275="Male",REGISTRY!P275,"")</f>
        <v>0</v>
      </c>
      <c r="E293" s="1" t="str">
        <f>IF(REGISTRY!G275="Male",REGISTRY!L275,"")</f>
        <v>العبدالكريم</v>
      </c>
    </row>
    <row r="294" spans="1:5" ht="15.75" customHeight="1" x14ac:dyDescent="0.2">
      <c r="A294" s="1" t="str">
        <f>IF(REGISTRY!G276="Male",REGISTRY!A276,"")</f>
        <v>P275</v>
      </c>
      <c r="B294" s="1" t="str">
        <f>IF(REGISTRY!G276="Male",REGISTRY!M276,"")</f>
        <v>محمد بن عثمان بن عبدالكريم عثمان</v>
      </c>
      <c r="C294" s="1">
        <f>IF(REGISTRY!G276="Male",REGISTRY!K276,"")</f>
        <v>6</v>
      </c>
      <c r="D294" s="1">
        <f>IF(REGISTRY!G276="Male",REGISTRY!P276,"")</f>
        <v>0</v>
      </c>
      <c r="E294" s="1" t="str">
        <f>IF(REGISTRY!G276="Male",REGISTRY!L276,"")</f>
        <v>العبدالكريم</v>
      </c>
    </row>
    <row r="295" spans="1:5" ht="15.75" customHeight="1" x14ac:dyDescent="0.2">
      <c r="A295" s="1" t="str">
        <f>IF(REGISTRY!G277="Male",REGISTRY!A277,"")</f>
        <v>P276</v>
      </c>
      <c r="B295" s="1" t="str">
        <f>IF(REGISTRY!G277="Male",REGISTRY!M277,"")</f>
        <v>عبدالكريم بن عثمان بن عبدالكريم عثمان</v>
      </c>
      <c r="C295" s="1">
        <f>IF(REGISTRY!G277="Male",REGISTRY!K277,"")</f>
        <v>6</v>
      </c>
      <c r="D295" s="1">
        <f>IF(REGISTRY!G277="Male",REGISTRY!P277,"")</f>
        <v>0</v>
      </c>
      <c r="E295" s="1" t="str">
        <f>IF(REGISTRY!G277="Male",REGISTRY!L277,"")</f>
        <v>العبدالكريم</v>
      </c>
    </row>
    <row r="296" spans="1:5" ht="15.75" customHeight="1" x14ac:dyDescent="0.2">
      <c r="A296" s="1" t="str">
        <f>IF(REGISTRY!G278="Male",REGISTRY!A278,"")</f>
        <v>P277</v>
      </c>
      <c r="B296" s="1" t="str">
        <f>IF(REGISTRY!G278="Male",REGISTRY!M278,"")</f>
        <v>شايع بن عثمان بن عبدالكريم عثمان</v>
      </c>
      <c r="C296" s="1">
        <f>IF(REGISTRY!G278="Male",REGISTRY!K278,"")</f>
        <v>6</v>
      </c>
      <c r="D296" s="1">
        <f>IF(REGISTRY!G278="Male",REGISTRY!P278,"")</f>
        <v>0</v>
      </c>
      <c r="E296" s="1" t="str">
        <f>IF(REGISTRY!G278="Male",REGISTRY!L278,"")</f>
        <v>العبدالكريم</v>
      </c>
    </row>
    <row r="297" spans="1:5" ht="15.75" customHeight="1" x14ac:dyDescent="0.2">
      <c r="A297" s="1" t="str">
        <f>IF(REGISTRY!G279="Male",REGISTRY!A279,"")</f>
        <v>P278</v>
      </c>
      <c r="B297" s="1" t="str">
        <f>IF(REGISTRY!G279="Male",REGISTRY!M279,"")</f>
        <v>خالد بن عثمان بن عبدالكريم عثمان</v>
      </c>
      <c r="C297" s="1">
        <f>IF(REGISTRY!G279="Male",REGISTRY!K279,"")</f>
        <v>6</v>
      </c>
      <c r="D297" s="1">
        <f>IF(REGISTRY!G279="Male",REGISTRY!P279,"")</f>
        <v>0</v>
      </c>
      <c r="E297" s="1" t="str">
        <f>IF(REGISTRY!G279="Male",REGISTRY!L279,"")</f>
        <v>العبدالكريم</v>
      </c>
    </row>
    <row r="298" spans="1:5" ht="15.75" customHeight="1" x14ac:dyDescent="0.2">
      <c r="A298" s="1" t="str">
        <f>IF(REGISTRY!G280="Male",REGISTRY!A280,"")</f>
        <v>P279</v>
      </c>
      <c r="B298" s="1" t="str">
        <f>IF(REGISTRY!G280="Male",REGISTRY!M280,"")</f>
        <v>تركي بن محمد بن عثمان عبدالكريم</v>
      </c>
      <c r="C298" s="1">
        <f>IF(REGISTRY!G280="Male",REGISTRY!K280,"")</f>
        <v>7</v>
      </c>
      <c r="D298" s="1">
        <f>IF(REGISTRY!G280="Male",REGISTRY!P280,"")</f>
        <v>0</v>
      </c>
      <c r="E298" s="1" t="str">
        <f>IF(REGISTRY!G280="Male",REGISTRY!L280,"")</f>
        <v>العبدالكريم</v>
      </c>
    </row>
    <row r="299" spans="1:5" ht="15.75" customHeight="1" x14ac:dyDescent="0.2">
      <c r="A299" s="1" t="str">
        <f>IF(REGISTRY!G281="Male",REGISTRY!A281,"")</f>
        <v>P280</v>
      </c>
      <c r="B299" s="1" t="str">
        <f>IF(REGISTRY!G281="Male",REGISTRY!M281,"")</f>
        <v>عبدالرحمن بن محمد بن عثمان عبدالكريم</v>
      </c>
      <c r="C299" s="1">
        <f>IF(REGISTRY!G281="Male",REGISTRY!K281,"")</f>
        <v>7</v>
      </c>
      <c r="D299" s="1">
        <f>IF(REGISTRY!G281="Male",REGISTRY!P281,"")</f>
        <v>0</v>
      </c>
      <c r="E299" s="1" t="str">
        <f>IF(REGISTRY!G281="Male",REGISTRY!L281,"")</f>
        <v>العبدالكريم</v>
      </c>
    </row>
    <row r="300" spans="1:5" ht="15.75" customHeight="1" x14ac:dyDescent="0.2">
      <c r="A300" s="1" t="str">
        <f>IF(REGISTRY!G282="Male",REGISTRY!A282,"")</f>
        <v>P281</v>
      </c>
      <c r="B300" s="1" t="str">
        <f>IF(REGISTRY!G282="Male",REGISTRY!M282,"")</f>
        <v>عبدالكريم بن شايع بن عثمان عبدالكريم</v>
      </c>
      <c r="C300" s="1">
        <f>IF(REGISTRY!G282="Male",REGISTRY!K282,"")</f>
        <v>7</v>
      </c>
      <c r="D300" s="1">
        <f>IF(REGISTRY!G282="Male",REGISTRY!P282,"")</f>
        <v>0</v>
      </c>
      <c r="E300" s="1" t="str">
        <f>IF(REGISTRY!G282="Male",REGISTRY!L282,"")</f>
        <v>العبدالكريم</v>
      </c>
    </row>
    <row r="301" spans="1:5" ht="15.75" customHeight="1" x14ac:dyDescent="0.2">
      <c r="A301" s="1" t="str">
        <f>IF(REGISTRY!G283="Male",REGISTRY!A283,"")</f>
        <v>P282</v>
      </c>
      <c r="B301" s="1" t="str">
        <f>IF(REGISTRY!G283="Male",REGISTRY!M283,"")</f>
        <v>عبدالعزيز بن عبدالرحمن بن عبدالكريم عثمان</v>
      </c>
      <c r="C301" s="1">
        <f>IF(REGISTRY!G283="Male",REGISTRY!K283,"")</f>
        <v>6</v>
      </c>
      <c r="D301" s="1">
        <f>IF(REGISTRY!G283="Male",REGISTRY!P283,"")</f>
        <v>0</v>
      </c>
      <c r="E301" s="1" t="str">
        <f>IF(REGISTRY!G283="Male",REGISTRY!L283,"")</f>
        <v>العبدالكريم</v>
      </c>
    </row>
    <row r="302" spans="1:5" ht="15.75" customHeight="1" x14ac:dyDescent="0.2">
      <c r="A302" s="1" t="str">
        <f>IF(REGISTRY!G284="Male",REGISTRY!A284,"")</f>
        <v>P283</v>
      </c>
      <c r="B302" s="1" t="str">
        <f>IF(REGISTRY!G284="Male",REGISTRY!M284,"")</f>
        <v>عبدالله بن عبدالرحمن بن عبدالكريم عثمان</v>
      </c>
      <c r="C302" s="1">
        <f>IF(REGISTRY!G284="Male",REGISTRY!K284,"")</f>
        <v>6</v>
      </c>
      <c r="D302" s="1">
        <f>IF(REGISTRY!G284="Male",REGISTRY!P284,"")</f>
        <v>0</v>
      </c>
      <c r="E302" s="1" t="str">
        <f>IF(REGISTRY!G284="Male",REGISTRY!L284,"")</f>
        <v>العبدالكريم</v>
      </c>
    </row>
    <row r="303" spans="1:5" ht="15.75" customHeight="1" x14ac:dyDescent="0.2">
      <c r="A303" s="1" t="str">
        <f>IF(REGISTRY!G285="Male",REGISTRY!A285,"")</f>
        <v>P284</v>
      </c>
      <c r="B303" s="1" t="str">
        <f>IF(REGISTRY!G285="Male",REGISTRY!M285,"")</f>
        <v>صالح بن عبدالرحمن بن عبدالكريم عثمان</v>
      </c>
      <c r="C303" s="1">
        <f>IF(REGISTRY!G285="Male",REGISTRY!K285,"")</f>
        <v>6</v>
      </c>
      <c r="D303" s="1">
        <f>IF(REGISTRY!G285="Male",REGISTRY!P285,"")</f>
        <v>0</v>
      </c>
      <c r="E303" s="1" t="str">
        <f>IF(REGISTRY!G285="Male",REGISTRY!L285,"")</f>
        <v>العبدالكريم</v>
      </c>
    </row>
    <row r="304" spans="1:5" ht="15.75" customHeight="1" x14ac:dyDescent="0.2">
      <c r="A304" s="1" t="str">
        <f>IF(REGISTRY!G286="Male",REGISTRY!A286,"")</f>
        <v>P285</v>
      </c>
      <c r="B304" s="1" t="str">
        <f>IF(REGISTRY!G286="Male",REGISTRY!M286,"")</f>
        <v>عبدالكريم بن عبدالرحمن بن عبدالكريم عثمان</v>
      </c>
      <c r="C304" s="1">
        <f>IF(REGISTRY!G286="Male",REGISTRY!K286,"")</f>
        <v>6</v>
      </c>
      <c r="D304" s="1">
        <f>IF(REGISTRY!G286="Male",REGISTRY!P286,"")</f>
        <v>0</v>
      </c>
      <c r="E304" s="1" t="str">
        <f>IF(REGISTRY!G286="Male",REGISTRY!L286,"")</f>
        <v>العبدالكريم</v>
      </c>
    </row>
    <row r="305" spans="1:5" ht="15.75" customHeight="1" x14ac:dyDescent="0.2">
      <c r="A305" s="1" t="str">
        <f>IF(REGISTRY!G287="Male",REGISTRY!A287,"")</f>
        <v>P286</v>
      </c>
      <c r="B305" s="1" t="str">
        <f>IF(REGISTRY!G287="Male",REGISTRY!M287,"")</f>
        <v>دخيل بن عبدالرحمن بن عبدالكريم عثمان</v>
      </c>
      <c r="C305" s="1">
        <f>IF(REGISTRY!G287="Male",REGISTRY!K287,"")</f>
        <v>6</v>
      </c>
      <c r="D305" s="1">
        <f>IF(REGISTRY!G287="Male",REGISTRY!P287,"")</f>
        <v>0</v>
      </c>
      <c r="E305" s="1" t="str">
        <f>IF(REGISTRY!G287="Male",REGISTRY!L287,"")</f>
        <v>العبدالكريم</v>
      </c>
    </row>
    <row r="306" spans="1:5" ht="15.75" customHeight="1" x14ac:dyDescent="0.2">
      <c r="A306" s="1" t="str">
        <f>IF(REGISTRY!G288="Male",REGISTRY!A288,"")</f>
        <v>P287</v>
      </c>
      <c r="B306" s="1" t="str">
        <f>IF(REGISTRY!G288="Male",REGISTRY!M288,"")</f>
        <v>سامي بن عبدالعزيز بن عبدالرحمن عبدالكريم</v>
      </c>
      <c r="C306" s="1">
        <f>IF(REGISTRY!G288="Male",REGISTRY!K288,"")</f>
        <v>7</v>
      </c>
      <c r="D306" s="1">
        <f>IF(REGISTRY!G288="Male",REGISTRY!P288,"")</f>
        <v>0</v>
      </c>
      <c r="E306" s="1" t="str">
        <f>IF(REGISTRY!G288="Male",REGISTRY!L288,"")</f>
        <v>العبدالكريم</v>
      </c>
    </row>
    <row r="307" spans="1:5" ht="15.75" customHeight="1" x14ac:dyDescent="0.2">
      <c r="A307" s="1" t="str">
        <f>IF(REGISTRY!G289="Male",REGISTRY!A289,"")</f>
        <v>P288</v>
      </c>
      <c r="B307" s="1" t="str">
        <f>IF(REGISTRY!G289="Male",REGISTRY!M289,"")</f>
        <v>عبدالله بن عبدالعزيز بن عبدالرحمن عبدالكريم</v>
      </c>
      <c r="C307" s="1">
        <f>IF(REGISTRY!G289="Male",REGISTRY!K289,"")</f>
        <v>7</v>
      </c>
      <c r="D307" s="1">
        <f>IF(REGISTRY!G289="Male",REGISTRY!P289,"")</f>
        <v>0</v>
      </c>
      <c r="E307" s="1" t="str">
        <f>IF(REGISTRY!G289="Male",REGISTRY!L289,"")</f>
        <v>العبدالكريم</v>
      </c>
    </row>
    <row r="308" spans="1:5" ht="15.75" customHeight="1" x14ac:dyDescent="0.2">
      <c r="A308" s="1" t="str">
        <f>IF(REGISTRY!G290="Male",REGISTRY!A290,"")</f>
        <v>P289</v>
      </c>
      <c r="B308" s="1" t="str">
        <f>IF(REGISTRY!G290="Male",REGISTRY!M290,"")</f>
        <v>عبدالرحمن بن عبدالعزيز بن عبدالرحمن عبدالكريم</v>
      </c>
      <c r="C308" s="1">
        <f>IF(REGISTRY!G290="Male",REGISTRY!K290,"")</f>
        <v>7</v>
      </c>
      <c r="D308" s="1">
        <f>IF(REGISTRY!G290="Male",REGISTRY!P290,"")</f>
        <v>0</v>
      </c>
      <c r="E308" s="1" t="str">
        <f>IF(REGISTRY!G290="Male",REGISTRY!L290,"")</f>
        <v>العبدالكريم</v>
      </c>
    </row>
    <row r="309" spans="1:5" ht="15.75" customHeight="1" x14ac:dyDescent="0.2">
      <c r="A309" s="1" t="str">
        <f>IF(REGISTRY!G291="Male",REGISTRY!A291,"")</f>
        <v>P290</v>
      </c>
      <c r="B309" s="1" t="str">
        <f>IF(REGISTRY!G291="Male",REGISTRY!M291,"")</f>
        <v>خالد بن عبدالعزيز بن عبدالرحمن عبدالكريم</v>
      </c>
      <c r="C309" s="1">
        <f>IF(REGISTRY!G291="Male",REGISTRY!K291,"")</f>
        <v>7</v>
      </c>
      <c r="D309" s="1">
        <f>IF(REGISTRY!G291="Male",REGISTRY!P291,"")</f>
        <v>0</v>
      </c>
      <c r="E309" s="1" t="str">
        <f>IF(REGISTRY!G291="Male",REGISTRY!L291,"")</f>
        <v>العبدالكريم</v>
      </c>
    </row>
    <row r="310" spans="1:5" ht="15.75" customHeight="1" x14ac:dyDescent="0.2">
      <c r="A310" s="1" t="str">
        <f>IF(REGISTRY!G292="Male",REGISTRY!A292,"")</f>
        <v>P291</v>
      </c>
      <c r="B310" s="1" t="str">
        <f>IF(REGISTRY!G292="Male",REGISTRY!M292,"")</f>
        <v>رياض بن عبدالعزيز بن عبدالرحمن عبدالكريم</v>
      </c>
      <c r="C310" s="1">
        <f>IF(REGISTRY!G292="Male",REGISTRY!K292,"")</f>
        <v>7</v>
      </c>
      <c r="D310" s="1">
        <f>IF(REGISTRY!G292="Male",REGISTRY!P292,"")</f>
        <v>0</v>
      </c>
      <c r="E310" s="1" t="str">
        <f>IF(REGISTRY!G292="Male",REGISTRY!L292,"")</f>
        <v>العبدالكريم</v>
      </c>
    </row>
    <row r="311" spans="1:5" ht="15.75" customHeight="1" x14ac:dyDescent="0.2">
      <c r="A311" s="1" t="str">
        <f>IF(REGISTRY!G293="Male",REGISTRY!A293,"")</f>
        <v>P292</v>
      </c>
      <c r="B311" s="1" t="str">
        <f>IF(REGISTRY!G293="Male",REGISTRY!M293,"")</f>
        <v>رائد بن عبدالعزيز بن عبدالرحمن عبدالكريم</v>
      </c>
      <c r="C311" s="1">
        <f>IF(REGISTRY!G293="Male",REGISTRY!K293,"")</f>
        <v>7</v>
      </c>
      <c r="D311" s="1">
        <f>IF(REGISTRY!G293="Male",REGISTRY!P293,"")</f>
        <v>0</v>
      </c>
      <c r="E311" s="1" t="str">
        <f>IF(REGISTRY!G293="Male",REGISTRY!L293,"")</f>
        <v>العبدالكريم</v>
      </c>
    </row>
    <row r="312" spans="1:5" ht="15.75" customHeight="1" x14ac:dyDescent="0.2">
      <c r="A312" s="1" t="str">
        <f>IF(REGISTRY!G294="Male",REGISTRY!A294,"")</f>
        <v>P293</v>
      </c>
      <c r="B312" s="1" t="str">
        <f>IF(REGISTRY!G294="Male",REGISTRY!M294,"")</f>
        <v>عمر بن صالح بن عبدالرحمن عبدالكريم</v>
      </c>
      <c r="C312" s="1">
        <f>IF(REGISTRY!G294="Male",REGISTRY!K294,"")</f>
        <v>7</v>
      </c>
      <c r="D312" s="1">
        <f>IF(REGISTRY!G294="Male",REGISTRY!P294,"")</f>
        <v>0</v>
      </c>
      <c r="E312" s="1" t="str">
        <f>IF(REGISTRY!G294="Male",REGISTRY!L294,"")</f>
        <v>العبدالكريم</v>
      </c>
    </row>
    <row r="313" spans="1:5" ht="15.75" customHeight="1" x14ac:dyDescent="0.2">
      <c r="A313" s="1" t="str">
        <f>IF(REGISTRY!G295="Male",REGISTRY!A295,"")</f>
        <v>P294</v>
      </c>
      <c r="B313" s="1" t="str">
        <f>IF(REGISTRY!G295="Male",REGISTRY!M295,"")</f>
        <v>عبدالله بن عبدالكريم بن عبدالرحمن عبدالكريم</v>
      </c>
      <c r="C313" s="1">
        <f>IF(REGISTRY!G295="Male",REGISTRY!K295,"")</f>
        <v>7</v>
      </c>
      <c r="D313" s="1">
        <f>IF(REGISTRY!G295="Male",REGISTRY!P295,"")</f>
        <v>0</v>
      </c>
      <c r="E313" s="1" t="str">
        <f>IF(REGISTRY!G295="Male",REGISTRY!L295,"")</f>
        <v>العبدالكريم</v>
      </c>
    </row>
    <row r="314" spans="1:5" ht="15.75" customHeight="1" x14ac:dyDescent="0.2">
      <c r="A314" s="1" t="str">
        <f>IF(REGISTRY!G296="Male",REGISTRY!A296,"")</f>
        <v>P295</v>
      </c>
      <c r="B314" s="1" t="str">
        <f>IF(REGISTRY!G296="Male",REGISTRY!M296,"")</f>
        <v>تميم بن عبدالكريم بن عبدالرحمن عبدالكريم</v>
      </c>
      <c r="C314" s="1">
        <f>IF(REGISTRY!G296="Male",REGISTRY!K296,"")</f>
        <v>7</v>
      </c>
      <c r="D314" s="1">
        <f>IF(REGISTRY!G296="Male",REGISTRY!P296,"")</f>
        <v>0</v>
      </c>
      <c r="E314" s="1" t="str">
        <f>IF(REGISTRY!G296="Male",REGISTRY!L296,"")</f>
        <v>العبدالكريم</v>
      </c>
    </row>
    <row r="315" spans="1:5" ht="15.75" customHeight="1" x14ac:dyDescent="0.2">
      <c r="A315" s="1" t="str">
        <f>IF(REGISTRY!G297="Male",REGISTRY!A297,"")</f>
        <v>P296</v>
      </c>
      <c r="B315" s="1" t="str">
        <f>IF(REGISTRY!G297="Male",REGISTRY!M297,"")</f>
        <v>يوسف بن عبدالكريم بن عبدالرحمن عبدالكريم</v>
      </c>
      <c r="C315" s="1">
        <f>IF(REGISTRY!G297="Male",REGISTRY!K297,"")</f>
        <v>7</v>
      </c>
      <c r="D315" s="1">
        <f>IF(REGISTRY!G297="Male",REGISTRY!P297,"")</f>
        <v>0</v>
      </c>
      <c r="E315" s="1" t="str">
        <f>IF(REGISTRY!G297="Male",REGISTRY!L297,"")</f>
        <v>العبدالكريم</v>
      </c>
    </row>
    <row r="316" spans="1:5" ht="15.75" customHeight="1" x14ac:dyDescent="0.2">
      <c r="A316" s="1" t="str">
        <f>IF(REGISTRY!G298="Male",REGISTRY!A298,"")</f>
        <v>P297</v>
      </c>
      <c r="B316" s="1" t="str">
        <f>IF(REGISTRY!G298="Male",REGISTRY!M298,"")</f>
        <v>فهد بن دخيل بن عبدالرحمن عبدالكريم</v>
      </c>
      <c r="C316" s="1">
        <f>IF(REGISTRY!G298="Male",REGISTRY!K298,"")</f>
        <v>7</v>
      </c>
      <c r="D316" s="1">
        <f>IF(REGISTRY!G298="Male",REGISTRY!P298,"")</f>
        <v>0</v>
      </c>
      <c r="E316" s="1" t="str">
        <f>IF(REGISTRY!G298="Male",REGISTRY!L298,"")</f>
        <v>العبدالكريم</v>
      </c>
    </row>
    <row r="317" spans="1:5" ht="15.75" customHeight="1" x14ac:dyDescent="0.2">
      <c r="A317" s="1" t="str">
        <f>IF(REGISTRY!G299="Male",REGISTRY!A299,"")</f>
        <v>P298</v>
      </c>
      <c r="B317" s="1" t="str">
        <f>IF(REGISTRY!G299="Male",REGISTRY!M299,"")</f>
        <v>عبدالله بن دخيل بن عبدالرحمن عبدالكريم</v>
      </c>
      <c r="C317" s="1">
        <f>IF(REGISTRY!G299="Male",REGISTRY!K299,"")</f>
        <v>7</v>
      </c>
      <c r="D317" s="1">
        <f>IF(REGISTRY!G299="Male",REGISTRY!P299,"")</f>
        <v>0</v>
      </c>
      <c r="E317" s="1" t="str">
        <f>IF(REGISTRY!G299="Male",REGISTRY!L299,"")</f>
        <v>العبدالكريم</v>
      </c>
    </row>
    <row r="318" spans="1:5" ht="15.75" customHeight="1" x14ac:dyDescent="0.2">
      <c r="A318" s="1" t="str">
        <f>IF(REGISTRY!G300="Male",REGISTRY!A300,"")</f>
        <v>P299</v>
      </c>
      <c r="B318" s="1" t="str">
        <f>IF(REGISTRY!G300="Male",REGISTRY!M300,"")</f>
        <v>خالد بن دخيل بن عبدالرحمن عبدالكريم</v>
      </c>
      <c r="C318" s="1">
        <f>IF(REGISTRY!G300="Male",REGISTRY!K300,"")</f>
        <v>7</v>
      </c>
      <c r="D318" s="1">
        <f>IF(REGISTRY!G300="Male",REGISTRY!P300,"")</f>
        <v>0</v>
      </c>
      <c r="E318" s="1" t="str">
        <f>IF(REGISTRY!G300="Male",REGISTRY!L300,"")</f>
        <v>العبدالكريم</v>
      </c>
    </row>
    <row r="319" spans="1:5" ht="15.75" customHeight="1" x14ac:dyDescent="0.2">
      <c r="A319" s="1" t="str">
        <f>IF(REGISTRY!G301="Male",REGISTRY!A301,"")</f>
        <v>P300</v>
      </c>
      <c r="B319" s="1" t="str">
        <f>IF(REGISTRY!G301="Male",REGISTRY!M301,"")</f>
        <v>عبدالرحمن بن دخيل بن عبدالرحمن عبدالكريم</v>
      </c>
      <c r="C319" s="1">
        <f>IF(REGISTRY!G301="Male",REGISTRY!K301,"")</f>
        <v>7</v>
      </c>
      <c r="D319" s="1">
        <f>IF(REGISTRY!G301="Male",REGISTRY!P301,"")</f>
        <v>0</v>
      </c>
      <c r="E319" s="1" t="str">
        <f>IF(REGISTRY!G301="Male",REGISTRY!L301,"")</f>
        <v>العبدالكريم</v>
      </c>
    </row>
    <row r="320" spans="1:5" ht="15.75" customHeight="1" x14ac:dyDescent="0.2">
      <c r="A320" s="1" t="str">
        <f>IF(REGISTRY!G302="Male",REGISTRY!A302,"")</f>
        <v>P301</v>
      </c>
      <c r="B320" s="1" t="str">
        <f>IF(REGISTRY!G302="Male",REGISTRY!M302,"")</f>
        <v>عثمان بن دخيل بن عثمان عبدالكريم</v>
      </c>
      <c r="C320" s="1">
        <f>IF(REGISTRY!G302="Male",REGISTRY!K302,"")</f>
        <v>5</v>
      </c>
      <c r="D320" s="1">
        <f>IF(REGISTRY!G302="Male",REGISTRY!P302,"")</f>
        <v>0</v>
      </c>
      <c r="E320" s="1" t="str">
        <f>IF(REGISTRY!G302="Male",REGISTRY!L302,"")</f>
        <v>العبدالكريم</v>
      </c>
    </row>
    <row r="321" spans="1:5" ht="15.75" customHeight="1" x14ac:dyDescent="0.2">
      <c r="A321" s="1" t="str">
        <f>IF(REGISTRY!G303="Male",REGISTRY!A303,"")</f>
        <v>P302</v>
      </c>
      <c r="B321" s="1" t="str">
        <f>IF(REGISTRY!G303="Male",REGISTRY!M303,"")</f>
        <v>محمد بن دخيل بن عثمان عبدالكريم</v>
      </c>
      <c r="C321" s="1">
        <f>IF(REGISTRY!G303="Male",REGISTRY!K303,"")</f>
        <v>5</v>
      </c>
      <c r="D321" s="1">
        <f>IF(REGISTRY!G303="Male",REGISTRY!P303,"")</f>
        <v>0</v>
      </c>
      <c r="E321" s="1" t="str">
        <f>IF(REGISTRY!G303="Male",REGISTRY!L303,"")</f>
        <v>العبدالكريم</v>
      </c>
    </row>
    <row r="322" spans="1:5" ht="15.75" customHeight="1" x14ac:dyDescent="0.2">
      <c r="A322" s="1" t="str">
        <f>IF(REGISTRY!G304="Male",REGISTRY!A304,"")</f>
        <v>P303</v>
      </c>
      <c r="B322" s="1" t="str">
        <f>IF(REGISTRY!G304="Male",REGISTRY!M304,"")</f>
        <v>بشار بن محمد بن دخيل عثمان</v>
      </c>
      <c r="C322" s="1">
        <f>IF(REGISTRY!G304="Male",REGISTRY!K304,"")</f>
        <v>6</v>
      </c>
      <c r="D322" s="1">
        <f>IF(REGISTRY!G304="Male",REGISTRY!P304,"")</f>
        <v>0</v>
      </c>
      <c r="E322" s="1" t="str">
        <f>IF(REGISTRY!G304="Male",REGISTRY!L304,"")</f>
        <v>العبدالكريم</v>
      </c>
    </row>
    <row r="323" spans="1:5" ht="15.75" customHeight="1" x14ac:dyDescent="0.2">
      <c r="A323" s="1" t="str">
        <f>IF(REGISTRY!G305="Male",REGISTRY!A305,"")</f>
        <v>P304</v>
      </c>
      <c r="B323" s="1" t="str">
        <f>IF(REGISTRY!G305="Male",REGISTRY!M305,"")</f>
        <v>عبدالرحمن بن عثمان بن دخيل عثمان</v>
      </c>
      <c r="C323" s="1">
        <f>IF(REGISTRY!G305="Male",REGISTRY!K305,"")</f>
        <v>6</v>
      </c>
      <c r="D323" s="1">
        <f>IF(REGISTRY!G305="Male",REGISTRY!P305,"")</f>
        <v>0</v>
      </c>
      <c r="E323" s="1" t="str">
        <f>IF(REGISTRY!G305="Male",REGISTRY!L305,"")</f>
        <v>العبدالكريم</v>
      </c>
    </row>
    <row r="324" spans="1:5" ht="15.75" customHeight="1" x14ac:dyDescent="0.2">
      <c r="A324" s="1" t="str">
        <f>IF(REGISTRY!G306="Male",REGISTRY!A306,"")</f>
        <v>P305</v>
      </c>
      <c r="B324" s="1" t="str">
        <f>IF(REGISTRY!G306="Male",REGISTRY!M306,"")</f>
        <v>دخيل بن عثمان بن دخيل عثمان</v>
      </c>
      <c r="C324" s="1">
        <f>IF(REGISTRY!G306="Male",REGISTRY!K306,"")</f>
        <v>6</v>
      </c>
      <c r="D324" s="1">
        <f>IF(REGISTRY!G306="Male",REGISTRY!P306,"")</f>
        <v>0</v>
      </c>
      <c r="E324" s="1" t="str">
        <f>IF(REGISTRY!G306="Male",REGISTRY!L306,"")</f>
        <v>العبدالكريم</v>
      </c>
    </row>
    <row r="325" spans="1:5" ht="15.75" customHeight="1" x14ac:dyDescent="0.2">
      <c r="A325" s="1" t="str">
        <f>IF(REGISTRY!G307="Male",REGISTRY!A307,"")</f>
        <v>P306</v>
      </c>
      <c r="B325" s="1" t="str">
        <f>IF(REGISTRY!G307="Male",REGISTRY!M307,"")</f>
        <v>عبدالكريم بن عثمان بن دخيل عثمان</v>
      </c>
      <c r="C325" s="1">
        <f>IF(REGISTRY!G307="Male",REGISTRY!K307,"")</f>
        <v>6</v>
      </c>
      <c r="D325" s="1">
        <f>IF(REGISTRY!G307="Male",REGISTRY!P307,"")</f>
        <v>0</v>
      </c>
      <c r="E325" s="1" t="str">
        <f>IF(REGISTRY!G307="Male",REGISTRY!L307,"")</f>
        <v>العبدالكريم</v>
      </c>
    </row>
    <row r="326" spans="1:5" ht="15.75" customHeight="1" x14ac:dyDescent="0.2">
      <c r="A326" s="1" t="str">
        <f>IF(REGISTRY!G308="Male",REGISTRY!A308,"")</f>
        <v>P307</v>
      </c>
      <c r="B326" s="1" t="str">
        <f>IF(REGISTRY!G308="Male",REGISTRY!M308,"")</f>
        <v>محمد بن عثمان بن دخيل عثمان</v>
      </c>
      <c r="C326" s="1">
        <f>IF(REGISTRY!G308="Male",REGISTRY!K308,"")</f>
        <v>6</v>
      </c>
      <c r="D326" s="1">
        <f>IF(REGISTRY!G308="Male",REGISTRY!P308,"")</f>
        <v>0</v>
      </c>
      <c r="E326" s="1" t="str">
        <f>IF(REGISTRY!G308="Male",REGISTRY!L308,"")</f>
        <v>العبدالكريم</v>
      </c>
    </row>
    <row r="327" spans="1:5" ht="15.75" customHeight="1" x14ac:dyDescent="0.2">
      <c r="A327" s="1" t="str">
        <f>IF(REGISTRY!G309="Male",REGISTRY!A309,"")</f>
        <v>P308</v>
      </c>
      <c r="B327" s="1" t="str">
        <f>IF(REGISTRY!G309="Male",REGISTRY!M309,"")</f>
        <v>محمد بن عبدالرحمن بن عثمان دخيل</v>
      </c>
      <c r="C327" s="1">
        <f>IF(REGISTRY!G309="Male",REGISTRY!K309,"")</f>
        <v>7</v>
      </c>
      <c r="D327" s="1">
        <f>IF(REGISTRY!G309="Male",REGISTRY!P309,"")</f>
        <v>0</v>
      </c>
      <c r="E327" s="1" t="str">
        <f>IF(REGISTRY!G309="Male",REGISTRY!L309,"")</f>
        <v>العبدالكريم</v>
      </c>
    </row>
    <row r="328" spans="1:5" ht="15.75" customHeight="1" x14ac:dyDescent="0.2">
      <c r="A328" s="1" t="str">
        <f>IF(REGISTRY!G310="Male",REGISTRY!A310,"")</f>
        <v>P309</v>
      </c>
      <c r="B328" s="1" t="str">
        <f>IF(REGISTRY!G310="Male",REGISTRY!M310,"")</f>
        <v>عبدالعزيز بن عبدالرحمن بن عثمان دخيل</v>
      </c>
      <c r="C328" s="1">
        <f>IF(REGISTRY!G310="Male",REGISTRY!K310,"")</f>
        <v>7</v>
      </c>
      <c r="D328" s="1">
        <f>IF(REGISTRY!G310="Male",REGISTRY!P310,"")</f>
        <v>0</v>
      </c>
      <c r="E328" s="1" t="str">
        <f>IF(REGISTRY!G310="Male",REGISTRY!L310,"")</f>
        <v>العبدالكريم</v>
      </c>
    </row>
    <row r="329" spans="1:5" ht="15.75" customHeight="1" x14ac:dyDescent="0.2">
      <c r="A329" s="1" t="str">
        <f>IF(REGISTRY!G311="Male",REGISTRY!A311,"")</f>
        <v>P310</v>
      </c>
      <c r="B329" s="1" t="str">
        <f>IF(REGISTRY!G311="Male",REGISTRY!M311,"")</f>
        <v>عبدالله بن عبدالرحمن بن عثمان دخيل</v>
      </c>
      <c r="C329" s="1">
        <f>IF(REGISTRY!G311="Male",REGISTRY!K311,"")</f>
        <v>7</v>
      </c>
      <c r="D329" s="1">
        <f>IF(REGISTRY!G311="Male",REGISTRY!P311,"")</f>
        <v>0</v>
      </c>
      <c r="E329" s="1" t="str">
        <f>IF(REGISTRY!G311="Male",REGISTRY!L311,"")</f>
        <v>العبدالكريم</v>
      </c>
    </row>
    <row r="330" spans="1:5" ht="15.75" customHeight="1" x14ac:dyDescent="0.2">
      <c r="A330" s="1" t="str">
        <f>IF(REGISTRY!G312="Male",REGISTRY!A312,"")</f>
        <v>P311</v>
      </c>
      <c r="B330" s="1" t="str">
        <f>IF(REGISTRY!G312="Male",REGISTRY!M312,"")</f>
        <v>سليمان بن عبدالرحمن بن عثمان دخيل</v>
      </c>
      <c r="C330" s="1">
        <f>IF(REGISTRY!G312="Male",REGISTRY!K312,"")</f>
        <v>7</v>
      </c>
      <c r="D330" s="1">
        <f>IF(REGISTRY!G312="Male",REGISTRY!P312,"")</f>
        <v>0</v>
      </c>
      <c r="E330" s="1" t="str">
        <f>IF(REGISTRY!G312="Male",REGISTRY!L312,"")</f>
        <v>العبدالكريم</v>
      </c>
    </row>
    <row r="331" spans="1:5" ht="15.75" customHeight="1" x14ac:dyDescent="0.2">
      <c r="A331" s="1" t="str">
        <f>IF(REGISTRY!G313="Male",REGISTRY!A313,"")</f>
        <v>P312</v>
      </c>
      <c r="B331" s="1" t="str">
        <f>IF(REGISTRY!G313="Male",REGISTRY!M313,"")</f>
        <v>عثمان بن عبدالرحمن بن عثمان دخيل</v>
      </c>
      <c r="C331" s="1">
        <f>IF(REGISTRY!G313="Male",REGISTRY!K313,"")</f>
        <v>7</v>
      </c>
      <c r="D331" s="1">
        <f>IF(REGISTRY!G313="Male",REGISTRY!P313,"")</f>
        <v>0</v>
      </c>
      <c r="E331" s="1" t="str">
        <f>IF(REGISTRY!G313="Male",REGISTRY!L313,"")</f>
        <v>العبدالكريم</v>
      </c>
    </row>
    <row r="332" spans="1:5" ht="15.75" customHeight="1" x14ac:dyDescent="0.2">
      <c r="A332" s="1" t="str">
        <f>IF(REGISTRY!G314="Male",REGISTRY!A314,"")</f>
        <v>P313</v>
      </c>
      <c r="B332" s="1" t="str">
        <f>IF(REGISTRY!G314="Male",REGISTRY!M314,"")</f>
        <v>وليد بن عبدالرحمن بن عثمان دخيل</v>
      </c>
      <c r="C332" s="1">
        <f>IF(REGISTRY!G314="Male",REGISTRY!K314,"")</f>
        <v>7</v>
      </c>
      <c r="D332" s="1">
        <f>IF(REGISTRY!G314="Male",REGISTRY!P314,"")</f>
        <v>0</v>
      </c>
      <c r="E332" s="1" t="str">
        <f>IF(REGISTRY!G314="Male",REGISTRY!L314,"")</f>
        <v>العبدالكريم</v>
      </c>
    </row>
    <row r="333" spans="1:5" ht="15.75" customHeight="1" x14ac:dyDescent="0.2">
      <c r="A333" s="1" t="str">
        <f>IF(REGISTRY!G315="Male",REGISTRY!A315,"")</f>
        <v>P314</v>
      </c>
      <c r="B333" s="1" t="str">
        <f>IF(REGISTRY!G315="Male",REGISTRY!M315,"")</f>
        <v>فهد بن دخيل بن عثمان دخيل</v>
      </c>
      <c r="C333" s="1">
        <f>IF(REGISTRY!G315="Male",REGISTRY!K315,"")</f>
        <v>7</v>
      </c>
      <c r="D333" s="1">
        <f>IF(REGISTRY!G315="Male",REGISTRY!P315,"")</f>
        <v>0</v>
      </c>
      <c r="E333" s="1" t="str">
        <f>IF(REGISTRY!G315="Male",REGISTRY!L315,"")</f>
        <v>العبدالكريم</v>
      </c>
    </row>
    <row r="334" spans="1:5" ht="15.75" customHeight="1" x14ac:dyDescent="0.2">
      <c r="A334" s="1" t="str">
        <f>IF(REGISTRY!G316="Male",REGISTRY!A316,"")</f>
        <v>P315</v>
      </c>
      <c r="B334" s="1" t="str">
        <f>IF(REGISTRY!G316="Male",REGISTRY!M316,"")</f>
        <v>عثمان بن دخيل بن عثمان دخيل</v>
      </c>
      <c r="C334" s="1">
        <f>IF(REGISTRY!G316="Male",REGISTRY!K316,"")</f>
        <v>7</v>
      </c>
      <c r="D334" s="1">
        <f>IF(REGISTRY!G316="Male",REGISTRY!P316,"")</f>
        <v>0</v>
      </c>
      <c r="E334" s="1" t="str">
        <f>IF(REGISTRY!G316="Male",REGISTRY!L316,"")</f>
        <v>العبدالكريم</v>
      </c>
    </row>
    <row r="335" spans="1:5" ht="15.75" customHeight="1" x14ac:dyDescent="0.2">
      <c r="A335" s="1" t="str">
        <f>IF(REGISTRY!G317="Male",REGISTRY!A317,"")</f>
        <v>P316</v>
      </c>
      <c r="B335" s="1" t="str">
        <f>IF(REGISTRY!G317="Male",REGISTRY!M317,"")</f>
        <v>عثمان بن عبدالكريم بن عثمان دخيل</v>
      </c>
      <c r="C335" s="1">
        <f>IF(REGISTRY!G317="Male",REGISTRY!K317,"")</f>
        <v>7</v>
      </c>
      <c r="D335" s="1">
        <f>IF(REGISTRY!G317="Male",REGISTRY!P317,"")</f>
        <v>0</v>
      </c>
      <c r="E335" s="1" t="str">
        <f>IF(REGISTRY!G317="Male",REGISTRY!L317,"")</f>
        <v>العبدالكريم</v>
      </c>
    </row>
    <row r="336" spans="1:5" ht="15.75" customHeight="1" x14ac:dyDescent="0.2">
      <c r="A336" s="1" t="str">
        <f>IF(REGISTRY!G318="Male",REGISTRY!A318,"")</f>
        <v>P317</v>
      </c>
      <c r="B336" s="1" t="str">
        <f>IF(REGISTRY!G318="Male",REGISTRY!M318,"")</f>
        <v>معاذ بن عبدالكريم بن عثمان دخيل</v>
      </c>
      <c r="C336" s="1">
        <f>IF(REGISTRY!G318="Male",REGISTRY!K318,"")</f>
        <v>7</v>
      </c>
      <c r="D336" s="1">
        <f>IF(REGISTRY!G318="Male",REGISTRY!P318,"")</f>
        <v>0</v>
      </c>
      <c r="E336" s="1" t="str">
        <f>IF(REGISTRY!G318="Male",REGISTRY!L318,"")</f>
        <v>العبدالكريم</v>
      </c>
    </row>
    <row r="337" spans="1:5" ht="15.75" customHeight="1" x14ac:dyDescent="0.2">
      <c r="A337" s="1" t="str">
        <f>IF(REGISTRY!G319="Male",REGISTRY!A319,"")</f>
        <v>P318</v>
      </c>
      <c r="B337" s="1" t="str">
        <f>IF(REGISTRY!G319="Male",REGISTRY!M319,"")</f>
        <v xml:space="preserve">حمد بن عبدالكريم بن حمد </v>
      </c>
      <c r="C337" s="1">
        <f>IF(REGISTRY!G319="Male",REGISTRY!K319,"")</f>
        <v>3</v>
      </c>
      <c r="D337" s="1">
        <f>IF(REGISTRY!G319="Male",REGISTRY!P319,"")</f>
        <v>0</v>
      </c>
      <c r="E337" s="1" t="str">
        <f>IF(REGISTRY!G319="Male",REGISTRY!L319,"")</f>
        <v>العبدالكريم</v>
      </c>
    </row>
    <row r="338" spans="1:5" ht="15.75" customHeight="1" x14ac:dyDescent="0.2">
      <c r="A338" s="1" t="str">
        <f>IF(REGISTRY!G320="Male",REGISTRY!A320,"")</f>
        <v>P319</v>
      </c>
      <c r="B338" s="1" t="str">
        <f>IF(REGISTRY!G320="Male",REGISTRY!M320,"")</f>
        <v>عبدالكريم بن حمد بن عبدالكريم حمد</v>
      </c>
      <c r="C338" s="1">
        <f>IF(REGISTRY!G320="Male",REGISTRY!K320,"")</f>
        <v>4</v>
      </c>
      <c r="D338" s="1">
        <f>IF(REGISTRY!G320="Male",REGISTRY!P320,"")</f>
        <v>0</v>
      </c>
      <c r="E338" s="1" t="str">
        <f>IF(REGISTRY!G320="Male",REGISTRY!L320,"")</f>
        <v>العبدالكريم</v>
      </c>
    </row>
    <row r="339" spans="1:5" ht="15.75" customHeight="1" x14ac:dyDescent="0.2">
      <c r="A339" s="1" t="str">
        <f>IF(REGISTRY!G321="Male",REGISTRY!A321,"")</f>
        <v>P320</v>
      </c>
      <c r="B339" s="1" t="str">
        <f>IF(REGISTRY!G321="Male",REGISTRY!M321,"")</f>
        <v>عبدالعزيز بن حمد بن عبدالكريم حمد</v>
      </c>
      <c r="C339" s="1">
        <f>IF(REGISTRY!G321="Male",REGISTRY!K321,"")</f>
        <v>4</v>
      </c>
      <c r="D339" s="1">
        <f>IF(REGISTRY!G321="Male",REGISTRY!P321,"")</f>
        <v>0</v>
      </c>
      <c r="E339" s="1" t="str">
        <f>IF(REGISTRY!G321="Male",REGISTRY!L321,"")</f>
        <v>العبدالكريم</v>
      </c>
    </row>
    <row r="340" spans="1:5" ht="15.75" customHeight="1" x14ac:dyDescent="0.2">
      <c r="A340" s="1" t="str">
        <f>IF(REGISTRY!G322="Male",REGISTRY!A322,"")</f>
        <v>P321</v>
      </c>
      <c r="B340" s="1" t="str">
        <f>IF(REGISTRY!G322="Male",REGISTRY!M322,"")</f>
        <v>محمد (ابو حمد ) بن حمد بن عبدالكريم حمد</v>
      </c>
      <c r="C340" s="1">
        <f>IF(REGISTRY!G322="Male",REGISTRY!K322,"")</f>
        <v>4</v>
      </c>
      <c r="D340" s="1">
        <f>IF(REGISTRY!G322="Male",REGISTRY!P322,"")</f>
        <v>0</v>
      </c>
      <c r="E340" s="1" t="str">
        <f>IF(REGISTRY!G322="Male",REGISTRY!L322,"")</f>
        <v>العبدالكريم</v>
      </c>
    </row>
    <row r="341" spans="1:5" ht="15.75" customHeight="1" x14ac:dyDescent="0.2">
      <c r="A341" s="1" t="str">
        <f>IF(REGISTRY!G323="Male",REGISTRY!A323,"")</f>
        <v>P322</v>
      </c>
      <c r="B341" s="1" t="str">
        <f>IF(REGISTRY!G323="Male",REGISTRY!M323,"")</f>
        <v>محمد بن عبدالكريم بن حمد عبدالكريم</v>
      </c>
      <c r="C341" s="1">
        <f>IF(REGISTRY!G323="Male",REGISTRY!K323,"")</f>
        <v>5</v>
      </c>
      <c r="D341" s="1">
        <f>IF(REGISTRY!G323="Male",REGISTRY!P323,"")</f>
        <v>0</v>
      </c>
      <c r="E341" s="1" t="str">
        <f>IF(REGISTRY!G323="Male",REGISTRY!L323,"")</f>
        <v>العبدالكريم</v>
      </c>
    </row>
    <row r="342" spans="1:5" ht="15.75" customHeight="1" x14ac:dyDescent="0.2">
      <c r="A342" s="1" t="str">
        <f>IF(REGISTRY!G324="Male",REGISTRY!A324,"")</f>
        <v>P323</v>
      </c>
      <c r="B342" s="1" t="str">
        <f>IF(REGISTRY!G324="Male",REGISTRY!M324,"")</f>
        <v>عبدالله بن عبدالكريم بن حمد عبدالكريم</v>
      </c>
      <c r="C342" s="1">
        <f>IF(REGISTRY!G324="Male",REGISTRY!K324,"")</f>
        <v>5</v>
      </c>
      <c r="D342" s="1">
        <f>IF(REGISTRY!G324="Male",REGISTRY!P324,"")</f>
        <v>0</v>
      </c>
      <c r="E342" s="1" t="str">
        <f>IF(REGISTRY!G324="Male",REGISTRY!L324,"")</f>
        <v>العبدالكريم</v>
      </c>
    </row>
    <row r="343" spans="1:5" ht="15.75" customHeight="1" x14ac:dyDescent="0.2">
      <c r="A343" s="1" t="str">
        <f>IF(REGISTRY!G325="Male",REGISTRY!A325,"")</f>
        <v>P324</v>
      </c>
      <c r="B343" s="1" t="str">
        <f>IF(REGISTRY!G325="Male",REGISTRY!M325,"")</f>
        <v>ابراهيم بن عبدالكريم بن حمد عبدالكريم</v>
      </c>
      <c r="C343" s="1">
        <f>IF(REGISTRY!G325="Male",REGISTRY!K325,"")</f>
        <v>5</v>
      </c>
      <c r="D343" s="1">
        <f>IF(REGISTRY!G325="Male",REGISTRY!P325,"")</f>
        <v>0</v>
      </c>
      <c r="E343" s="1" t="str">
        <f>IF(REGISTRY!G325="Male",REGISTRY!L325,"")</f>
        <v>العبدالكريم</v>
      </c>
    </row>
    <row r="344" spans="1:5" ht="15.75" customHeight="1" x14ac:dyDescent="0.2">
      <c r="A344" s="1" t="str">
        <f>IF(REGISTRY!G326="Male",REGISTRY!A326,"")</f>
        <v>P325</v>
      </c>
      <c r="B344" s="1" t="str">
        <f>IF(REGISTRY!G326="Male",REGISTRY!M326,"")</f>
        <v>عبدالرحمن بن عبدالكريم بن حمد عبدالكريم</v>
      </c>
      <c r="C344" s="1">
        <f>IF(REGISTRY!G326="Male",REGISTRY!K326,"")</f>
        <v>5</v>
      </c>
      <c r="D344" s="1">
        <f>IF(REGISTRY!G326="Male",REGISTRY!P326,"")</f>
        <v>0</v>
      </c>
      <c r="E344" s="1" t="str">
        <f>IF(REGISTRY!G326="Male",REGISTRY!L326,"")</f>
        <v>العبدالكريم</v>
      </c>
    </row>
    <row r="345" spans="1:5" ht="15.75" customHeight="1" x14ac:dyDescent="0.2">
      <c r="A345" s="1" t="str">
        <f>IF(REGISTRY!G327="Male",REGISTRY!A327,"")</f>
        <v>P326</v>
      </c>
      <c r="B345" s="1" t="str">
        <f>IF(REGISTRY!G327="Male",REGISTRY!M327,"")</f>
        <v>عبدالعزيز بن عبدالكريم بن حمد عبدالكريم</v>
      </c>
      <c r="C345" s="1">
        <f>IF(REGISTRY!G327="Male",REGISTRY!K327,"")</f>
        <v>5</v>
      </c>
      <c r="D345" s="1">
        <f>IF(REGISTRY!G327="Male",REGISTRY!P327,"")</f>
        <v>0</v>
      </c>
      <c r="E345" s="1" t="str">
        <f>IF(REGISTRY!G327="Male",REGISTRY!L327,"")</f>
        <v>العبدالكريم</v>
      </c>
    </row>
    <row r="346" spans="1:5" ht="15.75" customHeight="1" x14ac:dyDescent="0.2">
      <c r="A346" s="1" t="str">
        <f>IF(REGISTRY!G328="Male",REGISTRY!A328,"")</f>
        <v>P327</v>
      </c>
      <c r="B346" s="1" t="str">
        <f>IF(REGISTRY!G328="Male",REGISTRY!M328,"")</f>
        <v>حمد بن محمد بن عبدالكريم حمد</v>
      </c>
      <c r="C346" s="1">
        <f>IF(REGISTRY!G328="Male",REGISTRY!K328,"")</f>
        <v>6</v>
      </c>
      <c r="D346" s="1">
        <f>IF(REGISTRY!G328="Male",REGISTRY!P328,"")</f>
        <v>0</v>
      </c>
      <c r="E346" s="1" t="str">
        <f>IF(REGISTRY!G328="Male",REGISTRY!L328,"")</f>
        <v>العبدالكريم</v>
      </c>
    </row>
    <row r="347" spans="1:5" ht="15.75" customHeight="1" x14ac:dyDescent="0.2">
      <c r="A347" s="1" t="str">
        <f>IF(REGISTRY!G329="Male",REGISTRY!A329,"")</f>
        <v>P328</v>
      </c>
      <c r="B347" s="1" t="str">
        <f>IF(REGISTRY!G329="Male",REGISTRY!M329,"")</f>
        <v>عبدالكريم بن محمد بن عبدالكريم حمد</v>
      </c>
      <c r="C347" s="1">
        <f>IF(REGISTRY!G329="Male",REGISTRY!K329,"")</f>
        <v>6</v>
      </c>
      <c r="D347" s="1">
        <f>IF(REGISTRY!G329="Male",REGISTRY!P329,"")</f>
        <v>0</v>
      </c>
      <c r="E347" s="1" t="str">
        <f>IF(REGISTRY!G329="Male",REGISTRY!L329,"")</f>
        <v>العبدالكريم</v>
      </c>
    </row>
    <row r="348" spans="1:5" ht="15.75" customHeight="1" x14ac:dyDescent="0.2">
      <c r="A348" s="1" t="str">
        <f>IF(REGISTRY!G330="Male",REGISTRY!A330,"")</f>
        <v>P329</v>
      </c>
      <c r="B348" s="1" t="str">
        <f>IF(REGISTRY!G330="Male",REGISTRY!M330,"")</f>
        <v>محمد بن محمد بن عبدالكريم حمد</v>
      </c>
      <c r="C348" s="1">
        <f>IF(REGISTRY!G330="Male",REGISTRY!K330,"")</f>
        <v>6</v>
      </c>
      <c r="D348" s="1">
        <f>IF(REGISTRY!G330="Male",REGISTRY!P330,"")</f>
        <v>0</v>
      </c>
      <c r="E348" s="1" t="str">
        <f>IF(REGISTRY!G330="Male",REGISTRY!L330,"")</f>
        <v>العبدالكريم</v>
      </c>
    </row>
    <row r="349" spans="1:5" ht="15.75" customHeight="1" x14ac:dyDescent="0.2">
      <c r="A349" s="1" t="str">
        <f>IF(REGISTRY!G331="Male",REGISTRY!A331,"")</f>
        <v>P330</v>
      </c>
      <c r="B349" s="1" t="str">
        <f>IF(REGISTRY!G331="Male",REGISTRY!M331,"")</f>
        <v>مساعد بن محمد بن عبدالكريم حمد</v>
      </c>
      <c r="C349" s="1">
        <f>IF(REGISTRY!G331="Male",REGISTRY!K331,"")</f>
        <v>6</v>
      </c>
      <c r="D349" s="1">
        <f>IF(REGISTRY!G331="Male",REGISTRY!P331,"")</f>
        <v>0</v>
      </c>
      <c r="E349" s="1" t="str">
        <f>IF(REGISTRY!G331="Male",REGISTRY!L331,"")</f>
        <v>العبدالكريم</v>
      </c>
    </row>
    <row r="350" spans="1:5" ht="15.75" customHeight="1" x14ac:dyDescent="0.2">
      <c r="A350" s="1" t="str">
        <f>IF(REGISTRY!G332="Male",REGISTRY!A332,"")</f>
        <v>P331</v>
      </c>
      <c r="B350" s="1" t="str">
        <f>IF(REGISTRY!G332="Male",REGISTRY!M332,"")</f>
        <v>محمد بن حمد بن محمد عبدالكريم</v>
      </c>
      <c r="C350" s="1">
        <f>IF(REGISTRY!G332="Male",REGISTRY!K332,"")</f>
        <v>7</v>
      </c>
      <c r="D350" s="1">
        <f>IF(REGISTRY!G332="Male",REGISTRY!P332,"")</f>
        <v>0</v>
      </c>
      <c r="E350" s="1" t="str">
        <f>IF(REGISTRY!G332="Male",REGISTRY!L332,"")</f>
        <v>العبدالكريم</v>
      </c>
    </row>
    <row r="351" spans="1:5" ht="15.75" customHeight="1" x14ac:dyDescent="0.2">
      <c r="A351" s="1" t="str">
        <f>IF(REGISTRY!G333="Male",REGISTRY!A333,"")</f>
        <v>P332</v>
      </c>
      <c r="B351" s="1" t="str">
        <f>IF(REGISTRY!G333="Male",REGISTRY!M333,"")</f>
        <v>تميم بن حمد بن محمد عبدالكريم</v>
      </c>
      <c r="C351" s="1">
        <f>IF(REGISTRY!G333="Male",REGISTRY!K333,"")</f>
        <v>7</v>
      </c>
      <c r="D351" s="1">
        <f>IF(REGISTRY!G333="Male",REGISTRY!P333,"")</f>
        <v>0</v>
      </c>
      <c r="E351" s="1" t="str">
        <f>IF(REGISTRY!G333="Male",REGISTRY!L333,"")</f>
        <v>العبدالكريم</v>
      </c>
    </row>
    <row r="352" spans="1:5" ht="15.75" customHeight="1" x14ac:dyDescent="0.2">
      <c r="A352" s="1" t="str">
        <f>IF(REGISTRY!G334="Male",REGISTRY!A334,"")</f>
        <v>P333</v>
      </c>
      <c r="B352" s="1" t="str">
        <f>IF(REGISTRY!G334="Male",REGISTRY!M334,"")</f>
        <v>عبدالله بن حمد بن محمد عبدالكريم</v>
      </c>
      <c r="C352" s="1">
        <f>IF(REGISTRY!G334="Male",REGISTRY!K334,"")</f>
        <v>7</v>
      </c>
      <c r="D352" s="1">
        <f>IF(REGISTRY!G334="Male",REGISTRY!P334,"")</f>
        <v>0</v>
      </c>
      <c r="E352" s="1" t="str">
        <f>IF(REGISTRY!G334="Male",REGISTRY!L334,"")</f>
        <v>العبدالكريم</v>
      </c>
    </row>
    <row r="353" spans="1:5" ht="15.75" customHeight="1" x14ac:dyDescent="0.2">
      <c r="A353" s="1" t="str">
        <f>IF(REGISTRY!G335="Male",REGISTRY!A335,"")</f>
        <v>P334</v>
      </c>
      <c r="B353" s="1" t="str">
        <f>IF(REGISTRY!G335="Male",REGISTRY!M335,"")</f>
        <v>فهد بن عبدالله بن عبدالكريم حمد</v>
      </c>
      <c r="C353" s="1">
        <f>IF(REGISTRY!G335="Male",REGISTRY!K335,"")</f>
        <v>6</v>
      </c>
      <c r="D353" s="1">
        <f>IF(REGISTRY!G335="Male",REGISTRY!P335,"")</f>
        <v>0</v>
      </c>
      <c r="E353" s="1" t="str">
        <f>IF(REGISTRY!G335="Male",REGISTRY!L335,"")</f>
        <v>العبدالكريم</v>
      </c>
    </row>
    <row r="354" spans="1:5" ht="15.75" customHeight="1" x14ac:dyDescent="0.2">
      <c r="A354" s="1" t="str">
        <f>IF(REGISTRY!G336="Male",REGISTRY!A336,"")</f>
        <v>P335</v>
      </c>
      <c r="B354" s="1" t="str">
        <f>IF(REGISTRY!G336="Male",REGISTRY!M336,"")</f>
        <v>عبدالكريم بن عبدالله بن عبدالكريم حمد</v>
      </c>
      <c r="C354" s="1">
        <f>IF(REGISTRY!G336="Male",REGISTRY!K336,"")</f>
        <v>6</v>
      </c>
      <c r="D354" s="1">
        <f>IF(REGISTRY!G336="Male",REGISTRY!P336,"")</f>
        <v>0</v>
      </c>
      <c r="E354" s="1" t="str">
        <f>IF(REGISTRY!G336="Male",REGISTRY!L336,"")</f>
        <v>العبدالكريم</v>
      </c>
    </row>
    <row r="355" spans="1:5" ht="15.75" customHeight="1" x14ac:dyDescent="0.2">
      <c r="A355" s="1" t="str">
        <f>IF(REGISTRY!G337="Male",REGISTRY!A337,"")</f>
        <v>P336</v>
      </c>
      <c r="B355" s="1" t="str">
        <f>IF(REGISTRY!G337="Male",REGISTRY!M337,"")</f>
        <v>محمد بن عبدالله بن عبدالكريم حمد</v>
      </c>
      <c r="C355" s="1">
        <f>IF(REGISTRY!G337="Male",REGISTRY!K337,"")</f>
        <v>6</v>
      </c>
      <c r="D355" s="1">
        <f>IF(REGISTRY!G337="Male",REGISTRY!P337,"")</f>
        <v>0</v>
      </c>
      <c r="E355" s="1" t="str">
        <f>IF(REGISTRY!G337="Male",REGISTRY!L337,"")</f>
        <v>العبدالكريم</v>
      </c>
    </row>
    <row r="356" spans="1:5" ht="15.75" customHeight="1" x14ac:dyDescent="0.2">
      <c r="A356" s="1" t="str">
        <f>IF(REGISTRY!G338="Male",REGISTRY!A338,"")</f>
        <v>P337</v>
      </c>
      <c r="B356" s="1" t="str">
        <f>IF(REGISTRY!G338="Male",REGISTRY!M338,"")</f>
        <v>مساعد بن عبدالله بن عبدالكريم حمد</v>
      </c>
      <c r="C356" s="1">
        <f>IF(REGISTRY!G338="Male",REGISTRY!K338,"")</f>
        <v>6</v>
      </c>
      <c r="D356" s="1">
        <f>IF(REGISTRY!G338="Male",REGISTRY!P338,"")</f>
        <v>0</v>
      </c>
      <c r="E356" s="1" t="str">
        <f>IF(REGISTRY!G338="Male",REGISTRY!L338,"")</f>
        <v>العبدالكريم</v>
      </c>
    </row>
    <row r="357" spans="1:5" ht="15.75" customHeight="1" x14ac:dyDescent="0.2">
      <c r="A357" s="1" t="str">
        <f>IF(REGISTRY!G339="Male",REGISTRY!A339,"")</f>
        <v>P338</v>
      </c>
      <c r="B357" s="1" t="str">
        <f>IF(REGISTRY!G339="Male",REGISTRY!M339,"")</f>
        <v>عبدالله بن فهد بن عبدالله عبدالكريم</v>
      </c>
      <c r="C357" s="1">
        <f>IF(REGISTRY!G339="Male",REGISTRY!K339,"")</f>
        <v>7</v>
      </c>
      <c r="D357" s="1">
        <f>IF(REGISTRY!G339="Male",REGISTRY!P339,"")</f>
        <v>0</v>
      </c>
      <c r="E357" s="1" t="str">
        <f>IF(REGISTRY!G339="Male",REGISTRY!L339,"")</f>
        <v>العبدالكريم</v>
      </c>
    </row>
    <row r="358" spans="1:5" ht="15.75" customHeight="1" x14ac:dyDescent="0.2">
      <c r="A358" s="1" t="str">
        <f>IF(REGISTRY!G340="Male",REGISTRY!A340,"")</f>
        <v>P339</v>
      </c>
      <c r="B358" s="1" t="str">
        <f>IF(REGISTRY!G340="Male",REGISTRY!M340,"")</f>
        <v>عبدالعزيز بن فهد بن عبدالله عبدالكريم</v>
      </c>
      <c r="C358" s="1">
        <f>IF(REGISTRY!G340="Male",REGISTRY!K340,"")</f>
        <v>7</v>
      </c>
      <c r="D358" s="1">
        <f>IF(REGISTRY!G340="Male",REGISTRY!P340,"")</f>
        <v>0</v>
      </c>
      <c r="E358" s="1" t="str">
        <f>IF(REGISTRY!G340="Male",REGISTRY!L340,"")</f>
        <v>العبدالكريم</v>
      </c>
    </row>
    <row r="359" spans="1:5" ht="15.75" customHeight="1" x14ac:dyDescent="0.2">
      <c r="A359" s="1" t="str">
        <f>IF(REGISTRY!G341="Male",REGISTRY!A341,"")</f>
        <v>P340</v>
      </c>
      <c r="B359" s="1" t="str">
        <f>IF(REGISTRY!G341="Male",REGISTRY!M341,"")</f>
        <v>خالد بن ابراهيم بن عبدالكريم حمد</v>
      </c>
      <c r="C359" s="1">
        <f>IF(REGISTRY!G341="Male",REGISTRY!K341,"")</f>
        <v>6</v>
      </c>
      <c r="D359" s="1">
        <f>IF(REGISTRY!G341="Male",REGISTRY!P341,"")</f>
        <v>0</v>
      </c>
      <c r="E359" s="1" t="str">
        <f>IF(REGISTRY!G341="Male",REGISTRY!L341,"")</f>
        <v>العبدالكريم</v>
      </c>
    </row>
    <row r="360" spans="1:5" ht="15.75" customHeight="1" x14ac:dyDescent="0.2">
      <c r="A360" s="1" t="str">
        <f>IF(REGISTRY!G342="Male",REGISTRY!A342,"")</f>
        <v>P341</v>
      </c>
      <c r="B360" s="1" t="str">
        <f>IF(REGISTRY!G342="Male",REGISTRY!M342,"")</f>
        <v>عبدالكريم بن ابراهيم بن عبدالكريم حمد</v>
      </c>
      <c r="C360" s="1">
        <f>IF(REGISTRY!G342="Male",REGISTRY!K342,"")</f>
        <v>6</v>
      </c>
      <c r="D360" s="1">
        <f>IF(REGISTRY!G342="Male",REGISTRY!P342,"")</f>
        <v>0</v>
      </c>
      <c r="E360" s="1" t="str">
        <f>IF(REGISTRY!G342="Male",REGISTRY!L342,"")</f>
        <v>العبدالكريم</v>
      </c>
    </row>
    <row r="361" spans="1:5" ht="15.75" customHeight="1" x14ac:dyDescent="0.2">
      <c r="A361" s="1" t="str">
        <f>IF(REGISTRY!G343="Male",REGISTRY!A343,"")</f>
        <v>P342</v>
      </c>
      <c r="B361" s="1" t="str">
        <f>IF(REGISTRY!G343="Male",REGISTRY!M343,"")</f>
        <v>فهد بن ابراهيم بن عبدالكريم حمد</v>
      </c>
      <c r="C361" s="1">
        <f>IF(REGISTRY!G343="Male",REGISTRY!K343,"")</f>
        <v>6</v>
      </c>
      <c r="D361" s="1">
        <f>IF(REGISTRY!G343="Male",REGISTRY!P343,"")</f>
        <v>0</v>
      </c>
      <c r="E361" s="1" t="str">
        <f>IF(REGISTRY!G343="Male",REGISTRY!L343,"")</f>
        <v>العبدالكريم</v>
      </c>
    </row>
    <row r="362" spans="1:5" ht="15.75" customHeight="1" x14ac:dyDescent="0.2">
      <c r="A362" s="1" t="str">
        <f>IF(REGISTRY!G344="Male",REGISTRY!A344,"")</f>
        <v>P343</v>
      </c>
      <c r="B362" s="1" t="str">
        <f>IF(REGISTRY!G344="Male",REGISTRY!M344,"")</f>
        <v>عبدالعزيز بن ابراهيم بن عبدالكريم حمد</v>
      </c>
      <c r="C362" s="1">
        <f>IF(REGISTRY!G344="Male",REGISTRY!K344,"")</f>
        <v>6</v>
      </c>
      <c r="D362" s="1">
        <f>IF(REGISTRY!G344="Male",REGISTRY!P344,"")</f>
        <v>0</v>
      </c>
      <c r="E362" s="1" t="str">
        <f>IF(REGISTRY!G344="Male",REGISTRY!L344,"")</f>
        <v>العبدالكريم</v>
      </c>
    </row>
    <row r="363" spans="1:5" ht="15.75" customHeight="1" x14ac:dyDescent="0.2">
      <c r="A363" s="1" t="str">
        <f>IF(REGISTRY!G345="Male",REGISTRY!A345,"")</f>
        <v>P344</v>
      </c>
      <c r="B363" s="1" t="str">
        <f>IF(REGISTRY!G345="Male",REGISTRY!M345,"")</f>
        <v>عبدالكريم بن عبدالرحمن بن عبدالكريم حمد</v>
      </c>
      <c r="C363" s="1">
        <f>IF(REGISTRY!G345="Male",REGISTRY!K345,"")</f>
        <v>6</v>
      </c>
      <c r="D363" s="1">
        <f>IF(REGISTRY!G345="Male",REGISTRY!P345,"")</f>
        <v>0</v>
      </c>
      <c r="E363" s="1" t="str">
        <f>IF(REGISTRY!G345="Male",REGISTRY!L345,"")</f>
        <v>العبدالكريم</v>
      </c>
    </row>
    <row r="364" spans="1:5" ht="15.75" customHeight="1" x14ac:dyDescent="0.2">
      <c r="A364" s="1" t="str">
        <f>IF(REGISTRY!G346="Male",REGISTRY!A346,"")</f>
        <v>P345</v>
      </c>
      <c r="B364" s="1" t="str">
        <f>IF(REGISTRY!G346="Male",REGISTRY!M346,"")</f>
        <v>عبدالله بن عبدالرحمن بن عبدالكريم حمد</v>
      </c>
      <c r="C364" s="1">
        <f>IF(REGISTRY!G346="Male",REGISTRY!K346,"")</f>
        <v>6</v>
      </c>
      <c r="D364" s="1">
        <f>IF(REGISTRY!G346="Male",REGISTRY!P346,"")</f>
        <v>0</v>
      </c>
      <c r="E364" s="1" t="str">
        <f>IF(REGISTRY!G346="Male",REGISTRY!L346,"")</f>
        <v>العبدالكريم</v>
      </c>
    </row>
    <row r="365" spans="1:5" ht="15.75" customHeight="1" x14ac:dyDescent="0.2">
      <c r="A365" s="1" t="str">
        <f>IF(REGISTRY!G347="Male",REGISTRY!A347,"")</f>
        <v>P346</v>
      </c>
      <c r="B365" s="1" t="str">
        <f>IF(REGISTRY!G347="Male",REGISTRY!M347,"")</f>
        <v>محمد بن عبدالرحمن بن عبدالكريم حمد</v>
      </c>
      <c r="C365" s="1">
        <f>IF(REGISTRY!G347="Male",REGISTRY!K347,"")</f>
        <v>6</v>
      </c>
      <c r="D365" s="1">
        <f>IF(REGISTRY!G347="Male",REGISTRY!P347,"")</f>
        <v>0</v>
      </c>
      <c r="E365" s="1" t="str">
        <f>IF(REGISTRY!G347="Male",REGISTRY!L347,"")</f>
        <v>العبدالكريم</v>
      </c>
    </row>
    <row r="366" spans="1:5" ht="15.75" customHeight="1" x14ac:dyDescent="0.2">
      <c r="A366" s="1" t="str">
        <f>IF(REGISTRY!G348="Male",REGISTRY!A348,"")</f>
        <v>P347</v>
      </c>
      <c r="B366" s="1" t="str">
        <f>IF(REGISTRY!G348="Male",REGISTRY!M348,"")</f>
        <v>عبدالرحمن بن عبدالكريم بن عبدالرحمن عبدالكريم</v>
      </c>
      <c r="C366" s="1">
        <f>IF(REGISTRY!G348="Male",REGISTRY!K348,"")</f>
        <v>7</v>
      </c>
      <c r="D366" s="1">
        <f>IF(REGISTRY!G348="Male",REGISTRY!P348,"")</f>
        <v>0</v>
      </c>
      <c r="E366" s="1" t="str">
        <f>IF(REGISTRY!G348="Male",REGISTRY!L348,"")</f>
        <v>العبدالكريم</v>
      </c>
    </row>
    <row r="367" spans="1:5" ht="15.75" customHeight="1" x14ac:dyDescent="0.2">
      <c r="A367" s="1" t="str">
        <f>IF(REGISTRY!G349="Male",REGISTRY!A349,"")</f>
        <v>P348</v>
      </c>
      <c r="B367" s="1" t="str">
        <f>IF(REGISTRY!G349="Male",REGISTRY!M349,"")</f>
        <v>فيصل بن عبدالكريم بن عبدالرحمن عبدالكريم</v>
      </c>
      <c r="C367" s="1">
        <f>IF(REGISTRY!G349="Male",REGISTRY!K349,"")</f>
        <v>7</v>
      </c>
      <c r="D367" s="1">
        <f>IF(REGISTRY!G349="Male",REGISTRY!P349,"")</f>
        <v>0</v>
      </c>
      <c r="E367" s="1" t="str">
        <f>IF(REGISTRY!G349="Male",REGISTRY!L349,"")</f>
        <v>العبدالكريم</v>
      </c>
    </row>
    <row r="368" spans="1:5" ht="15.75" customHeight="1" x14ac:dyDescent="0.2">
      <c r="A368" s="1" t="str">
        <f>IF(REGISTRY!G350="Male",REGISTRY!A350,"")</f>
        <v>P349</v>
      </c>
      <c r="B368" s="1" t="str">
        <f>IF(REGISTRY!G350="Male",REGISTRY!M350,"")</f>
        <v>عبدالكريم بن عبدالعزيز بن عبدالكريم حمد</v>
      </c>
      <c r="C368" s="1">
        <f>IF(REGISTRY!G350="Male",REGISTRY!K350,"")</f>
        <v>6</v>
      </c>
      <c r="D368" s="1">
        <f>IF(REGISTRY!G350="Male",REGISTRY!P350,"")</f>
        <v>0</v>
      </c>
      <c r="E368" s="1" t="str">
        <f>IF(REGISTRY!G350="Male",REGISTRY!L350,"")</f>
        <v>العبدالكريم</v>
      </c>
    </row>
    <row r="369" spans="1:5" ht="15.75" customHeight="1" x14ac:dyDescent="0.2">
      <c r="A369" s="1" t="str">
        <f>IF(REGISTRY!G351="Male",REGISTRY!A351,"")</f>
        <v>P350</v>
      </c>
      <c r="B369" s="1" t="str">
        <f>IF(REGISTRY!G351="Male",REGISTRY!M351,"")</f>
        <v>سعود بن عبدالعزيز بن عبدالكريم حمد</v>
      </c>
      <c r="C369" s="1">
        <f>IF(REGISTRY!G351="Male",REGISTRY!K351,"")</f>
        <v>6</v>
      </c>
      <c r="D369" s="1">
        <f>IF(REGISTRY!G351="Male",REGISTRY!P351,"")</f>
        <v>0</v>
      </c>
      <c r="E369" s="1" t="str">
        <f>IF(REGISTRY!G351="Male",REGISTRY!L351,"")</f>
        <v>العبدالكريم</v>
      </c>
    </row>
    <row r="370" spans="1:5" ht="15.75" customHeight="1" x14ac:dyDescent="0.2">
      <c r="A370" s="1" t="str">
        <f>IF(REGISTRY!G352="Male",REGISTRY!A352,"")</f>
        <v>P351</v>
      </c>
      <c r="B370" s="1" t="str">
        <f>IF(REGISTRY!G352="Male",REGISTRY!M352,"")</f>
        <v>انس بن عبدالعزيز بن عبدالكريم حمد</v>
      </c>
      <c r="C370" s="1">
        <f>IF(REGISTRY!G352="Male",REGISTRY!K352,"")</f>
        <v>6</v>
      </c>
      <c r="D370" s="1">
        <f>IF(REGISTRY!G352="Male",REGISTRY!P352,"")</f>
        <v>0</v>
      </c>
      <c r="E370" s="1" t="str">
        <f>IF(REGISTRY!G352="Male",REGISTRY!L352,"")</f>
        <v>العبدالكريم</v>
      </c>
    </row>
    <row r="371" spans="1:5" ht="15.75" customHeight="1" x14ac:dyDescent="0.2">
      <c r="A371" s="1" t="str">
        <f>IF(REGISTRY!G353="Male",REGISTRY!A353,"")</f>
        <v>P352</v>
      </c>
      <c r="B371" s="1" t="str">
        <f>IF(REGISTRY!G353="Male",REGISTRY!M353,"")</f>
        <v>محمد بن عبدالعزيز بن عبدالكريم حمد</v>
      </c>
      <c r="C371" s="1">
        <f>IF(REGISTRY!G353="Male",REGISTRY!K353,"")</f>
        <v>6</v>
      </c>
      <c r="D371" s="1">
        <f>IF(REGISTRY!G353="Male",REGISTRY!P353,"")</f>
        <v>0</v>
      </c>
      <c r="E371" s="1" t="str">
        <f>IF(REGISTRY!G353="Male",REGISTRY!L353,"")</f>
        <v>العبدالكريم</v>
      </c>
    </row>
    <row r="372" spans="1:5" ht="15.75" customHeight="1" x14ac:dyDescent="0.2">
      <c r="A372" s="1" t="str">
        <f>IF(REGISTRY!G354="Male",REGISTRY!A354,"")</f>
        <v>P353</v>
      </c>
      <c r="B372" s="1" t="str">
        <f>IF(REGISTRY!G354="Male",REGISTRY!M354,"")</f>
        <v>عبدالرحمن بن عبدالعزيز بن حمد عبدالكريم</v>
      </c>
      <c r="C372" s="1">
        <f>IF(REGISTRY!G354="Male",REGISTRY!K354,"")</f>
        <v>5</v>
      </c>
      <c r="D372" s="1">
        <f>IF(REGISTRY!G354="Male",REGISTRY!P354,"")</f>
        <v>0</v>
      </c>
      <c r="E372" s="1" t="str">
        <f>IF(REGISTRY!G354="Male",REGISTRY!L354,"")</f>
        <v>العبدالكريم</v>
      </c>
    </row>
    <row r="373" spans="1:5" ht="15.75" customHeight="1" x14ac:dyDescent="0.2">
      <c r="A373" s="1" t="str">
        <f>IF(REGISTRY!G355="Male",REGISTRY!A355,"")</f>
        <v>P354</v>
      </c>
      <c r="B373" s="1" t="str">
        <f>IF(REGISTRY!G355="Male",REGISTRY!M355,"")</f>
        <v>عبدالله بن عبدالعزيز بن حمد عبدالكريم</v>
      </c>
      <c r="C373" s="1">
        <f>IF(REGISTRY!G355="Male",REGISTRY!K355,"")</f>
        <v>5</v>
      </c>
      <c r="D373" s="1">
        <f>IF(REGISTRY!G355="Male",REGISTRY!P355,"")</f>
        <v>0</v>
      </c>
      <c r="E373" s="1" t="str">
        <f>IF(REGISTRY!G355="Male",REGISTRY!L355,"")</f>
        <v>العبدالكريم</v>
      </c>
    </row>
    <row r="374" spans="1:5" ht="15.75" customHeight="1" x14ac:dyDescent="0.2">
      <c r="A374" s="1" t="str">
        <f>IF(REGISTRY!G356="Male",REGISTRY!A356,"")</f>
        <v>P355</v>
      </c>
      <c r="B374" s="1" t="str">
        <f>IF(REGISTRY!G356="Male",REGISTRY!M356,"")</f>
        <v>محمد بن عبدالعزيز بن حمد عبدالكريم</v>
      </c>
      <c r="C374" s="1">
        <f>IF(REGISTRY!G356="Male",REGISTRY!K356,"")</f>
        <v>5</v>
      </c>
      <c r="D374" s="1">
        <f>IF(REGISTRY!G356="Male",REGISTRY!P356,"")</f>
        <v>0</v>
      </c>
      <c r="E374" s="1" t="str">
        <f>IF(REGISTRY!G356="Male",REGISTRY!L356,"")</f>
        <v>العبدالكريم</v>
      </c>
    </row>
    <row r="375" spans="1:5" ht="15.75" customHeight="1" x14ac:dyDescent="0.2">
      <c r="A375" s="1" t="str">
        <f>IF(REGISTRY!G357="Male",REGISTRY!A357,"")</f>
        <v>P356</v>
      </c>
      <c r="B375" s="1" t="str">
        <f>IF(REGISTRY!G357="Male",REGISTRY!M357,"")</f>
        <v>عبدالرحمن بن عبدالرحمن بن عبدالعزيز حمد</v>
      </c>
      <c r="C375" s="1">
        <f>IF(REGISTRY!G357="Male",REGISTRY!K357,"")</f>
        <v>6</v>
      </c>
      <c r="D375" s="1">
        <f>IF(REGISTRY!G357="Male",REGISTRY!P357,"")</f>
        <v>0</v>
      </c>
      <c r="E375" s="1" t="str">
        <f>IF(REGISTRY!G357="Male",REGISTRY!L357,"")</f>
        <v>العبدالكريم</v>
      </c>
    </row>
    <row r="376" spans="1:5" ht="15.75" customHeight="1" x14ac:dyDescent="0.2">
      <c r="A376" s="1" t="str">
        <f>IF(REGISTRY!G358="Male",REGISTRY!A358,"")</f>
        <v>P357</v>
      </c>
      <c r="B376" s="1" t="str">
        <f>IF(REGISTRY!G358="Male",REGISTRY!M358,"")</f>
        <v>عبدالعزيز بن عبدالرحمن بن عبدالعزيز حمد</v>
      </c>
      <c r="C376" s="1">
        <f>IF(REGISTRY!G358="Male",REGISTRY!K358,"")</f>
        <v>6</v>
      </c>
      <c r="D376" s="1">
        <f>IF(REGISTRY!G358="Male",REGISTRY!P358,"")</f>
        <v>0</v>
      </c>
      <c r="E376" s="1" t="str">
        <f>IF(REGISTRY!G358="Male",REGISTRY!L358,"")</f>
        <v>العبدالكريم</v>
      </c>
    </row>
    <row r="377" spans="1:5" ht="15.75" customHeight="1" x14ac:dyDescent="0.2">
      <c r="A377" s="1" t="str">
        <f>IF(REGISTRY!G359="Male",REGISTRY!A359,"")</f>
        <v>P358</v>
      </c>
      <c r="B377" s="1" t="str">
        <f>IF(REGISTRY!G359="Male",REGISTRY!M359,"")</f>
        <v>ثامر بن عبدالعزيز بن عبدالرحمن عبدالعزيز</v>
      </c>
      <c r="C377" s="1">
        <f>IF(REGISTRY!G359="Male",REGISTRY!K359,"")</f>
        <v>7</v>
      </c>
      <c r="D377" s="1">
        <f>IF(REGISTRY!G359="Male",REGISTRY!P359,"")</f>
        <v>0</v>
      </c>
      <c r="E377" s="1" t="str">
        <f>IF(REGISTRY!G359="Male",REGISTRY!L359,"")</f>
        <v>العبدالكريم</v>
      </c>
    </row>
    <row r="378" spans="1:5" ht="15.75" customHeight="1" x14ac:dyDescent="0.2">
      <c r="A378" s="1" t="str">
        <f>IF(REGISTRY!G360="Male",REGISTRY!A360,"")</f>
        <v>P359</v>
      </c>
      <c r="B378" s="1" t="str">
        <f>IF(REGISTRY!G360="Male",REGISTRY!M360,"")</f>
        <v>محمد بن عبدالعزيز بن عبدالرحمن عبدالعزيز</v>
      </c>
      <c r="C378" s="1">
        <f>IF(REGISTRY!G360="Male",REGISTRY!K360,"")</f>
        <v>7</v>
      </c>
      <c r="D378" s="1">
        <f>IF(REGISTRY!G360="Male",REGISTRY!P360,"")</f>
        <v>0</v>
      </c>
      <c r="E378" s="1" t="str">
        <f>IF(REGISTRY!G360="Male",REGISTRY!L360,"")</f>
        <v>العبدالكريم</v>
      </c>
    </row>
    <row r="379" spans="1:5" ht="15.75" customHeight="1" x14ac:dyDescent="0.2">
      <c r="A379" s="1" t="str">
        <f>IF(REGISTRY!G361="Male",REGISTRY!A361,"")</f>
        <v>P360</v>
      </c>
      <c r="B379" s="1" t="str">
        <f>IF(REGISTRY!G361="Male",REGISTRY!M361,"")</f>
        <v>سعد بن محمد بن عبدالعزيز حمد</v>
      </c>
      <c r="C379" s="1">
        <f>IF(REGISTRY!G361="Male",REGISTRY!K361,"")</f>
        <v>6</v>
      </c>
      <c r="D379" s="1">
        <f>IF(REGISTRY!G361="Male",REGISTRY!P361,"")</f>
        <v>0</v>
      </c>
      <c r="E379" s="1" t="str">
        <f>IF(REGISTRY!G361="Male",REGISTRY!L361,"")</f>
        <v>العبدالكريم</v>
      </c>
    </row>
    <row r="380" spans="1:5" ht="15.75" customHeight="1" x14ac:dyDescent="0.2">
      <c r="A380" s="1" t="str">
        <f>IF(REGISTRY!G362="Male",REGISTRY!A362,"")</f>
        <v>P361</v>
      </c>
      <c r="B380" s="1" t="str">
        <f>IF(REGISTRY!G362="Male",REGISTRY!M362,"")</f>
        <v>عبدالعزيز بن محمد بن عبدالعزيز حمد</v>
      </c>
      <c r="C380" s="1">
        <f>IF(REGISTRY!G362="Male",REGISTRY!K362,"")</f>
        <v>6</v>
      </c>
      <c r="D380" s="1">
        <f>IF(REGISTRY!G362="Male",REGISTRY!P362,"")</f>
        <v>0</v>
      </c>
      <c r="E380" s="1" t="str">
        <f>IF(REGISTRY!G362="Male",REGISTRY!L362,"")</f>
        <v>العبدالكريم</v>
      </c>
    </row>
    <row r="381" spans="1:5" ht="15.75" customHeight="1" x14ac:dyDescent="0.2">
      <c r="A381" s="1" t="str">
        <f>IF(REGISTRY!G363="Male",REGISTRY!A363,"")</f>
        <v>P362</v>
      </c>
      <c r="B381" s="1" t="str">
        <f>IF(REGISTRY!G363="Male",REGISTRY!M363,"")</f>
        <v>سعود بن عبدالعزيز بن محمد عبدالعزيز</v>
      </c>
      <c r="C381" s="1">
        <f>IF(REGISTRY!G363="Male",REGISTRY!K363,"")</f>
        <v>7</v>
      </c>
      <c r="D381" s="1">
        <f>IF(REGISTRY!G363="Male",REGISTRY!P363,"")</f>
        <v>0</v>
      </c>
      <c r="E381" s="1" t="str">
        <f>IF(REGISTRY!G363="Male",REGISTRY!L363,"")</f>
        <v>العبدالكريم</v>
      </c>
    </row>
    <row r="382" spans="1:5" ht="15.75" customHeight="1" x14ac:dyDescent="0.2">
      <c r="A382" s="1" t="str">
        <f>IF(REGISTRY!G364="Male",REGISTRY!A364,"")</f>
        <v>P363</v>
      </c>
      <c r="B382" s="1" t="str">
        <f>IF(REGISTRY!G364="Male",REGISTRY!M364,"")</f>
        <v>تركي بن عبدالعزيز بن محمد عبدالعزيز</v>
      </c>
      <c r="C382" s="1">
        <f>IF(REGISTRY!G364="Male",REGISTRY!K364,"")</f>
        <v>7</v>
      </c>
      <c r="D382" s="1">
        <f>IF(REGISTRY!G364="Male",REGISTRY!P364,"")</f>
        <v>0</v>
      </c>
      <c r="E382" s="1" t="str">
        <f>IF(REGISTRY!G364="Male",REGISTRY!L364,"")</f>
        <v>العبدالكريم</v>
      </c>
    </row>
    <row r="383" spans="1:5" ht="15.75" customHeight="1" x14ac:dyDescent="0.2">
      <c r="A383" s="1" t="str">
        <f>IF(REGISTRY!G365="Male",REGISTRY!A365,"")</f>
        <v>P364</v>
      </c>
      <c r="B383" s="1" t="str">
        <f>IF(REGISTRY!G365="Male",REGISTRY!M365,"")</f>
        <v>محمد بن عبدالعزيز بن محمد عبدالعزيز</v>
      </c>
      <c r="C383" s="1">
        <f>IF(REGISTRY!G365="Male",REGISTRY!K365,"")</f>
        <v>7</v>
      </c>
      <c r="D383" s="1">
        <f>IF(REGISTRY!G365="Male",REGISTRY!P365,"")</f>
        <v>0</v>
      </c>
      <c r="E383" s="1" t="str">
        <f>IF(REGISTRY!G365="Male",REGISTRY!L365,"")</f>
        <v>العبدالكريم</v>
      </c>
    </row>
    <row r="384" spans="1:5" ht="15.75" customHeight="1" x14ac:dyDescent="0.2">
      <c r="A384" s="1" t="str">
        <f>IF(REGISTRY!G366="Male",REGISTRY!A366,"")</f>
        <v>P365</v>
      </c>
      <c r="B384" s="1" t="str">
        <f>IF(REGISTRY!G366="Male",REGISTRY!M366,"")</f>
        <v>ابراهيم بن عبدالعزيز بن محمد عبدالعزيز</v>
      </c>
      <c r="C384" s="1">
        <f>IF(REGISTRY!G366="Male",REGISTRY!K366,"")</f>
        <v>7</v>
      </c>
      <c r="D384" s="1">
        <f>IF(REGISTRY!G366="Male",REGISTRY!P366,"")</f>
        <v>0</v>
      </c>
      <c r="E384" s="1" t="str">
        <f>IF(REGISTRY!G366="Male",REGISTRY!L366,"")</f>
        <v>العبدالكريم</v>
      </c>
    </row>
    <row r="385" spans="1:5" ht="15.75" customHeight="1" x14ac:dyDescent="0.2">
      <c r="A385" s="1" t="str">
        <f>IF(REGISTRY!G367="Male",REGISTRY!A367,"")</f>
        <v>P366</v>
      </c>
      <c r="B385" s="1" t="str">
        <f>IF(REGISTRY!G367="Male",REGISTRY!M367,"")</f>
        <v>محمد بن سعود بن عبدالعزيز محمد</v>
      </c>
      <c r="C385" s="1">
        <f>IF(REGISTRY!G367="Male",REGISTRY!K367,"")</f>
        <v>8</v>
      </c>
      <c r="D385" s="1">
        <f>IF(REGISTRY!G367="Male",REGISTRY!P367,"")</f>
        <v>0</v>
      </c>
      <c r="E385" s="1" t="str">
        <f>IF(REGISTRY!G367="Male",REGISTRY!L367,"")</f>
        <v>العبدالكريم</v>
      </c>
    </row>
    <row r="386" spans="1:5" ht="15.75" customHeight="1" x14ac:dyDescent="0.2">
      <c r="A386" s="1" t="str">
        <f>IF(REGISTRY!G368="Male",REGISTRY!A368,"")</f>
        <v>P367</v>
      </c>
      <c r="B386" s="1" t="str">
        <f>IF(REGISTRY!G368="Male",REGISTRY!M368,"")</f>
        <v>فهد بن سعد بن محمد عبدالعزيز</v>
      </c>
      <c r="C386" s="1">
        <f>IF(REGISTRY!G368="Male",REGISTRY!K368,"")</f>
        <v>7</v>
      </c>
      <c r="D386" s="1">
        <f>IF(REGISTRY!G368="Male",REGISTRY!P368,"")</f>
        <v>0</v>
      </c>
      <c r="E386" s="1" t="str">
        <f>IF(REGISTRY!G368="Male",REGISTRY!L368,"")</f>
        <v>العبدالكريم</v>
      </c>
    </row>
    <row r="387" spans="1:5" ht="15.75" customHeight="1" x14ac:dyDescent="0.2">
      <c r="A387" s="1" t="str">
        <f>IF(REGISTRY!G369="Male",REGISTRY!A369,"")</f>
        <v>P368</v>
      </c>
      <c r="B387" s="1" t="str">
        <f>IF(REGISTRY!G369="Male",REGISTRY!M369,"")</f>
        <v>رياض بن فهد بن سعد محمد</v>
      </c>
      <c r="C387" s="1">
        <f>IF(REGISTRY!G369="Male",REGISTRY!K369,"")</f>
        <v>8</v>
      </c>
      <c r="D387" s="1">
        <f>IF(REGISTRY!G369="Male",REGISTRY!P369,"")</f>
        <v>0</v>
      </c>
      <c r="E387" s="1" t="str">
        <f>IF(REGISTRY!G369="Male",REGISTRY!L369,"")</f>
        <v>العبدالكريم</v>
      </c>
    </row>
    <row r="388" spans="1:5" ht="15.75" customHeight="1" x14ac:dyDescent="0.2">
      <c r="A388" s="1" t="str">
        <f>IF(REGISTRY!G370="Male",REGISTRY!A370,"")</f>
        <v>P369</v>
      </c>
      <c r="B388" s="1" t="str">
        <f>IF(REGISTRY!G370="Male",REGISTRY!M370,"")</f>
        <v>عادل بن فهد بن سعد محمد</v>
      </c>
      <c r="C388" s="1">
        <f>IF(REGISTRY!G370="Male",REGISTRY!K370,"")</f>
        <v>8</v>
      </c>
      <c r="D388" s="1">
        <f>IF(REGISTRY!G370="Male",REGISTRY!P370,"")</f>
        <v>0</v>
      </c>
      <c r="E388" s="1" t="str">
        <f>IF(REGISTRY!G370="Male",REGISTRY!L370,"")</f>
        <v>العبدالكريم</v>
      </c>
    </row>
    <row r="389" spans="1:5" ht="15.75" customHeight="1" x14ac:dyDescent="0.2">
      <c r="A389" s="1" t="str">
        <f>IF(REGISTRY!G371="Male",REGISTRY!A371,"")</f>
        <v>P370</v>
      </c>
      <c r="B389" s="1" t="str">
        <f>IF(REGISTRY!G371="Male",REGISTRY!M371,"")</f>
        <v>ابراهيم بن فهد بن سعد محمد</v>
      </c>
      <c r="C389" s="1">
        <f>IF(REGISTRY!G371="Male",REGISTRY!K371,"")</f>
        <v>8</v>
      </c>
      <c r="D389" s="1">
        <f>IF(REGISTRY!G371="Male",REGISTRY!P371,"")</f>
        <v>0</v>
      </c>
      <c r="E389" s="1" t="str">
        <f>IF(REGISTRY!G371="Male",REGISTRY!L371,"")</f>
        <v>العبدالكريم</v>
      </c>
    </row>
    <row r="390" spans="1:5" ht="15.75" customHeight="1" x14ac:dyDescent="0.2">
      <c r="A390" s="1" t="str">
        <f>IF(REGISTRY!G372="Male",REGISTRY!A372,"")</f>
        <v>P371</v>
      </c>
      <c r="B390" s="1" t="str">
        <f>IF(REGISTRY!G372="Male",REGISTRY!M372,"")</f>
        <v>مساعد بن سعد بن محمد عبدالعزيز</v>
      </c>
      <c r="C390" s="1">
        <f>IF(REGISTRY!G372="Male",REGISTRY!K372,"")</f>
        <v>7</v>
      </c>
      <c r="D390" s="1">
        <f>IF(REGISTRY!G372="Male",REGISTRY!P372,"")</f>
        <v>0</v>
      </c>
      <c r="E390" s="1" t="str">
        <f>IF(REGISTRY!G372="Male",REGISTRY!L372,"")</f>
        <v>العبدالكريم</v>
      </c>
    </row>
    <row r="391" spans="1:5" ht="15.75" customHeight="1" x14ac:dyDescent="0.2">
      <c r="A391" s="1" t="str">
        <f>IF(REGISTRY!G373="Male",REGISTRY!A373,"")</f>
        <v>P372</v>
      </c>
      <c r="B391" s="1" t="str">
        <f>IF(REGISTRY!G373="Male",REGISTRY!M373,"")</f>
        <v>سعود بن سعد بن محمد عبدالعزيز</v>
      </c>
      <c r="C391" s="1">
        <f>IF(REGISTRY!G373="Male",REGISTRY!K373,"")</f>
        <v>7</v>
      </c>
      <c r="D391" s="1">
        <f>IF(REGISTRY!G373="Male",REGISTRY!P373,"")</f>
        <v>0</v>
      </c>
      <c r="E391" s="1" t="str">
        <f>IF(REGISTRY!G373="Male",REGISTRY!L373,"")</f>
        <v>العبدالكريم</v>
      </c>
    </row>
    <row r="392" spans="1:5" ht="15.75" customHeight="1" x14ac:dyDescent="0.2">
      <c r="A392" s="1" t="str">
        <f>IF(REGISTRY!G374="Male",REGISTRY!A374,"")</f>
        <v>P373</v>
      </c>
      <c r="B392" s="1" t="str">
        <f>IF(REGISTRY!G374="Male",REGISTRY!M374,"")</f>
        <v>عبدالرحمن بن سعد بن محمد عبدالعزيز</v>
      </c>
      <c r="C392" s="1">
        <f>IF(REGISTRY!G374="Male",REGISTRY!K374,"")</f>
        <v>7</v>
      </c>
      <c r="D392" s="1">
        <f>IF(REGISTRY!G374="Male",REGISTRY!P374,"")</f>
        <v>0</v>
      </c>
      <c r="E392" s="1" t="str">
        <f>IF(REGISTRY!G374="Male",REGISTRY!L374,"")</f>
        <v>العبدالكريم</v>
      </c>
    </row>
    <row r="393" spans="1:5" ht="15.75" customHeight="1" x14ac:dyDescent="0.2">
      <c r="A393" s="1" t="str">
        <f>IF(REGISTRY!G375="Male",REGISTRY!A375,"")</f>
        <v>P374</v>
      </c>
      <c r="B393" s="1" t="str">
        <f>IF(REGISTRY!G375="Male",REGISTRY!M375,"")</f>
        <v>ناصر بن سعد بن محمد عبدالعزيز</v>
      </c>
      <c r="C393" s="1">
        <f>IF(REGISTRY!G375="Male",REGISTRY!K375,"")</f>
        <v>7</v>
      </c>
      <c r="D393" s="1">
        <f>IF(REGISTRY!G375="Male",REGISTRY!P375,"")</f>
        <v>0</v>
      </c>
      <c r="E393" s="1" t="str">
        <f>IF(REGISTRY!G375="Male",REGISTRY!L375,"")</f>
        <v>العبدالكريم</v>
      </c>
    </row>
    <row r="394" spans="1:5" ht="15.75" customHeight="1" x14ac:dyDescent="0.2">
      <c r="A394" s="1" t="str">
        <f>IF(REGISTRY!G376="Male",REGISTRY!A376,"")</f>
        <v>P375</v>
      </c>
      <c r="B394" s="1" t="str">
        <f>IF(REGISTRY!G376="Male",REGISTRY!M376,"")</f>
        <v>خالد بن سعد بن محمد عبدالعزيز</v>
      </c>
      <c r="C394" s="1">
        <f>IF(REGISTRY!G376="Male",REGISTRY!K376,"")</f>
        <v>7</v>
      </c>
      <c r="D394" s="1">
        <f>IF(REGISTRY!G376="Male",REGISTRY!P376,"")</f>
        <v>0</v>
      </c>
      <c r="E394" s="1" t="str">
        <f>IF(REGISTRY!G376="Male",REGISTRY!L376,"")</f>
        <v>العبدالكريم</v>
      </c>
    </row>
    <row r="395" spans="1:5" ht="15.75" customHeight="1" x14ac:dyDescent="0.2">
      <c r="A395" s="1" t="str">
        <f>IF(REGISTRY!G377="Male",REGISTRY!A377,"")</f>
        <v>P376</v>
      </c>
      <c r="B395" s="1" t="str">
        <f>IF(REGISTRY!G377="Male",REGISTRY!M377,"")</f>
        <v>فيصل بن سعد بن محمد عبدالعزيز</v>
      </c>
      <c r="C395" s="1">
        <f>IF(REGISTRY!G377="Male",REGISTRY!K377,"")</f>
        <v>7</v>
      </c>
      <c r="D395" s="1">
        <f>IF(REGISTRY!G377="Male",REGISTRY!P377,"")</f>
        <v>0</v>
      </c>
      <c r="E395" s="1" t="str">
        <f>IF(REGISTRY!G377="Male",REGISTRY!L377,"")</f>
        <v>العبدالكريم</v>
      </c>
    </row>
    <row r="396" spans="1:5" ht="15.75" customHeight="1" x14ac:dyDescent="0.2">
      <c r="A396" s="1" t="str">
        <f>IF(REGISTRY!G378="Male",REGISTRY!A378,"")</f>
        <v>P377</v>
      </c>
      <c r="B396" s="1" t="str">
        <f>IF(REGISTRY!G378="Male",REGISTRY!M378,"")</f>
        <v>ابراهيم بن سعد بن محمد عبدالعزيز</v>
      </c>
      <c r="C396" s="1">
        <f>IF(REGISTRY!G378="Male",REGISTRY!K378,"")</f>
        <v>7</v>
      </c>
      <c r="D396" s="1">
        <f>IF(REGISTRY!G378="Male",REGISTRY!P378,"")</f>
        <v>0</v>
      </c>
      <c r="E396" s="1" t="str">
        <f>IF(REGISTRY!G378="Male",REGISTRY!L378,"")</f>
        <v>العبدالكريم</v>
      </c>
    </row>
    <row r="397" spans="1:5" ht="15.75" customHeight="1" x14ac:dyDescent="0.2">
      <c r="A397" s="1" t="str">
        <f>IF(REGISTRY!G379="Male",REGISTRY!A379,"")</f>
        <v>P378</v>
      </c>
      <c r="B397" s="1" t="str">
        <f>IF(REGISTRY!G379="Male",REGISTRY!M379,"")</f>
        <v>حمد بن سعد بن محمد عبدالعزيز</v>
      </c>
      <c r="C397" s="1">
        <f>IF(REGISTRY!G379="Male",REGISTRY!K379,"")</f>
        <v>7</v>
      </c>
      <c r="D397" s="1">
        <f>IF(REGISTRY!G379="Male",REGISTRY!P379,"")</f>
        <v>0</v>
      </c>
      <c r="E397" s="1" t="str">
        <f>IF(REGISTRY!G379="Male",REGISTRY!L379,"")</f>
        <v>العبدالكريم</v>
      </c>
    </row>
    <row r="398" spans="1:5" ht="15.75" customHeight="1" x14ac:dyDescent="0.2">
      <c r="A398" s="1" t="str">
        <f>IF(REGISTRY!G380="Male",REGISTRY!A380,"")</f>
        <v>P379</v>
      </c>
      <c r="B398" s="1" t="str">
        <f>IF(REGISTRY!G380="Male",REGISTRY!M380,"")</f>
        <v>محمد بن سعد بن محمد عبدالعزيز</v>
      </c>
      <c r="C398" s="1">
        <f>IF(REGISTRY!G380="Male",REGISTRY!K380,"")</f>
        <v>7</v>
      </c>
      <c r="D398" s="1">
        <f>IF(REGISTRY!G380="Male",REGISTRY!P380,"")</f>
        <v>0</v>
      </c>
      <c r="E398" s="1" t="str">
        <f>IF(REGISTRY!G380="Male",REGISTRY!L380,"")</f>
        <v>العبدالكريم</v>
      </c>
    </row>
    <row r="399" spans="1:5" ht="15.75" customHeight="1" x14ac:dyDescent="0.2">
      <c r="A399" s="1" t="str">
        <f>IF(REGISTRY!G381="Male",REGISTRY!A381,"")</f>
        <v>P380</v>
      </c>
      <c r="B399" s="1" t="str">
        <f>IF(REGISTRY!G381="Male",REGISTRY!M381,"")</f>
        <v>بدر بن سعد بن محمد عبدالعزيز</v>
      </c>
      <c r="C399" s="1">
        <f>IF(REGISTRY!G381="Male",REGISTRY!K381,"")</f>
        <v>7</v>
      </c>
      <c r="D399" s="1">
        <f>IF(REGISTRY!G381="Male",REGISTRY!P381,"")</f>
        <v>0</v>
      </c>
      <c r="E399" s="1" t="str">
        <f>IF(REGISTRY!G381="Male",REGISTRY!L381,"")</f>
        <v>العبدالكريم</v>
      </c>
    </row>
    <row r="400" spans="1:5" ht="15.75" customHeight="1" x14ac:dyDescent="0.2">
      <c r="A400" s="1" t="str">
        <f>IF(REGISTRY!G382="Male",REGISTRY!A382,"")</f>
        <v>P381</v>
      </c>
      <c r="B400" s="1" t="str">
        <f>IF(REGISTRY!G382="Male",REGISTRY!M382,"")</f>
        <v>جهاد بن ابراهيم بن سعد محمد</v>
      </c>
      <c r="C400" s="1">
        <f>IF(REGISTRY!G382="Male",REGISTRY!K382,"")</f>
        <v>8</v>
      </c>
      <c r="D400" s="1">
        <f>IF(REGISTRY!G382="Male",REGISTRY!P382,"")</f>
        <v>0</v>
      </c>
      <c r="E400" s="1" t="str">
        <f>IF(REGISTRY!G382="Male",REGISTRY!L382,"")</f>
        <v>العبدالكريم</v>
      </c>
    </row>
    <row r="401" spans="1:5" ht="15.75" customHeight="1" x14ac:dyDescent="0.2">
      <c r="A401" s="1" t="str">
        <f>IF(REGISTRY!G383="Male",REGISTRY!A383,"")</f>
        <v>P382</v>
      </c>
      <c r="B401" s="1" t="str">
        <f>IF(REGISTRY!G383="Male",REGISTRY!M383,"")</f>
        <v>عبدالرحمن بن عبدالمحسن بن ناصر ابراهيم</v>
      </c>
      <c r="C401" s="1">
        <f>IF(REGISTRY!G383="Male",REGISTRY!K383,"")</f>
        <v>5</v>
      </c>
      <c r="D401" s="1">
        <f>IF(REGISTRY!G383="Male",REGISTRY!P383,"")</f>
        <v>0</v>
      </c>
      <c r="E401" s="1" t="str">
        <f>IF(REGISTRY!G383="Male",REGISTRY!L383,"")</f>
        <v>الابراهيم</v>
      </c>
    </row>
    <row r="402" spans="1:5" ht="15.75" customHeight="1" x14ac:dyDescent="0.2">
      <c r="A402" s="1" t="str">
        <f>IF(REGISTRY!G384="Male",REGISTRY!A384,"")</f>
        <v>P383</v>
      </c>
      <c r="B402" s="1" t="str">
        <f>IF(REGISTRY!G384="Male",REGISTRY!M384,"")</f>
        <v>فهد بن عبدالرحمن بن عبدالمحسن ناصر</v>
      </c>
      <c r="C402" s="1">
        <f>IF(REGISTRY!G384="Male",REGISTRY!K384,"")</f>
        <v>6</v>
      </c>
      <c r="D402" s="1">
        <f>IF(REGISTRY!G384="Male",REGISTRY!P384,"")</f>
        <v>0</v>
      </c>
      <c r="E402" s="1" t="str">
        <f>IF(REGISTRY!G384="Male",REGISTRY!L384,"")</f>
        <v>الابراهيم</v>
      </c>
    </row>
    <row r="403" spans="1:5" ht="15.75" customHeight="1" x14ac:dyDescent="0.2">
      <c r="A403" s="1" t="str">
        <f>IF(REGISTRY!G385="Male",REGISTRY!A385,"")</f>
        <v>P384</v>
      </c>
      <c r="B403" s="1" t="str">
        <f>IF(REGISTRY!G385="Male",REGISTRY!M385,"")</f>
        <v>صلاح بن عبدالرحمن بن عبدالمحسن ناصر</v>
      </c>
      <c r="C403" s="1">
        <f>IF(REGISTRY!G385="Male",REGISTRY!K385,"")</f>
        <v>6</v>
      </c>
      <c r="D403" s="1">
        <f>IF(REGISTRY!G385="Male",REGISTRY!P385,"")</f>
        <v>0</v>
      </c>
      <c r="E403" s="1" t="str">
        <f>IF(REGISTRY!G385="Male",REGISTRY!L385,"")</f>
        <v>الابراهيم</v>
      </c>
    </row>
    <row r="404" spans="1:5" ht="15.75" customHeight="1" x14ac:dyDescent="0.2">
      <c r="A404" s="1" t="str">
        <f>IF(REGISTRY!G386="Male",REGISTRY!A386,"")</f>
        <v>P385</v>
      </c>
      <c r="B404" s="1" t="str">
        <f>IF(REGISTRY!G386="Male",REGISTRY!M386,"")</f>
        <v>محمد بن عبدالرحمن بن عبدالمحسن ناصر</v>
      </c>
      <c r="C404" s="1">
        <f>IF(REGISTRY!G386="Male",REGISTRY!K386,"")</f>
        <v>6</v>
      </c>
      <c r="D404" s="1">
        <f>IF(REGISTRY!G386="Male",REGISTRY!P386,"")</f>
        <v>0</v>
      </c>
      <c r="E404" s="1" t="str">
        <f>IF(REGISTRY!G386="Male",REGISTRY!L386,"")</f>
        <v>الابراهيم</v>
      </c>
    </row>
    <row r="405" spans="1:5" ht="15.75" customHeight="1" x14ac:dyDescent="0.2">
      <c r="A405" s="1" t="str">
        <f>IF(REGISTRY!G387="Male",REGISTRY!A387,"")</f>
        <v>P386</v>
      </c>
      <c r="B405" s="1" t="str">
        <f>IF(REGISTRY!G387="Male",REGISTRY!M387,"")</f>
        <v>عبدالمحسن بن عبدالرحمن بن عبدالمحسن ناصر</v>
      </c>
      <c r="C405" s="1">
        <f>IF(REGISTRY!G387="Male",REGISTRY!K387,"")</f>
        <v>6</v>
      </c>
      <c r="D405" s="1">
        <f>IF(REGISTRY!G387="Male",REGISTRY!P387,"")</f>
        <v>0</v>
      </c>
      <c r="E405" s="1" t="str">
        <f>IF(REGISTRY!G387="Male",REGISTRY!L387,"")</f>
        <v>الابراهيم</v>
      </c>
    </row>
    <row r="406" spans="1:5" ht="15.75" customHeight="1" x14ac:dyDescent="0.2">
      <c r="A406" s="1" t="str">
        <f>IF(REGISTRY!G388="Male",REGISTRY!A388,"")</f>
        <v/>
      </c>
      <c r="B406" s="1" t="str">
        <f>IF(REGISTRY!G388="Male",REGISTRY!M388,"")</f>
        <v/>
      </c>
      <c r="C406" s="1" t="str">
        <f>IF(REGISTRY!G388="Male",REGISTRY!K388,"")</f>
        <v/>
      </c>
      <c r="D406" s="1" t="str">
        <f>IF(REGISTRY!G388="Male",REGISTRY!P388,"")</f>
        <v/>
      </c>
      <c r="E406" s="1" t="str">
        <f>IF(REGISTRY!G388="Male",REGISTRY!L388,"")</f>
        <v/>
      </c>
    </row>
    <row r="407" spans="1:5" ht="15.75" customHeight="1" x14ac:dyDescent="0.2">
      <c r="A407" s="1" t="str">
        <f>IF(REGISTRY!G389="Male",REGISTRY!A389,"")</f>
        <v/>
      </c>
      <c r="B407" s="1" t="str">
        <f>IF(REGISTRY!G389="Male",REGISTRY!M389,"")</f>
        <v/>
      </c>
      <c r="C407" s="1" t="str">
        <f>IF(REGISTRY!G389="Male",REGISTRY!K389,"")</f>
        <v/>
      </c>
      <c r="D407" s="1" t="str">
        <f>IF(REGISTRY!G389="Male",REGISTRY!P389,"")</f>
        <v/>
      </c>
      <c r="E407" s="1" t="str">
        <f>IF(REGISTRY!G389="Male",REGISTRY!L389,"")</f>
        <v/>
      </c>
    </row>
    <row r="408" spans="1:5" ht="15.75" customHeight="1" x14ac:dyDescent="0.2">
      <c r="A408" s="1" t="str">
        <f>IF(REGISTRY!G390="Male",REGISTRY!A390,"")</f>
        <v>P389</v>
      </c>
      <c r="B408" s="1" t="str">
        <f>IF(REGISTRY!G390="Male",REGISTRY!M390,"")</f>
        <v>ابراهيم بن فهد بن عبدالله عبدالكريم</v>
      </c>
      <c r="C408" s="1">
        <f>IF(REGISTRY!G390="Male",REGISTRY!K390,"")</f>
        <v>7</v>
      </c>
      <c r="D408" s="1">
        <f>IF(REGISTRY!G390="Male",REGISTRY!P390,"")</f>
        <v>0</v>
      </c>
      <c r="E408" s="1" t="str">
        <f>IF(REGISTRY!G390="Male",REGISTRY!L390,"")</f>
        <v>العبدالكريم</v>
      </c>
    </row>
    <row r="409" spans="1:5" ht="15.75" customHeight="1" x14ac:dyDescent="0.2">
      <c r="A409" s="1" t="e">
        <f>IF(REGISTRY!#REF!="Male",REGISTRY!#REF!,"")</f>
        <v>#REF!</v>
      </c>
      <c r="B409" s="1" t="e">
        <f>IF(REGISTRY!#REF!="Male",REGISTRY!#REF!,"")</f>
        <v>#REF!</v>
      </c>
      <c r="C409" s="1" t="e">
        <f>IF(REGISTRY!#REF!="Male",REGISTRY!#REF!,"")</f>
        <v>#REF!</v>
      </c>
      <c r="D409" s="1" t="e">
        <f>IF(REGISTRY!#REF!="Male",REGISTRY!#REF!,"")</f>
        <v>#REF!</v>
      </c>
      <c r="E409" s="1" t="e">
        <f>IF(REGISTRY!#REF!="Male",REGISTRY!#REF!,"")</f>
        <v>#REF!</v>
      </c>
    </row>
    <row r="410" spans="1:5" ht="15.75" customHeight="1" x14ac:dyDescent="0.2">
      <c r="A410" s="1" t="e">
        <f>IF(REGISTRY!#REF!="Male",REGISTRY!#REF!,"")</f>
        <v>#REF!</v>
      </c>
      <c r="B410" s="1" t="e">
        <f>IF(REGISTRY!#REF!="Male",REGISTRY!#REF!,"")</f>
        <v>#REF!</v>
      </c>
      <c r="C410" s="1" t="e">
        <f>IF(REGISTRY!#REF!="Male",REGISTRY!#REF!,"")</f>
        <v>#REF!</v>
      </c>
      <c r="D410" s="1" t="e">
        <f>IF(REGISTRY!#REF!="Male",REGISTRY!#REF!,"")</f>
        <v>#REF!</v>
      </c>
      <c r="E410" s="1" t="e">
        <f>IF(REGISTRY!#REF!="Male",REGISTRY!#REF!,"")</f>
        <v>#REF!</v>
      </c>
    </row>
    <row r="411" spans="1:5" ht="15.75" customHeight="1" x14ac:dyDescent="0.2">
      <c r="A411" s="1" t="e">
        <f>IF(REGISTRY!#REF!="Male",REGISTRY!#REF!,"")</f>
        <v>#REF!</v>
      </c>
      <c r="B411" s="1" t="e">
        <f>IF(REGISTRY!#REF!="Male",REGISTRY!#REF!,"")</f>
        <v>#REF!</v>
      </c>
      <c r="C411" s="1" t="e">
        <f>IF(REGISTRY!#REF!="Male",REGISTRY!#REF!,"")</f>
        <v>#REF!</v>
      </c>
      <c r="D411" s="1" t="e">
        <f>IF(REGISTRY!#REF!="Male",REGISTRY!#REF!,"")</f>
        <v>#REF!</v>
      </c>
      <c r="E411" s="1" t="e">
        <f>IF(REGISTRY!#REF!="Male",REGISTRY!#REF!,"")</f>
        <v>#REF!</v>
      </c>
    </row>
    <row r="412" spans="1:5" ht="15.75" customHeight="1" x14ac:dyDescent="0.2">
      <c r="A412" s="1" t="e">
        <f>IF(REGISTRY!#REF!="Male",REGISTRY!#REF!,"")</f>
        <v>#REF!</v>
      </c>
      <c r="B412" s="1" t="e">
        <f>IF(REGISTRY!#REF!="Male",REGISTRY!#REF!,"")</f>
        <v>#REF!</v>
      </c>
      <c r="C412" s="1" t="e">
        <f>IF(REGISTRY!#REF!="Male",REGISTRY!#REF!,"")</f>
        <v>#REF!</v>
      </c>
      <c r="D412" s="1" t="e">
        <f>IF(REGISTRY!#REF!="Male",REGISTRY!#REF!,"")</f>
        <v>#REF!</v>
      </c>
      <c r="E412" s="1" t="e">
        <f>IF(REGISTRY!#REF!="Male",REGISTRY!#REF!,"")</f>
        <v>#REF!</v>
      </c>
    </row>
    <row r="413" spans="1:5" ht="15.75" customHeight="1" x14ac:dyDescent="0.2">
      <c r="A413" s="1" t="e">
        <f>IF(REGISTRY!#REF!="Male",REGISTRY!#REF!,"")</f>
        <v>#REF!</v>
      </c>
      <c r="B413" s="1" t="e">
        <f>IF(REGISTRY!#REF!="Male",REGISTRY!#REF!,"")</f>
        <v>#REF!</v>
      </c>
      <c r="C413" s="1" t="e">
        <f>IF(REGISTRY!#REF!="Male",REGISTRY!#REF!,"")</f>
        <v>#REF!</v>
      </c>
      <c r="D413" s="1" t="e">
        <f>IF(REGISTRY!#REF!="Male",REGISTRY!#REF!,"")</f>
        <v>#REF!</v>
      </c>
      <c r="E413" s="1" t="e">
        <f>IF(REGISTRY!#REF!="Male",REGISTRY!#REF!,"")</f>
        <v>#REF!</v>
      </c>
    </row>
    <row r="414" spans="1:5" ht="15.75" customHeight="1" x14ac:dyDescent="0.2">
      <c r="A414" s="1" t="e">
        <f>IF(REGISTRY!#REF!="Male",REGISTRY!#REF!,"")</f>
        <v>#REF!</v>
      </c>
      <c r="B414" s="1" t="e">
        <f>IF(REGISTRY!#REF!="Male",REGISTRY!#REF!,"")</f>
        <v>#REF!</v>
      </c>
      <c r="C414" s="1" t="e">
        <f>IF(REGISTRY!#REF!="Male",REGISTRY!#REF!,"")</f>
        <v>#REF!</v>
      </c>
      <c r="D414" s="1" t="e">
        <f>IF(REGISTRY!#REF!="Male",REGISTRY!#REF!,"")</f>
        <v>#REF!</v>
      </c>
      <c r="E414" s="1" t="e">
        <f>IF(REGISTRY!#REF!="Male",REGISTRY!#REF!,"")</f>
        <v>#REF!</v>
      </c>
    </row>
    <row r="415" spans="1:5" ht="15.75" customHeight="1" x14ac:dyDescent="0.2">
      <c r="A415" s="1" t="e">
        <f>IF(REGISTRY!#REF!="Male",REGISTRY!#REF!,"")</f>
        <v>#REF!</v>
      </c>
      <c r="B415" s="1" t="e">
        <f>IF(REGISTRY!#REF!="Male",REGISTRY!#REF!,"")</f>
        <v>#REF!</v>
      </c>
      <c r="C415" s="1" t="e">
        <f>IF(REGISTRY!#REF!="Male",REGISTRY!#REF!,"")</f>
        <v>#REF!</v>
      </c>
      <c r="D415" s="1" t="e">
        <f>IF(REGISTRY!#REF!="Male",REGISTRY!#REF!,"")</f>
        <v>#REF!</v>
      </c>
      <c r="E415" s="1" t="e">
        <f>IF(REGISTRY!#REF!="Male",REGISTRY!#REF!,"")</f>
        <v>#REF!</v>
      </c>
    </row>
    <row r="416" spans="1:5" ht="15.75" customHeight="1" x14ac:dyDescent="0.2">
      <c r="A416" s="1" t="e">
        <f>IF(REGISTRY!#REF!="Male",REGISTRY!#REF!,"")</f>
        <v>#REF!</v>
      </c>
      <c r="B416" s="1" t="e">
        <f>IF(REGISTRY!#REF!="Male",REGISTRY!#REF!,"")</f>
        <v>#REF!</v>
      </c>
      <c r="C416" s="1" t="e">
        <f>IF(REGISTRY!#REF!="Male",REGISTRY!#REF!,"")</f>
        <v>#REF!</v>
      </c>
      <c r="D416" s="1" t="e">
        <f>IF(REGISTRY!#REF!="Male",REGISTRY!#REF!,"")</f>
        <v>#REF!</v>
      </c>
      <c r="E416" s="1" t="e">
        <f>IF(REGISTRY!#REF!="Male",REGISTRY!#REF!,"")</f>
        <v>#REF!</v>
      </c>
    </row>
    <row r="417" spans="1:5" ht="15.75" customHeight="1" x14ac:dyDescent="0.2">
      <c r="A417" s="1" t="e">
        <f>IF(REGISTRY!#REF!="Male",REGISTRY!#REF!,"")</f>
        <v>#REF!</v>
      </c>
      <c r="B417" s="1" t="e">
        <f>IF(REGISTRY!#REF!="Male",REGISTRY!#REF!,"")</f>
        <v>#REF!</v>
      </c>
      <c r="C417" s="1" t="e">
        <f>IF(REGISTRY!#REF!="Male",REGISTRY!#REF!,"")</f>
        <v>#REF!</v>
      </c>
      <c r="D417" s="1" t="e">
        <f>IF(REGISTRY!#REF!="Male",REGISTRY!#REF!,"")</f>
        <v>#REF!</v>
      </c>
      <c r="E417" s="1" t="e">
        <f>IF(REGISTRY!#REF!="Male",REGISTRY!#REF!,"")</f>
        <v>#REF!</v>
      </c>
    </row>
    <row r="418" spans="1:5" ht="15.75" customHeight="1" x14ac:dyDescent="0.2">
      <c r="A418" s="1" t="e">
        <f>IF(REGISTRY!#REF!="Male",REGISTRY!#REF!,"")</f>
        <v>#REF!</v>
      </c>
      <c r="B418" s="1" t="e">
        <f>IF(REGISTRY!#REF!="Male",REGISTRY!#REF!,"")</f>
        <v>#REF!</v>
      </c>
      <c r="C418" s="1" t="e">
        <f>IF(REGISTRY!#REF!="Male",REGISTRY!#REF!,"")</f>
        <v>#REF!</v>
      </c>
      <c r="D418" s="1" t="e">
        <f>IF(REGISTRY!#REF!="Male",REGISTRY!#REF!,"")</f>
        <v>#REF!</v>
      </c>
      <c r="E418" s="1" t="e">
        <f>IF(REGISTRY!#REF!="Male",REGISTRY!#REF!,"")</f>
        <v>#REF!</v>
      </c>
    </row>
    <row r="419" spans="1:5" ht="15.75" customHeight="1" x14ac:dyDescent="0.2">
      <c r="A419" s="1" t="e">
        <f>IF(REGISTRY!#REF!="Male",REGISTRY!#REF!,"")</f>
        <v>#REF!</v>
      </c>
      <c r="B419" s="1" t="e">
        <f>IF(REGISTRY!#REF!="Male",REGISTRY!#REF!,"")</f>
        <v>#REF!</v>
      </c>
      <c r="C419" s="1" t="e">
        <f>IF(REGISTRY!#REF!="Male",REGISTRY!#REF!,"")</f>
        <v>#REF!</v>
      </c>
      <c r="D419" s="1" t="e">
        <f>IF(REGISTRY!#REF!="Male",REGISTRY!#REF!,"")</f>
        <v>#REF!</v>
      </c>
      <c r="E419" s="1" t="e">
        <f>IF(REGISTRY!#REF!="Male",REGISTRY!#REF!,"")</f>
        <v>#REF!</v>
      </c>
    </row>
    <row r="420" spans="1:5" ht="15.75" customHeight="1" x14ac:dyDescent="0.2">
      <c r="A420" s="1" t="e">
        <f>IF(REGISTRY!#REF!="Male",REGISTRY!#REF!,"")</f>
        <v>#REF!</v>
      </c>
      <c r="B420" s="1" t="e">
        <f>IF(REGISTRY!#REF!="Male",REGISTRY!#REF!,"")</f>
        <v>#REF!</v>
      </c>
      <c r="C420" s="1" t="e">
        <f>IF(REGISTRY!#REF!="Male",REGISTRY!#REF!,"")</f>
        <v>#REF!</v>
      </c>
      <c r="D420" s="1" t="e">
        <f>IF(REGISTRY!#REF!="Male",REGISTRY!#REF!,"")</f>
        <v>#REF!</v>
      </c>
      <c r="E420" s="1" t="e">
        <f>IF(REGISTRY!#REF!="Male",REGISTRY!#REF!,"")</f>
        <v>#REF!</v>
      </c>
    </row>
    <row r="421" spans="1:5" ht="15.75" customHeight="1" x14ac:dyDescent="0.2">
      <c r="A421" s="1" t="e">
        <f>IF(REGISTRY!#REF!="Male",REGISTRY!#REF!,"")</f>
        <v>#REF!</v>
      </c>
      <c r="B421" s="1" t="e">
        <f>IF(REGISTRY!#REF!="Male",REGISTRY!#REF!,"")</f>
        <v>#REF!</v>
      </c>
      <c r="C421" s="1" t="e">
        <f>IF(REGISTRY!#REF!="Male",REGISTRY!#REF!,"")</f>
        <v>#REF!</v>
      </c>
      <c r="D421" s="1" t="e">
        <f>IF(REGISTRY!#REF!="Male",REGISTRY!#REF!,"")</f>
        <v>#REF!</v>
      </c>
      <c r="E421" s="1" t="e">
        <f>IF(REGISTRY!#REF!="Male",REGISTRY!#REF!,"")</f>
        <v>#REF!</v>
      </c>
    </row>
    <row r="422" spans="1:5" ht="15.75" customHeight="1" x14ac:dyDescent="0.2">
      <c r="A422" s="1" t="e">
        <f>IF(REGISTRY!#REF!="Male",REGISTRY!#REF!,"")</f>
        <v>#REF!</v>
      </c>
      <c r="B422" s="1" t="e">
        <f>IF(REGISTRY!#REF!="Male",REGISTRY!#REF!,"")</f>
        <v>#REF!</v>
      </c>
      <c r="C422" s="1" t="e">
        <f>IF(REGISTRY!#REF!="Male",REGISTRY!#REF!,"")</f>
        <v>#REF!</v>
      </c>
      <c r="D422" s="1" t="e">
        <f>IF(REGISTRY!#REF!="Male",REGISTRY!#REF!,"")</f>
        <v>#REF!</v>
      </c>
      <c r="E422" s="1" t="e">
        <f>IF(REGISTRY!#REF!="Male",REGISTRY!#REF!,"")</f>
        <v>#REF!</v>
      </c>
    </row>
    <row r="423" spans="1:5" ht="15.75" customHeight="1" x14ac:dyDescent="0.2">
      <c r="A423" s="1" t="e">
        <f>IF(REGISTRY!#REF!="Male",REGISTRY!#REF!,"")</f>
        <v>#REF!</v>
      </c>
      <c r="B423" s="1" t="e">
        <f>IF(REGISTRY!#REF!="Male",REGISTRY!#REF!,"")</f>
        <v>#REF!</v>
      </c>
      <c r="C423" s="1" t="e">
        <f>IF(REGISTRY!#REF!="Male",REGISTRY!#REF!,"")</f>
        <v>#REF!</v>
      </c>
      <c r="D423" s="1" t="e">
        <f>IF(REGISTRY!#REF!="Male",REGISTRY!#REF!,"")</f>
        <v>#REF!</v>
      </c>
      <c r="E423" s="1" t="e">
        <f>IF(REGISTRY!#REF!="Male",REGISTRY!#REF!,"")</f>
        <v>#REF!</v>
      </c>
    </row>
    <row r="424" spans="1:5" ht="15.75" customHeight="1" x14ac:dyDescent="0.2">
      <c r="A424" s="1" t="e">
        <f>IF(REGISTRY!#REF!="Male",REGISTRY!#REF!,"")</f>
        <v>#REF!</v>
      </c>
      <c r="B424" s="1" t="e">
        <f>IF(REGISTRY!#REF!="Male",REGISTRY!#REF!,"")</f>
        <v>#REF!</v>
      </c>
      <c r="C424" s="1" t="e">
        <f>IF(REGISTRY!#REF!="Male",REGISTRY!#REF!,"")</f>
        <v>#REF!</v>
      </c>
      <c r="D424" s="1" t="e">
        <f>IF(REGISTRY!#REF!="Male",REGISTRY!#REF!,"")</f>
        <v>#REF!</v>
      </c>
      <c r="E424" s="1" t="e">
        <f>IF(REGISTRY!#REF!="Male",REGISTRY!#REF!,"")</f>
        <v>#REF!</v>
      </c>
    </row>
    <row r="425" spans="1:5" ht="15.75" customHeight="1" x14ac:dyDescent="0.2">
      <c r="A425" s="1" t="e">
        <f>IF(REGISTRY!#REF!="Male",REGISTRY!#REF!,"")</f>
        <v>#REF!</v>
      </c>
      <c r="B425" s="1" t="e">
        <f>IF(REGISTRY!#REF!="Male",REGISTRY!#REF!,"")</f>
        <v>#REF!</v>
      </c>
      <c r="C425" s="1" t="e">
        <f>IF(REGISTRY!#REF!="Male",REGISTRY!#REF!,"")</f>
        <v>#REF!</v>
      </c>
      <c r="D425" s="1" t="e">
        <f>IF(REGISTRY!#REF!="Male",REGISTRY!#REF!,"")</f>
        <v>#REF!</v>
      </c>
      <c r="E425" s="1" t="e">
        <f>IF(REGISTRY!#REF!="Male",REGISTRY!#REF!,"")</f>
        <v>#REF!</v>
      </c>
    </row>
    <row r="426" spans="1:5" ht="15.75" customHeight="1" x14ac:dyDescent="0.2">
      <c r="A426" s="1" t="e">
        <f>IF(REGISTRY!#REF!="Male",REGISTRY!#REF!,"")</f>
        <v>#REF!</v>
      </c>
      <c r="B426" s="1" t="e">
        <f>IF(REGISTRY!#REF!="Male",REGISTRY!#REF!,"")</f>
        <v>#REF!</v>
      </c>
      <c r="C426" s="1" t="e">
        <f>IF(REGISTRY!#REF!="Male",REGISTRY!#REF!,"")</f>
        <v>#REF!</v>
      </c>
      <c r="D426" s="1" t="e">
        <f>IF(REGISTRY!#REF!="Male",REGISTRY!#REF!,"")</f>
        <v>#REF!</v>
      </c>
      <c r="E426" s="1" t="e">
        <f>IF(REGISTRY!#REF!="Male",REGISTRY!#REF!,"")</f>
        <v>#REF!</v>
      </c>
    </row>
    <row r="427" spans="1:5" ht="15.75" customHeight="1" x14ac:dyDescent="0.2">
      <c r="A427" s="1" t="e">
        <f>IF(REGISTRY!#REF!="Male",REGISTRY!#REF!,"")</f>
        <v>#REF!</v>
      </c>
      <c r="B427" s="1" t="e">
        <f>IF(REGISTRY!#REF!="Male",REGISTRY!#REF!,"")</f>
        <v>#REF!</v>
      </c>
      <c r="C427" s="1" t="e">
        <f>IF(REGISTRY!#REF!="Male",REGISTRY!#REF!,"")</f>
        <v>#REF!</v>
      </c>
      <c r="D427" s="1" t="e">
        <f>IF(REGISTRY!#REF!="Male",REGISTRY!#REF!,"")</f>
        <v>#REF!</v>
      </c>
      <c r="E427" s="1" t="e">
        <f>IF(REGISTRY!#REF!="Male",REGISTRY!#REF!,"")</f>
        <v>#REF!</v>
      </c>
    </row>
    <row r="428" spans="1:5" ht="15.75" customHeight="1" x14ac:dyDescent="0.2">
      <c r="A428" s="1" t="e">
        <f>IF(REGISTRY!#REF!="Male",REGISTRY!#REF!,"")</f>
        <v>#REF!</v>
      </c>
      <c r="B428" s="1" t="e">
        <f>IF(REGISTRY!#REF!="Male",REGISTRY!#REF!,"")</f>
        <v>#REF!</v>
      </c>
      <c r="C428" s="1" t="e">
        <f>IF(REGISTRY!#REF!="Male",REGISTRY!#REF!,"")</f>
        <v>#REF!</v>
      </c>
      <c r="D428" s="1" t="e">
        <f>IF(REGISTRY!#REF!="Male",REGISTRY!#REF!,"")</f>
        <v>#REF!</v>
      </c>
      <c r="E428" s="1" t="e">
        <f>IF(REGISTRY!#REF!="Male",REGISTRY!#REF!,"")</f>
        <v>#REF!</v>
      </c>
    </row>
    <row r="429" spans="1:5" ht="15.75" customHeight="1" x14ac:dyDescent="0.2">
      <c r="A429" s="1" t="e">
        <f>IF(REGISTRY!#REF!="Male",REGISTRY!#REF!,"")</f>
        <v>#REF!</v>
      </c>
      <c r="B429" s="1" t="e">
        <f>IF(REGISTRY!#REF!="Male",REGISTRY!#REF!,"")</f>
        <v>#REF!</v>
      </c>
      <c r="C429" s="1" t="e">
        <f>IF(REGISTRY!#REF!="Male",REGISTRY!#REF!,"")</f>
        <v>#REF!</v>
      </c>
      <c r="D429" s="1" t="e">
        <f>IF(REGISTRY!#REF!="Male",REGISTRY!#REF!,"")</f>
        <v>#REF!</v>
      </c>
      <c r="E429" s="1" t="e">
        <f>IF(REGISTRY!#REF!="Male",REGISTRY!#REF!,"")</f>
        <v>#REF!</v>
      </c>
    </row>
    <row r="430" spans="1:5" ht="15.75" customHeight="1" x14ac:dyDescent="0.2">
      <c r="A430" s="1" t="e">
        <f>IF(REGISTRY!#REF!="Male",REGISTRY!#REF!,"")</f>
        <v>#REF!</v>
      </c>
      <c r="B430" s="1" t="e">
        <f>IF(REGISTRY!#REF!="Male",REGISTRY!#REF!,"")</f>
        <v>#REF!</v>
      </c>
      <c r="C430" s="1" t="e">
        <f>IF(REGISTRY!#REF!="Male",REGISTRY!#REF!,"")</f>
        <v>#REF!</v>
      </c>
      <c r="D430" s="1" t="e">
        <f>IF(REGISTRY!#REF!="Male",REGISTRY!#REF!,"")</f>
        <v>#REF!</v>
      </c>
      <c r="E430" s="1" t="e">
        <f>IF(REGISTRY!#REF!="Male",REGISTRY!#REF!,"")</f>
        <v>#REF!</v>
      </c>
    </row>
    <row r="431" spans="1:5" ht="15.75" customHeight="1" x14ac:dyDescent="0.2">
      <c r="A431" s="1" t="e">
        <f>IF(REGISTRY!#REF!="Male",REGISTRY!#REF!,"")</f>
        <v>#REF!</v>
      </c>
      <c r="B431" s="1" t="e">
        <f>IF(REGISTRY!#REF!="Male",REGISTRY!#REF!,"")</f>
        <v>#REF!</v>
      </c>
      <c r="C431" s="1" t="e">
        <f>IF(REGISTRY!#REF!="Male",REGISTRY!#REF!,"")</f>
        <v>#REF!</v>
      </c>
      <c r="D431" s="1" t="e">
        <f>IF(REGISTRY!#REF!="Male",REGISTRY!#REF!,"")</f>
        <v>#REF!</v>
      </c>
      <c r="E431" s="1" t="e">
        <f>IF(REGISTRY!#REF!="Male",REGISTRY!#REF!,"")</f>
        <v>#REF!</v>
      </c>
    </row>
    <row r="432" spans="1:5" ht="15.75" customHeight="1" x14ac:dyDescent="0.2">
      <c r="A432" s="1" t="e">
        <f>IF(REGISTRY!#REF!="Male",REGISTRY!#REF!,"")</f>
        <v>#REF!</v>
      </c>
      <c r="B432" s="1" t="e">
        <f>IF(REGISTRY!#REF!="Male",REGISTRY!#REF!,"")</f>
        <v>#REF!</v>
      </c>
      <c r="C432" s="1" t="e">
        <f>IF(REGISTRY!#REF!="Male",REGISTRY!#REF!,"")</f>
        <v>#REF!</v>
      </c>
      <c r="D432" s="1" t="e">
        <f>IF(REGISTRY!#REF!="Male",REGISTRY!#REF!,"")</f>
        <v>#REF!</v>
      </c>
      <c r="E432" s="1" t="e">
        <f>IF(REGISTRY!#REF!="Male",REGISTRY!#REF!,"")</f>
        <v>#REF!</v>
      </c>
    </row>
    <row r="433" spans="1:5" ht="15.75" customHeight="1" x14ac:dyDescent="0.2">
      <c r="A433" s="1" t="e">
        <f>IF(REGISTRY!#REF!="Male",REGISTRY!#REF!,"")</f>
        <v>#REF!</v>
      </c>
      <c r="B433" s="1" t="e">
        <f>IF(REGISTRY!#REF!="Male",REGISTRY!#REF!,"")</f>
        <v>#REF!</v>
      </c>
      <c r="C433" s="1" t="e">
        <f>IF(REGISTRY!#REF!="Male",REGISTRY!#REF!,"")</f>
        <v>#REF!</v>
      </c>
      <c r="D433" s="1" t="e">
        <f>IF(REGISTRY!#REF!="Male",REGISTRY!#REF!,"")</f>
        <v>#REF!</v>
      </c>
      <c r="E433" s="1" t="e">
        <f>IF(REGISTRY!#REF!="Male",REGISTRY!#REF!,"")</f>
        <v>#REF!</v>
      </c>
    </row>
    <row r="434" spans="1:5" ht="15.75" customHeight="1" x14ac:dyDescent="0.2">
      <c r="A434" s="1" t="e">
        <f>IF(REGISTRY!#REF!="Male",REGISTRY!#REF!,"")</f>
        <v>#REF!</v>
      </c>
      <c r="B434" s="1" t="e">
        <f>IF(REGISTRY!#REF!="Male",REGISTRY!#REF!,"")</f>
        <v>#REF!</v>
      </c>
      <c r="C434" s="1" t="e">
        <f>IF(REGISTRY!#REF!="Male",REGISTRY!#REF!,"")</f>
        <v>#REF!</v>
      </c>
      <c r="D434" s="1" t="e">
        <f>IF(REGISTRY!#REF!="Male",REGISTRY!#REF!,"")</f>
        <v>#REF!</v>
      </c>
      <c r="E434" s="1" t="e">
        <f>IF(REGISTRY!#REF!="Male",REGISTRY!#REF!,"")</f>
        <v>#REF!</v>
      </c>
    </row>
    <row r="435" spans="1:5" ht="15.75" customHeight="1" x14ac:dyDescent="0.2">
      <c r="A435" s="1" t="e">
        <f>IF(REGISTRY!#REF!="Male",REGISTRY!#REF!,"")</f>
        <v>#REF!</v>
      </c>
      <c r="B435" s="1" t="e">
        <f>IF(REGISTRY!#REF!="Male",REGISTRY!#REF!,"")</f>
        <v>#REF!</v>
      </c>
      <c r="C435" s="1" t="e">
        <f>IF(REGISTRY!#REF!="Male",REGISTRY!#REF!,"")</f>
        <v>#REF!</v>
      </c>
      <c r="D435" s="1" t="e">
        <f>IF(REGISTRY!#REF!="Male",REGISTRY!#REF!,"")</f>
        <v>#REF!</v>
      </c>
      <c r="E435" s="1" t="e">
        <f>IF(REGISTRY!#REF!="Male",REGISTRY!#REF!,"")</f>
        <v>#REF!</v>
      </c>
    </row>
    <row r="436" spans="1:5" ht="15.75" customHeight="1" x14ac:dyDescent="0.2">
      <c r="A436" s="1" t="e">
        <f>IF(REGISTRY!#REF!="Male",REGISTRY!#REF!,"")</f>
        <v>#REF!</v>
      </c>
      <c r="B436" s="1" t="e">
        <f>IF(REGISTRY!#REF!="Male",REGISTRY!#REF!,"")</f>
        <v>#REF!</v>
      </c>
      <c r="C436" s="1" t="e">
        <f>IF(REGISTRY!#REF!="Male",REGISTRY!#REF!,"")</f>
        <v>#REF!</v>
      </c>
      <c r="D436" s="1" t="e">
        <f>IF(REGISTRY!#REF!="Male",REGISTRY!#REF!,"")</f>
        <v>#REF!</v>
      </c>
      <c r="E436" s="1" t="e">
        <f>IF(REGISTRY!#REF!="Male",REGISTRY!#REF!,"")</f>
        <v>#REF!</v>
      </c>
    </row>
    <row r="437" spans="1:5" ht="15.75" customHeight="1" x14ac:dyDescent="0.2">
      <c r="A437" s="1" t="e">
        <f>IF(REGISTRY!#REF!="Male",REGISTRY!#REF!,"")</f>
        <v>#REF!</v>
      </c>
      <c r="B437" s="1" t="e">
        <f>IF(REGISTRY!#REF!="Male",REGISTRY!#REF!,"")</f>
        <v>#REF!</v>
      </c>
      <c r="C437" s="1" t="e">
        <f>IF(REGISTRY!#REF!="Male",REGISTRY!#REF!,"")</f>
        <v>#REF!</v>
      </c>
      <c r="D437" s="1" t="e">
        <f>IF(REGISTRY!#REF!="Male",REGISTRY!#REF!,"")</f>
        <v>#REF!</v>
      </c>
      <c r="E437" s="1" t="e">
        <f>IF(REGISTRY!#REF!="Male",REGISTRY!#REF!,"")</f>
        <v>#REF!</v>
      </c>
    </row>
    <row r="438" spans="1:5" ht="15.75" customHeight="1" x14ac:dyDescent="0.2">
      <c r="A438" s="1" t="e">
        <f>IF(REGISTRY!#REF!="Male",REGISTRY!#REF!,"")</f>
        <v>#REF!</v>
      </c>
      <c r="B438" s="1" t="e">
        <f>IF(REGISTRY!#REF!="Male",REGISTRY!#REF!,"")</f>
        <v>#REF!</v>
      </c>
      <c r="C438" s="1" t="e">
        <f>IF(REGISTRY!#REF!="Male",REGISTRY!#REF!,"")</f>
        <v>#REF!</v>
      </c>
      <c r="D438" s="1" t="e">
        <f>IF(REGISTRY!#REF!="Male",REGISTRY!#REF!,"")</f>
        <v>#REF!</v>
      </c>
      <c r="E438" s="1" t="e">
        <f>IF(REGISTRY!#REF!="Male",REGISTRY!#REF!,"")</f>
        <v>#REF!</v>
      </c>
    </row>
    <row r="439" spans="1:5" ht="15.75" customHeight="1" x14ac:dyDescent="0.2">
      <c r="A439" s="1" t="e">
        <f>IF(REGISTRY!#REF!="Male",REGISTRY!#REF!,"")</f>
        <v>#REF!</v>
      </c>
      <c r="B439" s="1" t="e">
        <f>IF(REGISTRY!#REF!="Male",REGISTRY!#REF!,"")</f>
        <v>#REF!</v>
      </c>
      <c r="C439" s="1" t="e">
        <f>IF(REGISTRY!#REF!="Male",REGISTRY!#REF!,"")</f>
        <v>#REF!</v>
      </c>
      <c r="D439" s="1" t="e">
        <f>IF(REGISTRY!#REF!="Male",REGISTRY!#REF!,"")</f>
        <v>#REF!</v>
      </c>
      <c r="E439" s="1" t="e">
        <f>IF(REGISTRY!#REF!="Male",REGISTRY!#REF!,"")</f>
        <v>#REF!</v>
      </c>
    </row>
    <row r="440" spans="1:5" ht="15.75" customHeight="1" x14ac:dyDescent="0.2">
      <c r="A440" s="1" t="e">
        <f>IF(REGISTRY!#REF!="Male",REGISTRY!#REF!,"")</f>
        <v>#REF!</v>
      </c>
      <c r="B440" s="1" t="e">
        <f>IF(REGISTRY!#REF!="Male",REGISTRY!#REF!,"")</f>
        <v>#REF!</v>
      </c>
      <c r="C440" s="1" t="e">
        <f>IF(REGISTRY!#REF!="Male",REGISTRY!#REF!,"")</f>
        <v>#REF!</v>
      </c>
      <c r="D440" s="1" t="e">
        <f>IF(REGISTRY!#REF!="Male",REGISTRY!#REF!,"")</f>
        <v>#REF!</v>
      </c>
      <c r="E440" s="1" t="e">
        <f>IF(REGISTRY!#REF!="Male",REGISTRY!#REF!,"")</f>
        <v>#REF!</v>
      </c>
    </row>
    <row r="441" spans="1:5" ht="15.75" customHeight="1" x14ac:dyDescent="0.2">
      <c r="A441" s="1" t="e">
        <f>IF(REGISTRY!#REF!="Male",REGISTRY!#REF!,"")</f>
        <v>#REF!</v>
      </c>
      <c r="B441" s="1" t="e">
        <f>IF(REGISTRY!#REF!="Male",REGISTRY!#REF!,"")</f>
        <v>#REF!</v>
      </c>
      <c r="C441" s="1" t="e">
        <f>IF(REGISTRY!#REF!="Male",REGISTRY!#REF!,"")</f>
        <v>#REF!</v>
      </c>
      <c r="D441" s="1" t="e">
        <f>IF(REGISTRY!#REF!="Male",REGISTRY!#REF!,"")</f>
        <v>#REF!</v>
      </c>
      <c r="E441" s="1" t="e">
        <f>IF(REGISTRY!#REF!="Male",REGISTRY!#REF!,"")</f>
        <v>#REF!</v>
      </c>
    </row>
    <row r="442" spans="1:5" ht="15.75" customHeight="1" x14ac:dyDescent="0.2">
      <c r="A442" s="1" t="e">
        <f>IF(REGISTRY!#REF!="Male",REGISTRY!#REF!,"")</f>
        <v>#REF!</v>
      </c>
      <c r="B442" s="1" t="e">
        <f>IF(REGISTRY!#REF!="Male",REGISTRY!#REF!,"")</f>
        <v>#REF!</v>
      </c>
      <c r="C442" s="1" t="e">
        <f>IF(REGISTRY!#REF!="Male",REGISTRY!#REF!,"")</f>
        <v>#REF!</v>
      </c>
      <c r="D442" s="1" t="e">
        <f>IF(REGISTRY!#REF!="Male",REGISTRY!#REF!,"")</f>
        <v>#REF!</v>
      </c>
      <c r="E442" s="1" t="e">
        <f>IF(REGISTRY!#REF!="Male",REGISTRY!#REF!,"")</f>
        <v>#REF!</v>
      </c>
    </row>
    <row r="443" spans="1:5" ht="15.75" customHeight="1" x14ac:dyDescent="0.2">
      <c r="A443" s="1" t="e">
        <f>IF(REGISTRY!#REF!="Male",REGISTRY!#REF!,"")</f>
        <v>#REF!</v>
      </c>
      <c r="B443" s="1" t="e">
        <f>IF(REGISTRY!#REF!="Male",REGISTRY!#REF!,"")</f>
        <v>#REF!</v>
      </c>
      <c r="C443" s="1" t="e">
        <f>IF(REGISTRY!#REF!="Male",REGISTRY!#REF!,"")</f>
        <v>#REF!</v>
      </c>
      <c r="D443" s="1" t="e">
        <f>IF(REGISTRY!#REF!="Male",REGISTRY!#REF!,"")</f>
        <v>#REF!</v>
      </c>
      <c r="E443" s="1" t="e">
        <f>IF(REGISTRY!#REF!="Male",REGISTRY!#REF!,"")</f>
        <v>#REF!</v>
      </c>
    </row>
    <row r="444" spans="1:5" ht="15.75" customHeight="1" x14ac:dyDescent="0.2">
      <c r="A444" s="1" t="e">
        <f>IF(REGISTRY!#REF!="Male",REGISTRY!#REF!,"")</f>
        <v>#REF!</v>
      </c>
      <c r="B444" s="1" t="e">
        <f>IF(REGISTRY!#REF!="Male",REGISTRY!#REF!,"")</f>
        <v>#REF!</v>
      </c>
      <c r="C444" s="1" t="e">
        <f>IF(REGISTRY!#REF!="Male",REGISTRY!#REF!,"")</f>
        <v>#REF!</v>
      </c>
      <c r="D444" s="1" t="e">
        <f>IF(REGISTRY!#REF!="Male",REGISTRY!#REF!,"")</f>
        <v>#REF!</v>
      </c>
      <c r="E444" s="1" t="e">
        <f>IF(REGISTRY!#REF!="Male",REGISTRY!#REF!,"")</f>
        <v>#REF!</v>
      </c>
    </row>
    <row r="445" spans="1:5" ht="15.75" customHeight="1" x14ac:dyDescent="0.2">
      <c r="A445" s="1" t="e">
        <f>IF(REGISTRY!#REF!="Male",REGISTRY!#REF!,"")</f>
        <v>#REF!</v>
      </c>
      <c r="B445" s="1" t="e">
        <f>IF(REGISTRY!#REF!="Male",REGISTRY!#REF!,"")</f>
        <v>#REF!</v>
      </c>
      <c r="C445" s="1" t="e">
        <f>IF(REGISTRY!#REF!="Male",REGISTRY!#REF!,"")</f>
        <v>#REF!</v>
      </c>
      <c r="D445" s="1" t="e">
        <f>IF(REGISTRY!#REF!="Male",REGISTRY!#REF!,"")</f>
        <v>#REF!</v>
      </c>
      <c r="E445" s="1" t="e">
        <f>IF(REGISTRY!#REF!="Male",REGISTRY!#REF!,"")</f>
        <v>#REF!</v>
      </c>
    </row>
    <row r="446" spans="1:5" ht="15.75" customHeight="1" x14ac:dyDescent="0.2">
      <c r="A446" s="1" t="e">
        <f>IF(REGISTRY!#REF!="Male",REGISTRY!#REF!,"")</f>
        <v>#REF!</v>
      </c>
      <c r="B446" s="1" t="e">
        <f>IF(REGISTRY!#REF!="Male",REGISTRY!#REF!,"")</f>
        <v>#REF!</v>
      </c>
      <c r="C446" s="1" t="e">
        <f>IF(REGISTRY!#REF!="Male",REGISTRY!#REF!,"")</f>
        <v>#REF!</v>
      </c>
      <c r="D446" s="1" t="e">
        <f>IF(REGISTRY!#REF!="Male",REGISTRY!#REF!,"")</f>
        <v>#REF!</v>
      </c>
      <c r="E446" s="1" t="e">
        <f>IF(REGISTRY!#REF!="Male",REGISTRY!#REF!,"")</f>
        <v>#REF!</v>
      </c>
    </row>
    <row r="447" spans="1:5" ht="15.75" customHeight="1" x14ac:dyDescent="0.2">
      <c r="A447" s="1" t="e">
        <f>IF(REGISTRY!#REF!="Male",REGISTRY!#REF!,"")</f>
        <v>#REF!</v>
      </c>
      <c r="B447" s="1" t="e">
        <f>IF(REGISTRY!#REF!="Male",REGISTRY!#REF!,"")</f>
        <v>#REF!</v>
      </c>
      <c r="C447" s="1" t="e">
        <f>IF(REGISTRY!#REF!="Male",REGISTRY!#REF!,"")</f>
        <v>#REF!</v>
      </c>
      <c r="D447" s="1" t="e">
        <f>IF(REGISTRY!#REF!="Male",REGISTRY!#REF!,"")</f>
        <v>#REF!</v>
      </c>
      <c r="E447" s="1" t="e">
        <f>IF(REGISTRY!#REF!="Male",REGISTRY!#REF!,"")</f>
        <v>#REF!</v>
      </c>
    </row>
    <row r="448" spans="1:5" ht="15.75" customHeight="1" x14ac:dyDescent="0.2">
      <c r="A448" s="1" t="e">
        <f>IF(REGISTRY!#REF!="Male",REGISTRY!#REF!,"")</f>
        <v>#REF!</v>
      </c>
      <c r="B448" s="1" t="e">
        <f>IF(REGISTRY!#REF!="Male",REGISTRY!#REF!,"")</f>
        <v>#REF!</v>
      </c>
      <c r="C448" s="1" t="e">
        <f>IF(REGISTRY!#REF!="Male",REGISTRY!#REF!,"")</f>
        <v>#REF!</v>
      </c>
      <c r="D448" s="1" t="e">
        <f>IF(REGISTRY!#REF!="Male",REGISTRY!#REF!,"")</f>
        <v>#REF!</v>
      </c>
      <c r="E448" s="1" t="e">
        <f>IF(REGISTRY!#REF!="Male",REGISTRY!#REF!,"")</f>
        <v>#REF!</v>
      </c>
    </row>
    <row r="449" spans="1:5" ht="15.75" customHeight="1" x14ac:dyDescent="0.2">
      <c r="A449" s="1" t="e">
        <f>IF(REGISTRY!#REF!="Male",REGISTRY!#REF!,"")</f>
        <v>#REF!</v>
      </c>
      <c r="B449" s="1" t="e">
        <f>IF(REGISTRY!#REF!="Male",REGISTRY!#REF!,"")</f>
        <v>#REF!</v>
      </c>
      <c r="C449" s="1" t="e">
        <f>IF(REGISTRY!#REF!="Male",REGISTRY!#REF!,"")</f>
        <v>#REF!</v>
      </c>
      <c r="D449" s="1" t="e">
        <f>IF(REGISTRY!#REF!="Male",REGISTRY!#REF!,"")</f>
        <v>#REF!</v>
      </c>
      <c r="E449" s="1" t="e">
        <f>IF(REGISTRY!#REF!="Male",REGISTRY!#REF!,"")</f>
        <v>#REF!</v>
      </c>
    </row>
    <row r="450" spans="1:5" ht="15.75" customHeight="1" x14ac:dyDescent="0.2">
      <c r="A450" s="1" t="e">
        <f>IF(REGISTRY!#REF!="Male",REGISTRY!#REF!,"")</f>
        <v>#REF!</v>
      </c>
      <c r="B450" s="1" t="e">
        <f>IF(REGISTRY!#REF!="Male",REGISTRY!#REF!,"")</f>
        <v>#REF!</v>
      </c>
      <c r="C450" s="1" t="e">
        <f>IF(REGISTRY!#REF!="Male",REGISTRY!#REF!,"")</f>
        <v>#REF!</v>
      </c>
      <c r="D450" s="1" t="e">
        <f>IF(REGISTRY!#REF!="Male",REGISTRY!#REF!,"")</f>
        <v>#REF!</v>
      </c>
      <c r="E450" s="1" t="e">
        <f>IF(REGISTRY!#REF!="Male",REGISTRY!#REF!,"")</f>
        <v>#REF!</v>
      </c>
    </row>
    <row r="451" spans="1:5" ht="15.75" customHeight="1" x14ac:dyDescent="0.2">
      <c r="A451" s="1" t="e">
        <f>IF(REGISTRY!#REF!="Male",REGISTRY!#REF!,"")</f>
        <v>#REF!</v>
      </c>
      <c r="B451" s="1" t="e">
        <f>IF(REGISTRY!#REF!="Male",REGISTRY!#REF!,"")</f>
        <v>#REF!</v>
      </c>
      <c r="C451" s="1" t="e">
        <f>IF(REGISTRY!#REF!="Male",REGISTRY!#REF!,"")</f>
        <v>#REF!</v>
      </c>
      <c r="D451" s="1" t="e">
        <f>IF(REGISTRY!#REF!="Male",REGISTRY!#REF!,"")</f>
        <v>#REF!</v>
      </c>
      <c r="E451" s="1" t="e">
        <f>IF(REGISTRY!#REF!="Male",REGISTRY!#REF!,"")</f>
        <v>#REF!</v>
      </c>
    </row>
    <row r="452" spans="1:5" ht="15.75" customHeight="1" x14ac:dyDescent="0.2">
      <c r="A452" s="1" t="e">
        <f>IF(REGISTRY!#REF!="Male",REGISTRY!#REF!,"")</f>
        <v>#REF!</v>
      </c>
      <c r="B452" s="1" t="e">
        <f>IF(REGISTRY!#REF!="Male",REGISTRY!#REF!,"")</f>
        <v>#REF!</v>
      </c>
      <c r="C452" s="1" t="e">
        <f>IF(REGISTRY!#REF!="Male",REGISTRY!#REF!,"")</f>
        <v>#REF!</v>
      </c>
      <c r="D452" s="1" t="e">
        <f>IF(REGISTRY!#REF!="Male",REGISTRY!#REF!,"")</f>
        <v>#REF!</v>
      </c>
      <c r="E452" s="1" t="e">
        <f>IF(REGISTRY!#REF!="Male",REGISTRY!#REF!,"")</f>
        <v>#REF!</v>
      </c>
    </row>
    <row r="453" spans="1:5" ht="15.75" customHeight="1" x14ac:dyDescent="0.2">
      <c r="A453" s="1" t="e">
        <f>IF(REGISTRY!#REF!="Male",REGISTRY!#REF!,"")</f>
        <v>#REF!</v>
      </c>
      <c r="B453" s="1" t="e">
        <f>IF(REGISTRY!#REF!="Male",REGISTRY!#REF!,"")</f>
        <v>#REF!</v>
      </c>
      <c r="C453" s="1" t="e">
        <f>IF(REGISTRY!#REF!="Male",REGISTRY!#REF!,"")</f>
        <v>#REF!</v>
      </c>
      <c r="D453" s="1" t="e">
        <f>IF(REGISTRY!#REF!="Male",REGISTRY!#REF!,"")</f>
        <v>#REF!</v>
      </c>
      <c r="E453" s="1" t="e">
        <f>IF(REGISTRY!#REF!="Male",REGISTRY!#REF!,"")</f>
        <v>#REF!</v>
      </c>
    </row>
    <row r="454" spans="1:5" ht="15.75" customHeight="1" x14ac:dyDescent="0.2">
      <c r="A454" s="1" t="e">
        <f>IF(REGISTRY!#REF!="Male",REGISTRY!#REF!,"")</f>
        <v>#REF!</v>
      </c>
      <c r="B454" s="1" t="e">
        <f>IF(REGISTRY!#REF!="Male",REGISTRY!#REF!,"")</f>
        <v>#REF!</v>
      </c>
      <c r="C454" s="1" t="e">
        <f>IF(REGISTRY!#REF!="Male",REGISTRY!#REF!,"")</f>
        <v>#REF!</v>
      </c>
      <c r="D454" s="1" t="e">
        <f>IF(REGISTRY!#REF!="Male",REGISTRY!#REF!,"")</f>
        <v>#REF!</v>
      </c>
      <c r="E454" s="1" t="e">
        <f>IF(REGISTRY!#REF!="Male",REGISTRY!#REF!,"")</f>
        <v>#REF!</v>
      </c>
    </row>
    <row r="455" spans="1:5" ht="15.75" customHeight="1" x14ac:dyDescent="0.2">
      <c r="A455" s="1" t="e">
        <f>IF(REGISTRY!#REF!="Male",REGISTRY!#REF!,"")</f>
        <v>#REF!</v>
      </c>
      <c r="B455" s="1" t="e">
        <f>IF(REGISTRY!#REF!="Male",REGISTRY!#REF!,"")</f>
        <v>#REF!</v>
      </c>
      <c r="C455" s="1" t="e">
        <f>IF(REGISTRY!#REF!="Male",REGISTRY!#REF!,"")</f>
        <v>#REF!</v>
      </c>
      <c r="D455" s="1" t="e">
        <f>IF(REGISTRY!#REF!="Male",REGISTRY!#REF!,"")</f>
        <v>#REF!</v>
      </c>
      <c r="E455" s="1" t="e">
        <f>IF(REGISTRY!#REF!="Male",REGISTRY!#REF!,"")</f>
        <v>#REF!</v>
      </c>
    </row>
    <row r="456" spans="1:5" ht="15.75" customHeight="1" x14ac:dyDescent="0.2">
      <c r="A456" s="1" t="e">
        <f>IF(REGISTRY!#REF!="Male",REGISTRY!#REF!,"")</f>
        <v>#REF!</v>
      </c>
      <c r="B456" s="1" t="e">
        <f>IF(REGISTRY!#REF!="Male",REGISTRY!#REF!,"")</f>
        <v>#REF!</v>
      </c>
      <c r="C456" s="1" t="e">
        <f>IF(REGISTRY!#REF!="Male",REGISTRY!#REF!,"")</f>
        <v>#REF!</v>
      </c>
      <c r="D456" s="1" t="e">
        <f>IF(REGISTRY!#REF!="Male",REGISTRY!#REF!,"")</f>
        <v>#REF!</v>
      </c>
      <c r="E456" s="1" t="e">
        <f>IF(REGISTRY!#REF!="Male",REGISTRY!#REF!,"")</f>
        <v>#REF!</v>
      </c>
    </row>
    <row r="457" spans="1:5" ht="15.75" customHeight="1" x14ac:dyDescent="0.2">
      <c r="A457" s="1" t="e">
        <f>IF(REGISTRY!#REF!="Male",REGISTRY!#REF!,"")</f>
        <v>#REF!</v>
      </c>
      <c r="B457" s="1" t="e">
        <f>IF(REGISTRY!#REF!="Male",REGISTRY!#REF!,"")</f>
        <v>#REF!</v>
      </c>
      <c r="C457" s="1" t="e">
        <f>IF(REGISTRY!#REF!="Male",REGISTRY!#REF!,"")</f>
        <v>#REF!</v>
      </c>
      <c r="D457" s="1" t="e">
        <f>IF(REGISTRY!#REF!="Male",REGISTRY!#REF!,"")</f>
        <v>#REF!</v>
      </c>
      <c r="E457" s="1" t="e">
        <f>IF(REGISTRY!#REF!="Male",REGISTRY!#REF!,"")</f>
        <v>#REF!</v>
      </c>
    </row>
    <row r="458" spans="1:5" ht="15.75" customHeight="1" x14ac:dyDescent="0.2">
      <c r="A458" s="1" t="e">
        <f>IF(REGISTRY!#REF!="Male",REGISTRY!#REF!,"")</f>
        <v>#REF!</v>
      </c>
      <c r="B458" s="1" t="e">
        <f>IF(REGISTRY!#REF!="Male",REGISTRY!#REF!,"")</f>
        <v>#REF!</v>
      </c>
      <c r="C458" s="1" t="e">
        <f>IF(REGISTRY!#REF!="Male",REGISTRY!#REF!,"")</f>
        <v>#REF!</v>
      </c>
      <c r="D458" s="1" t="e">
        <f>IF(REGISTRY!#REF!="Male",REGISTRY!#REF!,"")</f>
        <v>#REF!</v>
      </c>
      <c r="E458" s="1" t="e">
        <f>IF(REGISTRY!#REF!="Male",REGISTRY!#REF!,"")</f>
        <v>#REF!</v>
      </c>
    </row>
    <row r="459" spans="1:5" ht="15.75" customHeight="1" x14ac:dyDescent="0.2">
      <c r="A459" s="1" t="e">
        <f>IF(REGISTRY!#REF!="Male",REGISTRY!#REF!,"")</f>
        <v>#REF!</v>
      </c>
      <c r="B459" s="1" t="e">
        <f>IF(REGISTRY!#REF!="Male",REGISTRY!#REF!,"")</f>
        <v>#REF!</v>
      </c>
      <c r="C459" s="1" t="e">
        <f>IF(REGISTRY!#REF!="Male",REGISTRY!#REF!,"")</f>
        <v>#REF!</v>
      </c>
      <c r="D459" s="1" t="e">
        <f>IF(REGISTRY!#REF!="Male",REGISTRY!#REF!,"")</f>
        <v>#REF!</v>
      </c>
      <c r="E459" s="1" t="e">
        <f>IF(REGISTRY!#REF!="Male",REGISTRY!#REF!,"")</f>
        <v>#REF!</v>
      </c>
    </row>
    <row r="460" spans="1:5" ht="15.75" customHeight="1" x14ac:dyDescent="0.2">
      <c r="A460" s="1" t="e">
        <f>IF(REGISTRY!#REF!="Male",REGISTRY!#REF!,"")</f>
        <v>#REF!</v>
      </c>
      <c r="B460" s="1" t="e">
        <f>IF(REGISTRY!#REF!="Male",REGISTRY!#REF!,"")</f>
        <v>#REF!</v>
      </c>
      <c r="C460" s="1" t="e">
        <f>IF(REGISTRY!#REF!="Male",REGISTRY!#REF!,"")</f>
        <v>#REF!</v>
      </c>
      <c r="D460" s="1" t="e">
        <f>IF(REGISTRY!#REF!="Male",REGISTRY!#REF!,"")</f>
        <v>#REF!</v>
      </c>
      <c r="E460" s="1" t="e">
        <f>IF(REGISTRY!#REF!="Male",REGISTRY!#REF!,"")</f>
        <v>#REF!</v>
      </c>
    </row>
    <row r="461" spans="1:5" ht="15.75" customHeight="1" x14ac:dyDescent="0.2">
      <c r="A461" s="1" t="e">
        <f>IF(REGISTRY!#REF!="Male",REGISTRY!#REF!,"")</f>
        <v>#REF!</v>
      </c>
      <c r="B461" s="1" t="e">
        <f>IF(REGISTRY!#REF!="Male",REGISTRY!#REF!,"")</f>
        <v>#REF!</v>
      </c>
      <c r="C461" s="1" t="e">
        <f>IF(REGISTRY!#REF!="Male",REGISTRY!#REF!,"")</f>
        <v>#REF!</v>
      </c>
      <c r="D461" s="1" t="e">
        <f>IF(REGISTRY!#REF!="Male",REGISTRY!#REF!,"")</f>
        <v>#REF!</v>
      </c>
      <c r="E461" s="1" t="e">
        <f>IF(REGISTRY!#REF!="Male",REGISTRY!#REF!,"")</f>
        <v>#REF!</v>
      </c>
    </row>
    <row r="462" spans="1:5" ht="15.75" customHeight="1" x14ac:dyDescent="0.2">
      <c r="A462" s="1" t="e">
        <f>IF(REGISTRY!#REF!="Male",REGISTRY!#REF!,"")</f>
        <v>#REF!</v>
      </c>
      <c r="B462" s="1" t="e">
        <f>IF(REGISTRY!#REF!="Male",REGISTRY!#REF!,"")</f>
        <v>#REF!</v>
      </c>
      <c r="C462" s="1" t="e">
        <f>IF(REGISTRY!#REF!="Male",REGISTRY!#REF!,"")</f>
        <v>#REF!</v>
      </c>
      <c r="D462" s="1" t="e">
        <f>IF(REGISTRY!#REF!="Male",REGISTRY!#REF!,"")</f>
        <v>#REF!</v>
      </c>
      <c r="E462" s="1" t="e">
        <f>IF(REGISTRY!#REF!="Male",REGISTRY!#REF!,"")</f>
        <v>#REF!</v>
      </c>
    </row>
    <row r="463" spans="1:5" ht="15.75" customHeight="1" x14ac:dyDescent="0.2">
      <c r="A463" s="1" t="e">
        <f>IF(REGISTRY!#REF!="Male",REGISTRY!#REF!,"")</f>
        <v>#REF!</v>
      </c>
      <c r="B463" s="1" t="e">
        <f>IF(REGISTRY!#REF!="Male",REGISTRY!#REF!,"")</f>
        <v>#REF!</v>
      </c>
      <c r="C463" s="1" t="e">
        <f>IF(REGISTRY!#REF!="Male",REGISTRY!#REF!,"")</f>
        <v>#REF!</v>
      </c>
      <c r="D463" s="1" t="e">
        <f>IF(REGISTRY!#REF!="Male",REGISTRY!#REF!,"")</f>
        <v>#REF!</v>
      </c>
      <c r="E463" s="1" t="e">
        <f>IF(REGISTRY!#REF!="Male",REGISTRY!#REF!,"")</f>
        <v>#REF!</v>
      </c>
    </row>
    <row r="464" spans="1:5" ht="15.75" customHeight="1" x14ac:dyDescent="0.2">
      <c r="A464" s="1" t="e">
        <f>IF(REGISTRY!#REF!="Male",REGISTRY!#REF!,"")</f>
        <v>#REF!</v>
      </c>
      <c r="B464" s="1" t="e">
        <f>IF(REGISTRY!#REF!="Male",REGISTRY!#REF!,"")</f>
        <v>#REF!</v>
      </c>
      <c r="C464" s="1" t="e">
        <f>IF(REGISTRY!#REF!="Male",REGISTRY!#REF!,"")</f>
        <v>#REF!</v>
      </c>
      <c r="D464" s="1" t="e">
        <f>IF(REGISTRY!#REF!="Male",REGISTRY!#REF!,"")</f>
        <v>#REF!</v>
      </c>
      <c r="E464" s="1" t="e">
        <f>IF(REGISTRY!#REF!="Male",REGISTRY!#REF!,"")</f>
        <v>#REF!</v>
      </c>
    </row>
    <row r="465" spans="1:5" ht="15.75" customHeight="1" x14ac:dyDescent="0.2">
      <c r="A465" s="1" t="e">
        <f>IF(REGISTRY!#REF!="Male",REGISTRY!#REF!,"")</f>
        <v>#REF!</v>
      </c>
      <c r="B465" s="1" t="e">
        <f>IF(REGISTRY!#REF!="Male",REGISTRY!#REF!,"")</f>
        <v>#REF!</v>
      </c>
      <c r="C465" s="1" t="e">
        <f>IF(REGISTRY!#REF!="Male",REGISTRY!#REF!,"")</f>
        <v>#REF!</v>
      </c>
      <c r="D465" s="1" t="e">
        <f>IF(REGISTRY!#REF!="Male",REGISTRY!#REF!,"")</f>
        <v>#REF!</v>
      </c>
      <c r="E465" s="1" t="e">
        <f>IF(REGISTRY!#REF!="Male",REGISTRY!#REF!,"")</f>
        <v>#REF!</v>
      </c>
    </row>
    <row r="466" spans="1:5" ht="15.75" customHeight="1" x14ac:dyDescent="0.2">
      <c r="A466" s="1" t="e">
        <f>IF(REGISTRY!#REF!="Male",REGISTRY!#REF!,"")</f>
        <v>#REF!</v>
      </c>
      <c r="B466" s="1" t="e">
        <f>IF(REGISTRY!#REF!="Male",REGISTRY!#REF!,"")</f>
        <v>#REF!</v>
      </c>
      <c r="C466" s="1" t="e">
        <f>IF(REGISTRY!#REF!="Male",REGISTRY!#REF!,"")</f>
        <v>#REF!</v>
      </c>
      <c r="D466" s="1" t="e">
        <f>IF(REGISTRY!#REF!="Male",REGISTRY!#REF!,"")</f>
        <v>#REF!</v>
      </c>
      <c r="E466" s="1" t="e">
        <f>IF(REGISTRY!#REF!="Male",REGISTRY!#REF!,"")</f>
        <v>#REF!</v>
      </c>
    </row>
    <row r="467" spans="1:5" ht="15.75" customHeight="1" x14ac:dyDescent="0.2">
      <c r="A467" s="1" t="e">
        <f>IF(REGISTRY!#REF!="Male",REGISTRY!#REF!,"")</f>
        <v>#REF!</v>
      </c>
      <c r="B467" s="1" t="e">
        <f>IF(REGISTRY!#REF!="Male",REGISTRY!#REF!,"")</f>
        <v>#REF!</v>
      </c>
      <c r="C467" s="1" t="e">
        <f>IF(REGISTRY!#REF!="Male",REGISTRY!#REF!,"")</f>
        <v>#REF!</v>
      </c>
      <c r="D467" s="1" t="e">
        <f>IF(REGISTRY!#REF!="Male",REGISTRY!#REF!,"")</f>
        <v>#REF!</v>
      </c>
      <c r="E467" s="1" t="e">
        <f>IF(REGISTRY!#REF!="Male",REGISTRY!#REF!,"")</f>
        <v>#REF!</v>
      </c>
    </row>
    <row r="468" spans="1:5" ht="15.75" customHeight="1" x14ac:dyDescent="0.2">
      <c r="A468" s="1" t="e">
        <f>IF(REGISTRY!#REF!="Male",REGISTRY!#REF!,"")</f>
        <v>#REF!</v>
      </c>
      <c r="B468" s="1" t="e">
        <f>IF(REGISTRY!#REF!="Male",REGISTRY!#REF!,"")</f>
        <v>#REF!</v>
      </c>
      <c r="C468" s="1" t="e">
        <f>IF(REGISTRY!#REF!="Male",REGISTRY!#REF!,"")</f>
        <v>#REF!</v>
      </c>
      <c r="D468" s="1" t="e">
        <f>IF(REGISTRY!#REF!="Male",REGISTRY!#REF!,"")</f>
        <v>#REF!</v>
      </c>
      <c r="E468" s="1" t="e">
        <f>IF(REGISTRY!#REF!="Male",REGISTRY!#REF!,"")</f>
        <v>#REF!</v>
      </c>
    </row>
    <row r="469" spans="1:5" ht="15.75" customHeight="1" x14ac:dyDescent="0.2">
      <c r="A469" s="1" t="e">
        <f>IF(REGISTRY!#REF!="Male",REGISTRY!#REF!,"")</f>
        <v>#REF!</v>
      </c>
      <c r="B469" s="1" t="e">
        <f>IF(REGISTRY!#REF!="Male",REGISTRY!#REF!,"")</f>
        <v>#REF!</v>
      </c>
      <c r="C469" s="1" t="e">
        <f>IF(REGISTRY!#REF!="Male",REGISTRY!#REF!,"")</f>
        <v>#REF!</v>
      </c>
      <c r="D469" s="1" t="e">
        <f>IF(REGISTRY!#REF!="Male",REGISTRY!#REF!,"")</f>
        <v>#REF!</v>
      </c>
      <c r="E469" s="1" t="e">
        <f>IF(REGISTRY!#REF!="Male",REGISTRY!#REF!,"")</f>
        <v>#REF!</v>
      </c>
    </row>
    <row r="470" spans="1:5" ht="15.75" customHeight="1" x14ac:dyDescent="0.2">
      <c r="A470" s="1" t="e">
        <f>IF(REGISTRY!#REF!="Male",REGISTRY!#REF!,"")</f>
        <v>#REF!</v>
      </c>
      <c r="B470" s="1" t="e">
        <f>IF(REGISTRY!#REF!="Male",REGISTRY!#REF!,"")</f>
        <v>#REF!</v>
      </c>
      <c r="C470" s="1" t="e">
        <f>IF(REGISTRY!#REF!="Male",REGISTRY!#REF!,"")</f>
        <v>#REF!</v>
      </c>
      <c r="D470" s="1" t="e">
        <f>IF(REGISTRY!#REF!="Male",REGISTRY!#REF!,"")</f>
        <v>#REF!</v>
      </c>
      <c r="E470" s="1" t="e">
        <f>IF(REGISTRY!#REF!="Male",REGISTRY!#REF!,"")</f>
        <v>#REF!</v>
      </c>
    </row>
    <row r="471" spans="1:5" ht="15.75" customHeight="1" x14ac:dyDescent="0.2">
      <c r="A471" s="1" t="e">
        <f>IF(REGISTRY!#REF!="Male",REGISTRY!#REF!,"")</f>
        <v>#REF!</v>
      </c>
      <c r="B471" s="1" t="e">
        <f>IF(REGISTRY!#REF!="Male",REGISTRY!#REF!,"")</f>
        <v>#REF!</v>
      </c>
      <c r="C471" s="1" t="e">
        <f>IF(REGISTRY!#REF!="Male",REGISTRY!#REF!,"")</f>
        <v>#REF!</v>
      </c>
      <c r="D471" s="1" t="e">
        <f>IF(REGISTRY!#REF!="Male",REGISTRY!#REF!,"")</f>
        <v>#REF!</v>
      </c>
      <c r="E471" s="1" t="e">
        <f>IF(REGISTRY!#REF!="Male",REGISTRY!#REF!,"")</f>
        <v>#REF!</v>
      </c>
    </row>
    <row r="472" spans="1:5" ht="15.75" customHeight="1" x14ac:dyDescent="0.2">
      <c r="A472" s="1" t="e">
        <f>IF(REGISTRY!#REF!="Male",REGISTRY!#REF!,"")</f>
        <v>#REF!</v>
      </c>
      <c r="B472" s="1" t="e">
        <f>IF(REGISTRY!#REF!="Male",REGISTRY!#REF!,"")</f>
        <v>#REF!</v>
      </c>
      <c r="C472" s="1" t="e">
        <f>IF(REGISTRY!#REF!="Male",REGISTRY!#REF!,"")</f>
        <v>#REF!</v>
      </c>
      <c r="D472" s="1" t="e">
        <f>IF(REGISTRY!#REF!="Male",REGISTRY!#REF!,"")</f>
        <v>#REF!</v>
      </c>
      <c r="E472" s="1" t="e">
        <f>IF(REGISTRY!#REF!="Male",REGISTRY!#REF!,"")</f>
        <v>#REF!</v>
      </c>
    </row>
    <row r="473" spans="1:5" ht="15.75" customHeight="1" x14ac:dyDescent="0.2">
      <c r="A473" s="1" t="e">
        <f>IF(REGISTRY!#REF!="Male",REGISTRY!#REF!,"")</f>
        <v>#REF!</v>
      </c>
      <c r="B473" s="1" t="e">
        <f>IF(REGISTRY!#REF!="Male",REGISTRY!#REF!,"")</f>
        <v>#REF!</v>
      </c>
      <c r="C473" s="1" t="e">
        <f>IF(REGISTRY!#REF!="Male",REGISTRY!#REF!,"")</f>
        <v>#REF!</v>
      </c>
      <c r="D473" s="1" t="e">
        <f>IF(REGISTRY!#REF!="Male",REGISTRY!#REF!,"")</f>
        <v>#REF!</v>
      </c>
      <c r="E473" s="1" t="e">
        <f>IF(REGISTRY!#REF!="Male",REGISTRY!#REF!,"")</f>
        <v>#REF!</v>
      </c>
    </row>
    <row r="474" spans="1:5" ht="15.75" customHeight="1" x14ac:dyDescent="0.2">
      <c r="A474" s="1" t="e">
        <f>IF(REGISTRY!#REF!="Male",REGISTRY!#REF!,"")</f>
        <v>#REF!</v>
      </c>
      <c r="B474" s="1" t="e">
        <f>IF(REGISTRY!#REF!="Male",REGISTRY!#REF!,"")</f>
        <v>#REF!</v>
      </c>
      <c r="C474" s="1" t="e">
        <f>IF(REGISTRY!#REF!="Male",REGISTRY!#REF!,"")</f>
        <v>#REF!</v>
      </c>
      <c r="D474" s="1" t="e">
        <f>IF(REGISTRY!#REF!="Male",REGISTRY!#REF!,"")</f>
        <v>#REF!</v>
      </c>
      <c r="E474" s="1" t="e">
        <f>IF(REGISTRY!#REF!="Male",REGISTRY!#REF!,"")</f>
        <v>#REF!</v>
      </c>
    </row>
    <row r="475" spans="1:5" ht="15.75" customHeight="1" x14ac:dyDescent="0.2">
      <c r="A475" s="1" t="e">
        <f>IF(REGISTRY!#REF!="Male",REGISTRY!#REF!,"")</f>
        <v>#REF!</v>
      </c>
      <c r="B475" s="1" t="e">
        <f>IF(REGISTRY!#REF!="Male",REGISTRY!#REF!,"")</f>
        <v>#REF!</v>
      </c>
      <c r="C475" s="1" t="e">
        <f>IF(REGISTRY!#REF!="Male",REGISTRY!#REF!,"")</f>
        <v>#REF!</v>
      </c>
      <c r="D475" s="1" t="e">
        <f>IF(REGISTRY!#REF!="Male",REGISTRY!#REF!,"")</f>
        <v>#REF!</v>
      </c>
      <c r="E475" s="1" t="e">
        <f>IF(REGISTRY!#REF!="Male",REGISTRY!#REF!,"")</f>
        <v>#REF!</v>
      </c>
    </row>
    <row r="476" spans="1:5" ht="15.75" customHeight="1" x14ac:dyDescent="0.2">
      <c r="A476" s="1" t="e">
        <f>IF(REGISTRY!#REF!="Male",REGISTRY!#REF!,"")</f>
        <v>#REF!</v>
      </c>
      <c r="B476" s="1" t="e">
        <f>IF(REGISTRY!#REF!="Male",REGISTRY!#REF!,"")</f>
        <v>#REF!</v>
      </c>
      <c r="C476" s="1" t="e">
        <f>IF(REGISTRY!#REF!="Male",REGISTRY!#REF!,"")</f>
        <v>#REF!</v>
      </c>
      <c r="D476" s="1" t="e">
        <f>IF(REGISTRY!#REF!="Male",REGISTRY!#REF!,"")</f>
        <v>#REF!</v>
      </c>
      <c r="E476" s="1" t="e">
        <f>IF(REGISTRY!#REF!="Male",REGISTRY!#REF!,"")</f>
        <v>#REF!</v>
      </c>
    </row>
    <row r="477" spans="1:5" ht="15.75" customHeight="1" x14ac:dyDescent="0.2">
      <c r="A477" s="1" t="e">
        <f>IF(REGISTRY!#REF!="Male",REGISTRY!#REF!,"")</f>
        <v>#REF!</v>
      </c>
      <c r="B477" s="1" t="e">
        <f>IF(REGISTRY!#REF!="Male",REGISTRY!#REF!,"")</f>
        <v>#REF!</v>
      </c>
      <c r="C477" s="1" t="e">
        <f>IF(REGISTRY!#REF!="Male",REGISTRY!#REF!,"")</f>
        <v>#REF!</v>
      </c>
      <c r="D477" s="1" t="e">
        <f>IF(REGISTRY!#REF!="Male",REGISTRY!#REF!,"")</f>
        <v>#REF!</v>
      </c>
      <c r="E477" s="1" t="e">
        <f>IF(REGISTRY!#REF!="Male",REGISTRY!#REF!,"")</f>
        <v>#REF!</v>
      </c>
    </row>
    <row r="478" spans="1:5" ht="15.75" customHeight="1" x14ac:dyDescent="0.2">
      <c r="A478" s="1" t="e">
        <f>IF(REGISTRY!#REF!="Male",REGISTRY!#REF!,"")</f>
        <v>#REF!</v>
      </c>
      <c r="B478" s="1" t="e">
        <f>IF(REGISTRY!#REF!="Male",REGISTRY!#REF!,"")</f>
        <v>#REF!</v>
      </c>
      <c r="C478" s="1" t="e">
        <f>IF(REGISTRY!#REF!="Male",REGISTRY!#REF!,"")</f>
        <v>#REF!</v>
      </c>
      <c r="D478" s="1" t="e">
        <f>IF(REGISTRY!#REF!="Male",REGISTRY!#REF!,"")</f>
        <v>#REF!</v>
      </c>
      <c r="E478" s="1" t="e">
        <f>IF(REGISTRY!#REF!="Male",REGISTRY!#REF!,"")</f>
        <v>#REF!</v>
      </c>
    </row>
    <row r="479" spans="1:5" ht="15.75" customHeight="1" x14ac:dyDescent="0.2">
      <c r="A479" s="1" t="e">
        <f>IF(REGISTRY!#REF!="Male",REGISTRY!#REF!,"")</f>
        <v>#REF!</v>
      </c>
      <c r="B479" s="1" t="e">
        <f>IF(REGISTRY!#REF!="Male",REGISTRY!#REF!,"")</f>
        <v>#REF!</v>
      </c>
      <c r="C479" s="1" t="e">
        <f>IF(REGISTRY!#REF!="Male",REGISTRY!#REF!,"")</f>
        <v>#REF!</v>
      </c>
      <c r="D479" s="1" t="e">
        <f>IF(REGISTRY!#REF!="Male",REGISTRY!#REF!,"")</f>
        <v>#REF!</v>
      </c>
      <c r="E479" s="1" t="e">
        <f>IF(REGISTRY!#REF!="Male",REGISTRY!#REF!,"")</f>
        <v>#REF!</v>
      </c>
    </row>
    <row r="480" spans="1:5" ht="15.75" customHeight="1" x14ac:dyDescent="0.2">
      <c r="A480" s="1" t="e">
        <f>IF(REGISTRY!#REF!="Male",REGISTRY!#REF!,"")</f>
        <v>#REF!</v>
      </c>
      <c r="B480" s="1" t="e">
        <f>IF(REGISTRY!#REF!="Male",REGISTRY!#REF!,"")</f>
        <v>#REF!</v>
      </c>
      <c r="C480" s="1" t="e">
        <f>IF(REGISTRY!#REF!="Male",REGISTRY!#REF!,"")</f>
        <v>#REF!</v>
      </c>
      <c r="D480" s="1" t="e">
        <f>IF(REGISTRY!#REF!="Male",REGISTRY!#REF!,"")</f>
        <v>#REF!</v>
      </c>
      <c r="E480" s="1" t="e">
        <f>IF(REGISTRY!#REF!="Male",REGISTRY!#REF!,"")</f>
        <v>#REF!</v>
      </c>
    </row>
    <row r="481" spans="1:5" ht="15.75" customHeight="1" x14ac:dyDescent="0.2">
      <c r="A481" s="1" t="e">
        <f>IF(REGISTRY!#REF!="Male",REGISTRY!#REF!,"")</f>
        <v>#REF!</v>
      </c>
      <c r="B481" s="1" t="e">
        <f>IF(REGISTRY!#REF!="Male",REGISTRY!#REF!,"")</f>
        <v>#REF!</v>
      </c>
      <c r="C481" s="1" t="e">
        <f>IF(REGISTRY!#REF!="Male",REGISTRY!#REF!,"")</f>
        <v>#REF!</v>
      </c>
      <c r="D481" s="1" t="e">
        <f>IF(REGISTRY!#REF!="Male",REGISTRY!#REF!,"")</f>
        <v>#REF!</v>
      </c>
      <c r="E481" s="1" t="e">
        <f>IF(REGISTRY!#REF!="Male",REGISTRY!#REF!,"")</f>
        <v>#REF!</v>
      </c>
    </row>
    <row r="482" spans="1:5" ht="15.75" customHeight="1" x14ac:dyDescent="0.2">
      <c r="A482" s="1" t="e">
        <f>IF(REGISTRY!#REF!="Male",REGISTRY!#REF!,"")</f>
        <v>#REF!</v>
      </c>
      <c r="B482" s="1" t="e">
        <f>IF(REGISTRY!#REF!="Male",REGISTRY!#REF!,"")</f>
        <v>#REF!</v>
      </c>
      <c r="C482" s="1" t="e">
        <f>IF(REGISTRY!#REF!="Male",REGISTRY!#REF!,"")</f>
        <v>#REF!</v>
      </c>
      <c r="D482" s="1" t="e">
        <f>IF(REGISTRY!#REF!="Male",REGISTRY!#REF!,"")</f>
        <v>#REF!</v>
      </c>
      <c r="E482" s="1" t="e">
        <f>IF(REGISTRY!#REF!="Male",REGISTRY!#REF!,"")</f>
        <v>#REF!</v>
      </c>
    </row>
    <row r="483" spans="1:5" ht="15.75" customHeight="1" x14ac:dyDescent="0.2">
      <c r="A483" s="1" t="e">
        <f>IF(REGISTRY!#REF!="Male",REGISTRY!#REF!,"")</f>
        <v>#REF!</v>
      </c>
      <c r="B483" s="1" t="e">
        <f>IF(REGISTRY!#REF!="Male",REGISTRY!#REF!,"")</f>
        <v>#REF!</v>
      </c>
      <c r="C483" s="1" t="e">
        <f>IF(REGISTRY!#REF!="Male",REGISTRY!#REF!,"")</f>
        <v>#REF!</v>
      </c>
      <c r="D483" s="1" t="e">
        <f>IF(REGISTRY!#REF!="Male",REGISTRY!#REF!,"")</f>
        <v>#REF!</v>
      </c>
      <c r="E483" s="1" t="e">
        <f>IF(REGISTRY!#REF!="Male",REGISTRY!#REF!,"")</f>
        <v>#REF!</v>
      </c>
    </row>
    <row r="484" spans="1:5" ht="15.75" customHeight="1" x14ac:dyDescent="0.2">
      <c r="A484" s="1" t="e">
        <f>IF(REGISTRY!#REF!="Male",REGISTRY!#REF!,"")</f>
        <v>#REF!</v>
      </c>
      <c r="B484" s="1" t="e">
        <f>IF(REGISTRY!#REF!="Male",REGISTRY!#REF!,"")</f>
        <v>#REF!</v>
      </c>
      <c r="C484" s="1" t="e">
        <f>IF(REGISTRY!#REF!="Male",REGISTRY!#REF!,"")</f>
        <v>#REF!</v>
      </c>
      <c r="D484" s="1" t="e">
        <f>IF(REGISTRY!#REF!="Male",REGISTRY!#REF!,"")</f>
        <v>#REF!</v>
      </c>
      <c r="E484" s="1" t="e">
        <f>IF(REGISTRY!#REF!="Male",REGISTRY!#REF!,"")</f>
        <v>#REF!</v>
      </c>
    </row>
    <row r="485" spans="1:5" ht="15.75" customHeight="1" x14ac:dyDescent="0.2">
      <c r="A485" s="1" t="e">
        <f>IF(REGISTRY!#REF!="Male",REGISTRY!#REF!,"")</f>
        <v>#REF!</v>
      </c>
      <c r="B485" s="1" t="e">
        <f>IF(REGISTRY!#REF!="Male",REGISTRY!#REF!,"")</f>
        <v>#REF!</v>
      </c>
      <c r="C485" s="1" t="e">
        <f>IF(REGISTRY!#REF!="Male",REGISTRY!#REF!,"")</f>
        <v>#REF!</v>
      </c>
      <c r="D485" s="1" t="e">
        <f>IF(REGISTRY!#REF!="Male",REGISTRY!#REF!,"")</f>
        <v>#REF!</v>
      </c>
      <c r="E485" s="1" t="e">
        <f>IF(REGISTRY!#REF!="Male",REGISTRY!#REF!,"")</f>
        <v>#REF!</v>
      </c>
    </row>
    <row r="486" spans="1:5" ht="15.75" customHeight="1" x14ac:dyDescent="0.2">
      <c r="A486" s="1" t="e">
        <f>IF(REGISTRY!#REF!="Male",REGISTRY!#REF!,"")</f>
        <v>#REF!</v>
      </c>
      <c r="B486" s="1" t="e">
        <f>IF(REGISTRY!#REF!="Male",REGISTRY!#REF!,"")</f>
        <v>#REF!</v>
      </c>
      <c r="C486" s="1" t="e">
        <f>IF(REGISTRY!#REF!="Male",REGISTRY!#REF!,"")</f>
        <v>#REF!</v>
      </c>
      <c r="D486" s="1" t="e">
        <f>IF(REGISTRY!#REF!="Male",REGISTRY!#REF!,"")</f>
        <v>#REF!</v>
      </c>
      <c r="E486" s="1" t="e">
        <f>IF(REGISTRY!#REF!="Male",REGISTRY!#REF!,"")</f>
        <v>#REF!</v>
      </c>
    </row>
    <row r="487" spans="1:5" ht="15.75" customHeight="1" x14ac:dyDescent="0.2">
      <c r="A487" s="1" t="e">
        <f>IF(REGISTRY!#REF!="Male",REGISTRY!#REF!,"")</f>
        <v>#REF!</v>
      </c>
      <c r="B487" s="1" t="e">
        <f>IF(REGISTRY!#REF!="Male",REGISTRY!#REF!,"")</f>
        <v>#REF!</v>
      </c>
      <c r="C487" s="1" t="e">
        <f>IF(REGISTRY!#REF!="Male",REGISTRY!#REF!,"")</f>
        <v>#REF!</v>
      </c>
      <c r="D487" s="1" t="e">
        <f>IF(REGISTRY!#REF!="Male",REGISTRY!#REF!,"")</f>
        <v>#REF!</v>
      </c>
      <c r="E487" s="1" t="e">
        <f>IF(REGISTRY!#REF!="Male",REGISTRY!#REF!,"")</f>
        <v>#REF!</v>
      </c>
    </row>
    <row r="488" spans="1:5" ht="15.75" customHeight="1" x14ac:dyDescent="0.2">
      <c r="A488" s="1" t="e">
        <f>IF(REGISTRY!#REF!="Male",REGISTRY!#REF!,"")</f>
        <v>#REF!</v>
      </c>
      <c r="B488" s="1" t="e">
        <f>IF(REGISTRY!#REF!="Male",REGISTRY!#REF!,"")</f>
        <v>#REF!</v>
      </c>
      <c r="C488" s="1" t="e">
        <f>IF(REGISTRY!#REF!="Male",REGISTRY!#REF!,"")</f>
        <v>#REF!</v>
      </c>
      <c r="D488" s="1" t="e">
        <f>IF(REGISTRY!#REF!="Male",REGISTRY!#REF!,"")</f>
        <v>#REF!</v>
      </c>
      <c r="E488" s="1" t="e">
        <f>IF(REGISTRY!#REF!="Male",REGISTRY!#REF!,"")</f>
        <v>#REF!</v>
      </c>
    </row>
    <row r="489" spans="1:5" ht="15.75" customHeight="1" x14ac:dyDescent="0.2">
      <c r="A489" s="1" t="e">
        <f>IF(REGISTRY!#REF!="Male",REGISTRY!#REF!,"")</f>
        <v>#REF!</v>
      </c>
      <c r="B489" s="1" t="e">
        <f>IF(REGISTRY!#REF!="Male",REGISTRY!#REF!,"")</f>
        <v>#REF!</v>
      </c>
      <c r="C489" s="1" t="e">
        <f>IF(REGISTRY!#REF!="Male",REGISTRY!#REF!,"")</f>
        <v>#REF!</v>
      </c>
      <c r="D489" s="1" t="e">
        <f>IF(REGISTRY!#REF!="Male",REGISTRY!#REF!,"")</f>
        <v>#REF!</v>
      </c>
      <c r="E489" s="1" t="e">
        <f>IF(REGISTRY!#REF!="Male",REGISTRY!#REF!,"")</f>
        <v>#REF!</v>
      </c>
    </row>
    <row r="490" spans="1:5" ht="15.75" customHeight="1" x14ac:dyDescent="0.2">
      <c r="A490" s="1" t="e">
        <f>IF(REGISTRY!#REF!="Male",REGISTRY!#REF!,"")</f>
        <v>#REF!</v>
      </c>
      <c r="B490" s="1" t="e">
        <f>IF(REGISTRY!#REF!="Male",REGISTRY!#REF!,"")</f>
        <v>#REF!</v>
      </c>
      <c r="C490" s="1" t="e">
        <f>IF(REGISTRY!#REF!="Male",REGISTRY!#REF!,"")</f>
        <v>#REF!</v>
      </c>
      <c r="D490" s="1" t="e">
        <f>IF(REGISTRY!#REF!="Male",REGISTRY!#REF!,"")</f>
        <v>#REF!</v>
      </c>
      <c r="E490" s="1" t="e">
        <f>IF(REGISTRY!#REF!="Male",REGISTRY!#REF!,"")</f>
        <v>#REF!</v>
      </c>
    </row>
    <row r="491" spans="1:5" ht="15.75" customHeight="1" x14ac:dyDescent="0.2">
      <c r="A491" s="1" t="e">
        <f>IF(REGISTRY!#REF!="Male",REGISTRY!#REF!,"")</f>
        <v>#REF!</v>
      </c>
      <c r="B491" s="1" t="e">
        <f>IF(REGISTRY!#REF!="Male",REGISTRY!#REF!,"")</f>
        <v>#REF!</v>
      </c>
      <c r="C491" s="1" t="e">
        <f>IF(REGISTRY!#REF!="Male",REGISTRY!#REF!,"")</f>
        <v>#REF!</v>
      </c>
      <c r="D491" s="1" t="e">
        <f>IF(REGISTRY!#REF!="Male",REGISTRY!#REF!,"")</f>
        <v>#REF!</v>
      </c>
      <c r="E491" s="1" t="e">
        <f>IF(REGISTRY!#REF!="Male",REGISTRY!#REF!,"")</f>
        <v>#REF!</v>
      </c>
    </row>
    <row r="492" spans="1:5" ht="15.75" customHeight="1" x14ac:dyDescent="0.2">
      <c r="A492" s="1" t="e">
        <f>IF(REGISTRY!#REF!="Male",REGISTRY!#REF!,"")</f>
        <v>#REF!</v>
      </c>
      <c r="B492" s="1" t="e">
        <f>IF(REGISTRY!#REF!="Male",REGISTRY!#REF!,"")</f>
        <v>#REF!</v>
      </c>
      <c r="C492" s="1" t="e">
        <f>IF(REGISTRY!#REF!="Male",REGISTRY!#REF!,"")</f>
        <v>#REF!</v>
      </c>
      <c r="D492" s="1" t="e">
        <f>IF(REGISTRY!#REF!="Male",REGISTRY!#REF!,"")</f>
        <v>#REF!</v>
      </c>
      <c r="E492" s="1" t="e">
        <f>IF(REGISTRY!#REF!="Male",REGISTRY!#REF!,"")</f>
        <v>#REF!</v>
      </c>
    </row>
    <row r="493" spans="1:5" ht="15.75" customHeight="1" x14ac:dyDescent="0.2">
      <c r="A493" s="1" t="e">
        <f>IF(REGISTRY!#REF!="Male",REGISTRY!#REF!,"")</f>
        <v>#REF!</v>
      </c>
      <c r="B493" s="1" t="e">
        <f>IF(REGISTRY!#REF!="Male",REGISTRY!#REF!,"")</f>
        <v>#REF!</v>
      </c>
      <c r="C493" s="1" t="e">
        <f>IF(REGISTRY!#REF!="Male",REGISTRY!#REF!,"")</f>
        <v>#REF!</v>
      </c>
      <c r="D493" s="1" t="e">
        <f>IF(REGISTRY!#REF!="Male",REGISTRY!#REF!,"")</f>
        <v>#REF!</v>
      </c>
      <c r="E493" s="1" t="e">
        <f>IF(REGISTRY!#REF!="Male",REGISTRY!#REF!,"")</f>
        <v>#REF!</v>
      </c>
    </row>
    <row r="494" spans="1:5" ht="15.75" customHeight="1" x14ac:dyDescent="0.2">
      <c r="A494" s="1" t="e">
        <f>IF(REGISTRY!#REF!="Male",REGISTRY!#REF!,"")</f>
        <v>#REF!</v>
      </c>
      <c r="B494" s="1" t="e">
        <f>IF(REGISTRY!#REF!="Male",REGISTRY!#REF!,"")</f>
        <v>#REF!</v>
      </c>
      <c r="C494" s="1" t="e">
        <f>IF(REGISTRY!#REF!="Male",REGISTRY!#REF!,"")</f>
        <v>#REF!</v>
      </c>
      <c r="D494" s="1" t="e">
        <f>IF(REGISTRY!#REF!="Male",REGISTRY!#REF!,"")</f>
        <v>#REF!</v>
      </c>
      <c r="E494" s="1" t="e">
        <f>IF(REGISTRY!#REF!="Male",REGISTRY!#REF!,"")</f>
        <v>#REF!</v>
      </c>
    </row>
    <row r="495" spans="1:5" ht="15.75" customHeight="1" x14ac:dyDescent="0.2">
      <c r="A495" s="1" t="e">
        <f>IF(REGISTRY!#REF!="Male",REGISTRY!#REF!,"")</f>
        <v>#REF!</v>
      </c>
      <c r="B495" s="1" t="e">
        <f>IF(REGISTRY!#REF!="Male",REGISTRY!#REF!,"")</f>
        <v>#REF!</v>
      </c>
      <c r="C495" s="1" t="e">
        <f>IF(REGISTRY!#REF!="Male",REGISTRY!#REF!,"")</f>
        <v>#REF!</v>
      </c>
      <c r="D495" s="1" t="e">
        <f>IF(REGISTRY!#REF!="Male",REGISTRY!#REF!,"")</f>
        <v>#REF!</v>
      </c>
      <c r="E495" s="1" t="e">
        <f>IF(REGISTRY!#REF!="Male",REGISTRY!#REF!,"")</f>
        <v>#REF!</v>
      </c>
    </row>
    <row r="496" spans="1:5" ht="15.75" customHeight="1" x14ac:dyDescent="0.2">
      <c r="A496" s="1" t="e">
        <f>IF(REGISTRY!#REF!="Male",REGISTRY!#REF!,"")</f>
        <v>#REF!</v>
      </c>
      <c r="B496" s="1" t="e">
        <f>IF(REGISTRY!#REF!="Male",REGISTRY!#REF!,"")</f>
        <v>#REF!</v>
      </c>
      <c r="C496" s="1" t="e">
        <f>IF(REGISTRY!#REF!="Male",REGISTRY!#REF!,"")</f>
        <v>#REF!</v>
      </c>
      <c r="D496" s="1" t="e">
        <f>IF(REGISTRY!#REF!="Male",REGISTRY!#REF!,"")</f>
        <v>#REF!</v>
      </c>
      <c r="E496" s="1" t="e">
        <f>IF(REGISTRY!#REF!="Male",REGISTRY!#REF!,"")</f>
        <v>#REF!</v>
      </c>
    </row>
    <row r="497" spans="1:5" ht="15.75" customHeight="1" x14ac:dyDescent="0.2">
      <c r="A497" s="1" t="e">
        <f>IF(REGISTRY!#REF!="Male",REGISTRY!#REF!,"")</f>
        <v>#REF!</v>
      </c>
      <c r="B497" s="1" t="e">
        <f>IF(REGISTRY!#REF!="Male",REGISTRY!#REF!,"")</f>
        <v>#REF!</v>
      </c>
      <c r="C497" s="1" t="e">
        <f>IF(REGISTRY!#REF!="Male",REGISTRY!#REF!,"")</f>
        <v>#REF!</v>
      </c>
      <c r="D497" s="1" t="e">
        <f>IF(REGISTRY!#REF!="Male",REGISTRY!#REF!,"")</f>
        <v>#REF!</v>
      </c>
      <c r="E497" s="1" t="e">
        <f>IF(REGISTRY!#REF!="Male",REGISTRY!#REF!,"")</f>
        <v>#REF!</v>
      </c>
    </row>
    <row r="498" spans="1:5" ht="15.75" customHeight="1" x14ac:dyDescent="0.2">
      <c r="A498" s="1" t="e">
        <f>IF(REGISTRY!#REF!="Male",REGISTRY!#REF!,"")</f>
        <v>#REF!</v>
      </c>
      <c r="B498" s="1" t="e">
        <f>IF(REGISTRY!#REF!="Male",REGISTRY!#REF!,"")</f>
        <v>#REF!</v>
      </c>
      <c r="C498" s="1" t="e">
        <f>IF(REGISTRY!#REF!="Male",REGISTRY!#REF!,"")</f>
        <v>#REF!</v>
      </c>
      <c r="D498" s="1" t="e">
        <f>IF(REGISTRY!#REF!="Male",REGISTRY!#REF!,"")</f>
        <v>#REF!</v>
      </c>
      <c r="E498" s="1" t="e">
        <f>IF(REGISTRY!#REF!="Male",REGISTRY!#REF!,"")</f>
        <v>#REF!</v>
      </c>
    </row>
    <row r="499" spans="1:5" ht="15.75" customHeight="1" x14ac:dyDescent="0.2">
      <c r="A499" s="1" t="e">
        <f>IF(REGISTRY!#REF!="Male",REGISTRY!#REF!,"")</f>
        <v>#REF!</v>
      </c>
      <c r="B499" s="1" t="e">
        <f>IF(REGISTRY!#REF!="Male",REGISTRY!#REF!,"")</f>
        <v>#REF!</v>
      </c>
      <c r="C499" s="1" t="e">
        <f>IF(REGISTRY!#REF!="Male",REGISTRY!#REF!,"")</f>
        <v>#REF!</v>
      </c>
      <c r="D499" s="1" t="e">
        <f>IF(REGISTRY!#REF!="Male",REGISTRY!#REF!,"")</f>
        <v>#REF!</v>
      </c>
      <c r="E499" s="1" t="e">
        <f>IF(REGISTRY!#REF!="Male",REGISTRY!#REF!,"")</f>
        <v>#REF!</v>
      </c>
    </row>
    <row r="500" spans="1:5" ht="15.75" customHeight="1" x14ac:dyDescent="0.2">
      <c r="A500" s="1" t="e">
        <f>IF(REGISTRY!#REF!="Male",REGISTRY!#REF!,"")</f>
        <v>#REF!</v>
      </c>
      <c r="B500" s="1" t="e">
        <f>IF(REGISTRY!#REF!="Male",REGISTRY!#REF!,"")</f>
        <v>#REF!</v>
      </c>
      <c r="C500" s="1" t="e">
        <f>IF(REGISTRY!#REF!="Male",REGISTRY!#REF!,"")</f>
        <v>#REF!</v>
      </c>
      <c r="D500" s="1" t="e">
        <f>IF(REGISTRY!#REF!="Male",REGISTRY!#REF!,"")</f>
        <v>#REF!</v>
      </c>
      <c r="E500" s="1" t="e">
        <f>IF(REGISTRY!#REF!="Male",REGISTRY!#REF!,"")</f>
        <v>#REF!</v>
      </c>
    </row>
    <row r="501" spans="1:5" ht="15.75" customHeight="1" x14ac:dyDescent="0.2">
      <c r="A501" s="1" t="e">
        <f>IF(REGISTRY!#REF!="Male",REGISTRY!#REF!,"")</f>
        <v>#REF!</v>
      </c>
      <c r="B501" s="1" t="e">
        <f>IF(REGISTRY!#REF!="Male",REGISTRY!#REF!,"")</f>
        <v>#REF!</v>
      </c>
      <c r="C501" s="1" t="e">
        <f>IF(REGISTRY!#REF!="Male",REGISTRY!#REF!,"")</f>
        <v>#REF!</v>
      </c>
      <c r="D501" s="1" t="e">
        <f>IF(REGISTRY!#REF!="Male",REGISTRY!#REF!,"")</f>
        <v>#REF!</v>
      </c>
      <c r="E501" s="1" t="e">
        <f>IF(REGISTRY!#REF!="Male",REGISTRY!#REF!,"")</f>
        <v>#REF!</v>
      </c>
    </row>
    <row r="502" spans="1:5" ht="15.75" customHeight="1" x14ac:dyDescent="0.2"/>
    <row r="503" spans="1:5" ht="15.75" customHeight="1" x14ac:dyDescent="0.2"/>
    <row r="504" spans="1:5" ht="15.75" customHeight="1" x14ac:dyDescent="0.2"/>
    <row r="505" spans="1:5" ht="15.75" customHeight="1" x14ac:dyDescent="0.2"/>
    <row r="506" spans="1:5" ht="15.75" customHeight="1" x14ac:dyDescent="0.2"/>
    <row r="507" spans="1:5" ht="15.75" customHeight="1" x14ac:dyDescent="0.2"/>
    <row r="508" spans="1:5" ht="15.75" customHeight="1" x14ac:dyDescent="0.2"/>
    <row r="509" spans="1:5" ht="15.75" customHeight="1" x14ac:dyDescent="0.2"/>
    <row r="510" spans="1:5" ht="15.75" customHeight="1" x14ac:dyDescent="0.2"/>
    <row r="511" spans="1:5" ht="15.75" customHeight="1" x14ac:dyDescent="0.2"/>
    <row r="512" spans="1:5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ADMIN_CONTROL</vt:lpstr>
      <vt:lpstr>QUICK_ADD</vt:lpstr>
      <vt:lpstr>DASHBOARD</vt:lpstr>
      <vt:lpstr>REGISTRY</vt:lpstr>
      <vt:lpstr>TREE</vt:lpstr>
      <vt:lpstr>FATHER_LIST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عبدالرحمن الشايع ID 442102483</cp:lastModifiedBy>
  <dcterms:created xsi:type="dcterms:W3CDTF">2025-11-14T16:37:41Z</dcterms:created>
  <dcterms:modified xsi:type="dcterms:W3CDTF">2025-12-23T13:15:02Z</dcterms:modified>
</cp:coreProperties>
</file>