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_CONTROL" sheetId="1" r:id="rId4"/>
    <sheet state="visible" name="QUICK_ADD" sheetId="2" r:id="rId5"/>
    <sheet state="visible" name="DASHBOARD" sheetId="3" r:id="rId6"/>
    <sheet state="visible" name="REGISTRY" sheetId="4" r:id="rId7"/>
    <sheet state="visible" name="TREE" sheetId="5" r:id="rId8"/>
    <sheet state="visible" name="FATHER_LIST" sheetId="6" r:id="rId9"/>
  </sheets>
  <definedNames>
    <definedName hidden="1" localSheetId="3" name="_xlnm._FilterDatabase">REGISTRY!$A$1:$N$983</definedName>
  </definedNames>
  <calcPr/>
  <extLst>
    <ext uri="GoogleSheetsCustomDataVersion2">
      <go:sheetsCustomData xmlns:go="http://customooxmlschemas.google.com/" r:id="rId10" roundtripDataChecksum="sU8g0wrv5AH6fNfQOfHfuDR/wHL+ma5hx0LxvQAIX4w="/>
    </ext>
  </extLst>
</workbook>
</file>

<file path=xl/sharedStrings.xml><?xml version="1.0" encoding="utf-8"?>
<sst xmlns="http://schemas.openxmlformats.org/spreadsheetml/2006/main" count="2434" uniqueCount="347">
  <si>
    <t>@dropdown</t>
  </si>
  <si>
    <t>🎛️ مركز التحكم الرئيسي - MASTER ADMIN CONTROL CENTER</t>
  </si>
  <si>
    <t>⚙️ SYSTEM SETTINGS</t>
  </si>
  <si>
    <t>📊 DATA MANAGEMENT</t>
  </si>
  <si>
    <t>🎨 DISPLAY OPTIONS</t>
  </si>
  <si>
    <t>🔧 QUICK ACTIONS</t>
  </si>
  <si>
    <t>Auto-Save:</t>
  </si>
  <si>
    <t>ON</t>
  </si>
  <si>
    <t>FAMILY NAMES LIST:</t>
  </si>
  <si>
    <t>Auto-Calculate:</t>
  </si>
  <si>
    <t>ال شايع</t>
  </si>
  <si>
    <t>Auto-Backup:</t>
  </si>
  <si>
    <t>DAILY</t>
  </si>
  <si>
    <t>Language:</t>
  </si>
  <si>
    <t>AR/EN</t>
  </si>
  <si>
    <t>Date Format:</t>
  </si>
  <si>
    <t>DD/MM/YYYY</t>
  </si>
  <si>
    <t>💾 SAVE ALL</t>
  </si>
  <si>
    <t>📈 LIVE STATISTICS</t>
  </si>
  <si>
    <t>Total Members:</t>
  </si>
  <si>
    <t>Males:</t>
  </si>
  <si>
    <t>Females:</t>
  </si>
  <si>
    <t>Generations:</t>
  </si>
  <si>
    <t>Completion:</t>
  </si>
  <si>
    <t>⚡ إدخال سريع - QUICK SMART ENTRY</t>
  </si>
  <si>
    <t>📝 Just enter the name and select father!</t>
  </si>
  <si>
    <t>الاسم فقط
Name Only:</t>
  </si>
  <si>
    <t>ابراهيم</t>
  </si>
  <si>
    <t>💡 How it works:</t>
  </si>
  <si>
    <t>1️⃣ Type ONLY the first name</t>
  </si>
  <si>
    <t>اختر الأب
Select Father:</t>
  </si>
  <si>
    <t>حمد</t>
  </si>
  <si>
    <t>2️⃣ Select father from dropdown</t>
  </si>
  <si>
    <t>3️⃣ Everything else fills automatically!</t>
  </si>
  <si>
    <t>الجنس
Gender:</t>
  </si>
  <si>
    <t>Male</t>
  </si>
  <si>
    <t>4️⃣ Click ADD button</t>
  </si>
  <si>
    <t>سنة الميلاد
Birth Year:</t>
  </si>
  <si>
    <t>✅ Person added with all relationships!</t>
  </si>
  <si>
    <t>🔄 AUTO-FILLED DATA</t>
  </si>
  <si>
    <t>Father's Name:</t>
  </si>
  <si>
    <t>Grandfather:</t>
  </si>
  <si>
    <t>Family Name:</t>
  </si>
  <si>
    <t>Generation:</t>
  </si>
  <si>
    <t>New ID:</t>
  </si>
  <si>
    <t>➕ ADD TO REGISTRY</t>
  </si>
  <si>
    <t>📊 لوحة المعلومات المتقدمة - ADVANCED ANALYTICS DASHBOARD</t>
  </si>
  <si>
    <t>👥 TOTAL
الإجمالي</t>
  </si>
  <si>
    <t>👨 MALES
الذكور</t>
  </si>
  <si>
    <t>👩 FEMALES
الإناث</t>
  </si>
  <si>
    <t>🌳 GENERATIONS
الأجيال</t>
  </si>
  <si>
    <t>📈 GENERATION ANALYSIS</t>
  </si>
  <si>
    <t>🌿 BRANCH ANALYSIS</t>
  </si>
  <si>
    <t>Generation</t>
  </si>
  <si>
    <t>Count</t>
  </si>
  <si>
    <t>Males</t>
  </si>
  <si>
    <t>Females</t>
  </si>
  <si>
    <t>Avg Children</t>
  </si>
  <si>
    <t>Branch</t>
  </si>
  <si>
    <t>Members</t>
  </si>
  <si>
    <t>Percentage</t>
  </si>
  <si>
    <t>Generation 1</t>
  </si>
  <si>
    <t>الأصل</t>
  </si>
  <si>
    <t>Generation 2</t>
  </si>
  <si>
    <t>الفرع 1</t>
  </si>
  <si>
    <t>Generation 3</t>
  </si>
  <si>
    <t>الفرع 2</t>
  </si>
  <si>
    <t>Generation 4</t>
  </si>
  <si>
    <t>الفرع 3</t>
  </si>
  <si>
    <t>Generation 5</t>
  </si>
  <si>
    <t>الفرع 4</t>
  </si>
  <si>
    <t>Generation 6</t>
  </si>
  <si>
    <t>Generation 7</t>
  </si>
  <si>
    <t>Generation 8</t>
  </si>
  <si>
    <t>📊 FAMILY GROWTH TREND</t>
  </si>
  <si>
    <t>✅ DATA COMPLETION</t>
  </si>
  <si>
    <t>ID</t>
  </si>
  <si>
    <t>Name الاسم</t>
  </si>
  <si>
    <t>Father الأب</t>
  </si>
  <si>
    <t>Grandfather الجد</t>
  </si>
  <si>
    <t>الجد الثاني</t>
  </si>
  <si>
    <t>Father_ID</t>
  </si>
  <si>
    <t>Gender</t>
  </si>
  <si>
    <t>Birth_Year</t>
  </si>
  <si>
    <t>Sons</t>
  </si>
  <si>
    <t>Daughters</t>
  </si>
  <si>
    <t>Full_Name_AR</t>
  </si>
  <si>
    <t>Full_Name_EN</t>
  </si>
  <si>
    <t>Age</t>
  </si>
  <si>
    <t>Children</t>
  </si>
  <si>
    <t>Phone</t>
  </si>
  <si>
    <t>City</t>
  </si>
  <si>
    <t>Status</t>
  </si>
  <si>
    <t>-</t>
  </si>
  <si>
    <t>P001</t>
  </si>
  <si>
    <t>الابراهيم</t>
  </si>
  <si>
    <t>عبدالكريم</t>
  </si>
  <si>
    <t>العبدالكريم</t>
  </si>
  <si>
    <t>فوزان</t>
  </si>
  <si>
    <t>الفوزان</t>
  </si>
  <si>
    <t>محمد</t>
  </si>
  <si>
    <t>P002</t>
  </si>
  <si>
    <t>ناصر</t>
  </si>
  <si>
    <t>P005</t>
  </si>
  <si>
    <t>عبدالمحسن</t>
  </si>
  <si>
    <t>عبدالرحمن</t>
  </si>
  <si>
    <t>P006</t>
  </si>
  <si>
    <t>P011</t>
  </si>
  <si>
    <t>عبدالعزيز</t>
  </si>
  <si>
    <t>P012</t>
  </si>
  <si>
    <t>سعد</t>
  </si>
  <si>
    <t>فهد</t>
  </si>
  <si>
    <t>خالد</t>
  </si>
  <si>
    <t>شايع</t>
  </si>
  <si>
    <t>P016</t>
  </si>
  <si>
    <t>وليد</t>
  </si>
  <si>
    <t>فيصل</t>
  </si>
  <si>
    <t>يزيد</t>
  </si>
  <si>
    <t>P017</t>
  </si>
  <si>
    <t>عبدالله</t>
  </si>
  <si>
    <t>P018</t>
  </si>
  <si>
    <t>عبدالاله</t>
  </si>
  <si>
    <t xml:space="preserve">ناصر </t>
  </si>
  <si>
    <t>P019</t>
  </si>
  <si>
    <t>البراء</t>
  </si>
  <si>
    <t>P020</t>
  </si>
  <si>
    <t>P021</t>
  </si>
  <si>
    <t>P013</t>
  </si>
  <si>
    <t>أحمد</t>
  </si>
  <si>
    <t>عادل</t>
  </si>
  <si>
    <t>P038</t>
  </si>
  <si>
    <t>حنان</t>
  </si>
  <si>
    <t>Female</t>
  </si>
  <si>
    <t>هنا</t>
  </si>
  <si>
    <t>P039</t>
  </si>
  <si>
    <t>مساعد</t>
  </si>
  <si>
    <t>نجد</t>
  </si>
  <si>
    <t>نوف</t>
  </si>
  <si>
    <t>أنس</t>
  </si>
  <si>
    <t>P040</t>
  </si>
  <si>
    <t>عبدالمجيد</t>
  </si>
  <si>
    <t>معاذ</t>
  </si>
  <si>
    <t>تميم</t>
  </si>
  <si>
    <t>بسمة</t>
  </si>
  <si>
    <t>ريم</t>
  </si>
  <si>
    <t>كندا</t>
  </si>
  <si>
    <t>بدر</t>
  </si>
  <si>
    <t>P041</t>
  </si>
  <si>
    <t>زياد</t>
  </si>
  <si>
    <t>ريان</t>
  </si>
  <si>
    <t>مؤيد</t>
  </si>
  <si>
    <t>عزام</t>
  </si>
  <si>
    <t>بتال</t>
  </si>
  <si>
    <t>شهد</t>
  </si>
  <si>
    <t>ريما</t>
  </si>
  <si>
    <t>P047</t>
  </si>
  <si>
    <t>خلود</t>
  </si>
  <si>
    <t>عبير</t>
  </si>
  <si>
    <t>أمل</t>
  </si>
  <si>
    <t>شروق</t>
  </si>
  <si>
    <t>فاتن</t>
  </si>
  <si>
    <t>لمياء</t>
  </si>
  <si>
    <t>تغريد</t>
  </si>
  <si>
    <t>العنود</t>
  </si>
  <si>
    <t>أسماء</t>
  </si>
  <si>
    <t>أروى</t>
  </si>
  <si>
    <t>موضي</t>
  </si>
  <si>
    <t>مدى</t>
  </si>
  <si>
    <t>مشاعل</t>
  </si>
  <si>
    <t>حصة</t>
  </si>
  <si>
    <t>نورة</t>
  </si>
  <si>
    <t>مها</t>
  </si>
  <si>
    <t>نجلاء</t>
  </si>
  <si>
    <t>دانة</t>
  </si>
  <si>
    <t>ديمة</t>
  </si>
  <si>
    <t>في</t>
  </si>
  <si>
    <t>هيا</t>
  </si>
  <si>
    <t>جواهر</t>
  </si>
  <si>
    <t>جمانه</t>
  </si>
  <si>
    <t>سفانة</t>
  </si>
  <si>
    <t>سلاف</t>
  </si>
  <si>
    <t>شموخ</t>
  </si>
  <si>
    <t>أضواء</t>
  </si>
  <si>
    <t>P026</t>
  </si>
  <si>
    <t>صبا</t>
  </si>
  <si>
    <t>فرح</t>
  </si>
  <si>
    <t>P027</t>
  </si>
  <si>
    <t>لمى</t>
  </si>
  <si>
    <t>P028</t>
  </si>
  <si>
    <t>P022</t>
  </si>
  <si>
    <t>الجوهرة</t>
  </si>
  <si>
    <t>P030</t>
  </si>
  <si>
    <t>سلطان</t>
  </si>
  <si>
    <t>ديم</t>
  </si>
  <si>
    <t>P036</t>
  </si>
  <si>
    <t>P014</t>
  </si>
  <si>
    <t>P114</t>
  </si>
  <si>
    <t>عبدالملك</t>
  </si>
  <si>
    <t>ليلى</t>
  </si>
  <si>
    <t>منار</t>
  </si>
  <si>
    <t>P120</t>
  </si>
  <si>
    <t>تالا</t>
  </si>
  <si>
    <t>P116</t>
  </si>
  <si>
    <t>رنا</t>
  </si>
  <si>
    <t>جدى</t>
  </si>
  <si>
    <t>حور</t>
  </si>
  <si>
    <t>جود</t>
  </si>
  <si>
    <t>P117</t>
  </si>
  <si>
    <t>ألين</t>
  </si>
  <si>
    <t>جنى</t>
  </si>
  <si>
    <t>لطيفة</t>
  </si>
  <si>
    <t>P118</t>
  </si>
  <si>
    <t>مهند</t>
  </si>
  <si>
    <t>رفيف</t>
  </si>
  <si>
    <t>لين</t>
  </si>
  <si>
    <t>P119</t>
  </si>
  <si>
    <t>قماشة</t>
  </si>
  <si>
    <t>منيرة</t>
  </si>
  <si>
    <t>فوزية</t>
  </si>
  <si>
    <t>جميلة</t>
  </si>
  <si>
    <t>وفاء</t>
  </si>
  <si>
    <t>منى</t>
  </si>
  <si>
    <t>P004</t>
  </si>
  <si>
    <t>P153</t>
  </si>
  <si>
    <t>P155</t>
  </si>
  <si>
    <t>P157</t>
  </si>
  <si>
    <t>P159</t>
  </si>
  <si>
    <t>P161</t>
  </si>
  <si>
    <t>مازن</t>
  </si>
  <si>
    <t>P162</t>
  </si>
  <si>
    <t>عامر</t>
  </si>
  <si>
    <t>قتيبة</t>
  </si>
  <si>
    <t>P163</t>
  </si>
  <si>
    <t>P164</t>
  </si>
  <si>
    <t>P160</t>
  </si>
  <si>
    <t>منصور</t>
  </si>
  <si>
    <t>فواز</t>
  </si>
  <si>
    <t>مشاري</t>
  </si>
  <si>
    <t>P179</t>
  </si>
  <si>
    <t>مصعب</t>
  </si>
  <si>
    <t>P178</t>
  </si>
  <si>
    <t>عمر</t>
  </si>
  <si>
    <t>عاصم</t>
  </si>
  <si>
    <t>P177</t>
  </si>
  <si>
    <t>P176</t>
  </si>
  <si>
    <t>مشعل</t>
  </si>
  <si>
    <t>سعود</t>
  </si>
  <si>
    <t>P175</t>
  </si>
  <si>
    <t>P194</t>
  </si>
  <si>
    <t>اسامه</t>
  </si>
  <si>
    <t>P197</t>
  </si>
  <si>
    <t>صالح</t>
  </si>
  <si>
    <t>P174</t>
  </si>
  <si>
    <t>احمد</t>
  </si>
  <si>
    <t>يوسف</t>
  </si>
  <si>
    <t>P202</t>
  </si>
  <si>
    <t>نايف</t>
  </si>
  <si>
    <t>P158</t>
  </si>
  <si>
    <t>P215</t>
  </si>
  <si>
    <t>P214</t>
  </si>
  <si>
    <t>باسل</t>
  </si>
  <si>
    <t>حسام</t>
  </si>
  <si>
    <t>انس</t>
  </si>
  <si>
    <t>P216</t>
  </si>
  <si>
    <t>P213</t>
  </si>
  <si>
    <t>P225</t>
  </si>
  <si>
    <t>P192</t>
  </si>
  <si>
    <t>P226</t>
  </si>
  <si>
    <t>P229</t>
  </si>
  <si>
    <t>P228</t>
  </si>
  <si>
    <t>P003</t>
  </si>
  <si>
    <t>P234</t>
  </si>
  <si>
    <t>عثمان</t>
  </si>
  <si>
    <t>P236</t>
  </si>
  <si>
    <t>P239</t>
  </si>
  <si>
    <t>P240</t>
  </si>
  <si>
    <t>ربى</t>
  </si>
  <si>
    <t>سارة</t>
  </si>
  <si>
    <t>ديما</t>
  </si>
  <si>
    <t>الين</t>
  </si>
  <si>
    <t>لبنى</t>
  </si>
  <si>
    <t>P241</t>
  </si>
  <si>
    <t>لينا</t>
  </si>
  <si>
    <t xml:space="preserve">عبدالله </t>
  </si>
  <si>
    <t>هند</t>
  </si>
  <si>
    <t>لولوة</t>
  </si>
  <si>
    <t>اسماء</t>
  </si>
  <si>
    <t>P015</t>
  </si>
  <si>
    <t>وسمية</t>
  </si>
  <si>
    <t>هالة</t>
  </si>
  <si>
    <t>P269</t>
  </si>
  <si>
    <t>دخيل</t>
  </si>
  <si>
    <t>P271</t>
  </si>
  <si>
    <t>P273</t>
  </si>
  <si>
    <t>تركي</t>
  </si>
  <si>
    <t>P275</t>
  </si>
  <si>
    <t>P277</t>
  </si>
  <si>
    <t>P274</t>
  </si>
  <si>
    <t>سامي</t>
  </si>
  <si>
    <t>P282</t>
  </si>
  <si>
    <t>رياض</t>
  </si>
  <si>
    <t>رائد</t>
  </si>
  <si>
    <t>P284</t>
  </si>
  <si>
    <t>P285</t>
  </si>
  <si>
    <t>P286</t>
  </si>
  <si>
    <t>P272</t>
  </si>
  <si>
    <t>بشار</t>
  </si>
  <si>
    <t>P302</t>
  </si>
  <si>
    <t>P301</t>
  </si>
  <si>
    <t>P304</t>
  </si>
  <si>
    <t>سليمان</t>
  </si>
  <si>
    <t>P305</t>
  </si>
  <si>
    <t>P306</t>
  </si>
  <si>
    <t>P318</t>
  </si>
  <si>
    <t>محمد (ابو حمد )</t>
  </si>
  <si>
    <t>P319</t>
  </si>
  <si>
    <t>P322</t>
  </si>
  <si>
    <t>P327</t>
  </si>
  <si>
    <t>P323</t>
  </si>
  <si>
    <t>P334</t>
  </si>
  <si>
    <t>P324</t>
  </si>
  <si>
    <t>P325</t>
  </si>
  <si>
    <t>P344</t>
  </si>
  <si>
    <t>P326</t>
  </si>
  <si>
    <t>P320</t>
  </si>
  <si>
    <t>P353</t>
  </si>
  <si>
    <t>ثامر</t>
  </si>
  <si>
    <t>P357</t>
  </si>
  <si>
    <t>P355</t>
  </si>
  <si>
    <t>P361</t>
  </si>
  <si>
    <t>P362</t>
  </si>
  <si>
    <t>P360</t>
  </si>
  <si>
    <t>P367</t>
  </si>
  <si>
    <t>جهاد</t>
  </si>
  <si>
    <t>P377</t>
  </si>
  <si>
    <t>P010</t>
  </si>
  <si>
    <t>P382</t>
  </si>
  <si>
    <t>صلاح</t>
  </si>
  <si>
    <t>تهاني</t>
  </si>
  <si>
    <t>🌳 شجرة العائلة التفاعلية - INTERACTIVE FAMILY TREE</t>
  </si>
  <si>
    <t>GEN 1</t>
  </si>
  <si>
    <t>GEN 2</t>
  </si>
  <si>
    <t>GEN 3</t>
  </si>
  <si>
    <t>GEN 4</t>
  </si>
  <si>
    <t>GEN 5</t>
  </si>
  <si>
    <t>GEN 6</t>
  </si>
  <si>
    <t>Full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</si>
</sst>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&quot;%&quot;"/>
  </numFmts>
  <fonts count="28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rgb="FFFFFFFF"/>
      <name val="Arial"/>
    </font>
    <font/>
    <font>
      <b/>
      <sz val="12.0"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rgb="FF1F4788"/>
      <name val="Calibri"/>
      <scheme val="minor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sz val="11.0"/>
      <color rgb="FFFFFFFF"/>
      <name val="Calibri"/>
      <scheme val="minor"/>
    </font>
    <font>
      <b/>
      <sz val="12.0"/>
      <color rgb="FF1F4788"/>
      <name val="Calibri"/>
      <scheme val="minor"/>
    </font>
    <font>
      <b/>
      <sz val="16.0"/>
      <color rgb="FFFFFFFF"/>
      <name val="Calibri"/>
      <scheme val="minor"/>
    </font>
    <font>
      <i/>
      <sz val="11.0"/>
      <color rgb="FF1F4788"/>
      <name val="Calibri"/>
      <scheme val="minor"/>
    </font>
    <font>
      <b/>
      <sz val="11.0"/>
      <color theme="1"/>
      <name val="Calibri"/>
      <scheme val="minor"/>
    </font>
    <font>
      <i/>
      <color theme="1"/>
      <name val="Calibri"/>
      <scheme val="minor"/>
    </font>
    <font>
      <b/>
      <color rgb="FF1F4788"/>
      <name val="Calibri"/>
      <scheme val="minor"/>
    </font>
    <font>
      <b/>
      <sz val="14.0"/>
      <color rgb="FFFFFFFF"/>
      <name val="Calibri"/>
      <scheme val="minor"/>
    </font>
    <font>
      <b/>
      <sz val="20.0"/>
      <color rgb="FFFFFFFF"/>
      <name val="Calibri"/>
      <scheme val="minor"/>
    </font>
    <font>
      <b/>
      <sz val="24.0"/>
      <color rgb="FF1F4788"/>
      <name val="Calibri"/>
      <scheme val="minor"/>
    </font>
    <font>
      <b/>
      <sz val="24.0"/>
      <color rgb="FF4472C4"/>
      <name val="Calibri"/>
      <scheme val="minor"/>
    </font>
    <font>
      <b/>
      <sz val="24.0"/>
      <color rgb="FFC55A11"/>
      <name val="Calibri"/>
      <scheme val="minor"/>
    </font>
    <font>
      <b/>
      <sz val="24.0"/>
      <color rgb="FF70AD47"/>
      <name val="Calibri"/>
      <scheme val="minor"/>
    </font>
    <font>
      <b/>
      <sz val="28.0"/>
      <color rgb="FF70AD47"/>
      <name val="Calibri"/>
      <scheme val="minor"/>
    </font>
    <font>
      <b/>
      <sz val="18.0"/>
      <color rgb="FFFFFFFF"/>
      <name val="Calibri"/>
      <scheme val="minor"/>
    </font>
    <font>
      <b/>
      <color rgb="FFFFFFFF"/>
      <name val="Calibri"/>
      <scheme val="minor"/>
    </font>
    <font>
      <b/>
      <sz val="10.0"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264653"/>
        <bgColor rgb="FF264653"/>
      </patternFill>
    </fill>
    <fill>
      <patternFill patternType="solid">
        <fgColor rgb="FF1F4788"/>
        <bgColor rgb="FF1F4788"/>
      </patternFill>
    </fill>
    <fill>
      <patternFill patternType="solid">
        <fgColor rgb="FF2E75B6"/>
        <bgColor rgb="FF2E75B6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FACD"/>
        <bgColor rgb="FFFFFACD"/>
      </patternFill>
    </fill>
    <fill>
      <patternFill patternType="solid">
        <fgColor rgb="FFF0F8FF"/>
        <bgColor rgb="FFF0F8FF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E0E0E0"/>
        <bgColor rgb="FFE0E0E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</fills>
  <borders count="3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ck">
        <color rgb="FF000000"/>
      </top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4" fontId="4" numFmtId="0" xfId="0" applyAlignment="1" applyBorder="1" applyFill="1" applyFont="1">
      <alignment horizontal="center"/>
    </xf>
    <xf borderId="7" fillId="5" fontId="4" numFmtId="0" xfId="0" applyAlignment="1" applyBorder="1" applyFill="1" applyFont="1">
      <alignment horizontal="center"/>
    </xf>
    <xf borderId="10" fillId="6" fontId="4" numFmtId="0" xfId="0" applyAlignment="1" applyBorder="1" applyFill="1" applyFont="1">
      <alignment horizontal="center"/>
    </xf>
    <xf borderId="0" fillId="0" fontId="5" numFmtId="0" xfId="0" applyFont="1"/>
    <xf borderId="11" fillId="7" fontId="6" numFmtId="0" xfId="0" applyBorder="1" applyFill="1" applyFont="1"/>
    <xf borderId="0" fillId="0" fontId="7" numFmtId="0" xfId="0" applyFont="1"/>
    <xf borderId="12" fillId="6" fontId="8" numFmtId="0" xfId="0" applyAlignment="1" applyBorder="1" applyFont="1">
      <alignment horizontal="center" vertical="center"/>
    </xf>
    <xf borderId="11" fillId="8" fontId="6" numFmtId="0" xfId="0" applyAlignment="1" applyBorder="1" applyFill="1" applyFont="1">
      <alignment readingOrder="0"/>
    </xf>
    <xf borderId="12" fillId="9" fontId="9" numFmtId="0" xfId="0" applyAlignment="1" applyBorder="1" applyFill="1" applyFont="1">
      <alignment horizontal="center" vertical="center"/>
    </xf>
    <xf borderId="12" fillId="10" fontId="10" numFmtId="0" xfId="0" applyAlignment="1" applyBorder="1" applyFill="1" applyFont="1">
      <alignment horizontal="center" vertical="center"/>
    </xf>
    <xf borderId="12" fillId="11" fontId="11" numFmtId="0" xfId="0" applyAlignment="1" applyBorder="1" applyFill="1" applyFont="1">
      <alignment horizontal="center" vertical="center"/>
    </xf>
    <xf borderId="7" fillId="9" fontId="4" numFmtId="0" xfId="0" applyAlignment="1" applyBorder="1" applyFont="1">
      <alignment horizontal="center"/>
    </xf>
    <xf borderId="0" fillId="0" fontId="12" numFmtId="1" xfId="0" applyFont="1" applyNumberFormat="1"/>
    <xf borderId="1" fillId="6" fontId="13" numFmtId="0" xfId="0" applyAlignment="1" applyBorder="1" applyFont="1">
      <alignment horizontal="center" vertical="center"/>
    </xf>
    <xf borderId="0" fillId="0" fontId="1" numFmtId="0" xfId="0" applyFont="1"/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right" readingOrder="0" shrinkToFit="0" vertical="center" wrapText="1"/>
    </xf>
    <xf borderId="13" fillId="7" fontId="6" numFmtId="0" xfId="0" applyAlignment="1" applyBorder="1" applyFont="1">
      <alignment readingOrder="0"/>
    </xf>
    <xf borderId="14" fillId="0" fontId="3" numFmtId="0" xfId="0" applyBorder="1" applyFont="1"/>
    <xf borderId="15" fillId="0" fontId="3" numFmtId="0" xfId="0" applyBorder="1" applyFont="1"/>
    <xf borderId="0" fillId="0" fontId="16" numFmtId="0" xfId="0" applyFont="1"/>
    <xf borderId="13" fillId="12" fontId="6" numFmtId="0" xfId="0" applyAlignment="1" applyBorder="1" applyFill="1" applyFont="1">
      <alignment readingOrder="0"/>
    </xf>
    <xf borderId="12" fillId="12" fontId="6" numFmtId="0" xfId="0" applyBorder="1" applyFont="1"/>
    <xf borderId="12" fillId="7" fontId="6" numFmtId="0" xfId="0" applyBorder="1" applyFont="1"/>
    <xf borderId="7" fillId="9" fontId="11" numFmtId="0" xfId="0" applyAlignment="1" applyBorder="1" applyFont="1">
      <alignment horizontal="center"/>
    </xf>
    <xf borderId="7" fillId="13" fontId="17" numFmtId="0" xfId="0" applyAlignment="1" applyBorder="1" applyFill="1" applyFont="1">
      <alignment readingOrder="0"/>
    </xf>
    <xf borderId="7" fillId="13" fontId="17" numFmtId="0" xfId="0" applyBorder="1" applyFont="1"/>
    <xf borderId="16" fillId="6" fontId="18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" fillId="2" fontId="19" numFmtId="0" xfId="0" applyAlignment="1" applyBorder="1" applyFont="1">
      <alignment horizontal="center" readingOrder="0" vertical="center"/>
    </xf>
    <xf borderId="20" fillId="3" fontId="11" numFmtId="0" xfId="0" applyAlignment="1" applyBorder="1" applyFont="1">
      <alignment horizontal="center" readingOrder="0" shrinkToFit="0" vertical="top" wrapText="1"/>
    </xf>
    <xf borderId="21" fillId="0" fontId="3" numFmtId="0" xfId="0" applyBorder="1" applyFont="1"/>
    <xf borderId="22" fillId="0" fontId="3" numFmtId="0" xfId="0" applyBorder="1" applyFont="1"/>
    <xf borderId="20" fillId="9" fontId="11" numFmtId="0" xfId="0" applyAlignment="1" applyBorder="1" applyFont="1">
      <alignment horizontal="center" readingOrder="0" shrinkToFit="0" vertical="top" wrapText="1"/>
    </xf>
    <xf borderId="20" fillId="11" fontId="11" numFmtId="0" xfId="0" applyAlignment="1" applyBorder="1" applyFont="1">
      <alignment horizontal="center" readingOrder="0" shrinkToFit="0" vertical="top" wrapText="1"/>
    </xf>
    <xf borderId="23" fillId="6" fontId="11" numFmtId="0" xfId="0" applyAlignment="1" applyBorder="1" applyFont="1">
      <alignment horizontal="center" readingOrder="0" shrinkToFit="0" vertical="top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10" fillId="14" fontId="5" numFmtId="0" xfId="0" applyBorder="1" applyFill="1" applyFont="1"/>
    <xf borderId="0" fillId="0" fontId="1" numFmtId="0" xfId="0" applyAlignment="1" applyFont="1">
      <alignment readingOrder="0"/>
    </xf>
    <xf borderId="0" fillId="0" fontId="6" numFmtId="164" xfId="0" applyFont="1" applyNumberFormat="1"/>
    <xf borderId="7" fillId="6" fontId="4" numFmtId="0" xfId="0" applyAlignment="1" applyBorder="1" applyFont="1">
      <alignment horizontal="center"/>
    </xf>
    <xf borderId="0" fillId="0" fontId="24" numFmtId="0" xfId="0" applyAlignment="1" applyFont="1">
      <alignment horizontal="center" vertical="center"/>
    </xf>
    <xf borderId="31" fillId="3" fontId="11" numFmtId="0" xfId="0" applyAlignment="1" applyBorder="1" applyFont="1">
      <alignment horizontal="center" shrinkToFit="0" vertical="center" wrapText="1"/>
    </xf>
    <xf borderId="31" fillId="3" fontId="11" numFmtId="0" xfId="0" applyAlignment="1" applyBorder="1" applyFont="1">
      <alignment horizontal="center" readingOrder="0" shrinkToFit="0" vertical="center" wrapText="1"/>
    </xf>
    <xf borderId="31" fillId="3" fontId="11" numFmtId="0" xfId="0" applyAlignment="1" applyBorder="1" applyFont="1">
      <alignment horizontal="center" readingOrder="0" shrinkToFit="0" vertical="center" wrapText="1"/>
    </xf>
    <xf borderId="0" fillId="15" fontId="1" numFmtId="0" xfId="0" applyFill="1" applyFont="1"/>
    <xf borderId="0" fillId="15" fontId="1" numFmtId="0" xfId="0" applyAlignment="1" applyFont="1">
      <alignment readingOrder="0"/>
    </xf>
    <xf borderId="0" fillId="15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16" fontId="1" numFmtId="0" xfId="0" applyFill="1" applyFont="1"/>
    <xf borderId="0" fillId="16" fontId="1" numFmtId="0" xfId="0" applyAlignment="1" applyFont="1">
      <alignment readingOrder="0"/>
    </xf>
    <xf borderId="0" fillId="16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17" fontId="1" numFmtId="0" xfId="0" applyFill="1" applyFont="1"/>
    <xf borderId="0" fillId="17" fontId="1" numFmtId="0" xfId="0" applyAlignment="1" applyFont="1">
      <alignment readingOrder="0"/>
    </xf>
    <xf borderId="0" fillId="17" fontId="1" numFmtId="0" xfId="0" applyAlignment="1" applyFont="1">
      <alignment readingOrder="0"/>
    </xf>
    <xf borderId="0" fillId="17" fontId="6" numFmtId="0" xfId="0" applyAlignment="1" applyFont="1">
      <alignment horizontal="right" vertical="bottom"/>
    </xf>
    <xf borderId="7" fillId="6" fontId="25" numFmtId="0" xfId="0" applyAlignment="1" applyBorder="1" applyFont="1">
      <alignment horizontal="center" readingOrder="0" vertical="center"/>
    </xf>
    <xf borderId="10" fillId="9" fontId="4" numFmtId="0" xfId="0" applyAlignment="1" applyBorder="1" applyFont="1">
      <alignment horizontal="center"/>
    </xf>
    <xf borderId="16" fillId="3" fontId="26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0" fillId="5" fontId="27" numFmtId="0" xfId="0" applyAlignment="1" applyBorder="1" applyFont="1">
      <alignment horizontal="center" shrinkToFit="0" vertical="center" wrapText="1"/>
    </xf>
    <xf borderId="10" fillId="3" fontId="26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FCE4EC"/>
          <bgColor rgb="FFFCE4EC"/>
        </patternFill>
      </fill>
      <border/>
    </dxf>
    <dxf>
      <font>
        <b/>
        <color rgb="FF70AD4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15.0"/>
    <col customWidth="1" min="5" max="5" width="8.71"/>
    <col customWidth="1" min="6" max="6" width="20.0"/>
    <col customWidth="1" min="7" max="13" width="8.71"/>
    <col customWidth="1" min="14" max="14" width="10.0"/>
    <col customWidth="1" min="15" max="26" width="8.71"/>
  </cols>
  <sheetData>
    <row r="1">
      <c r="A1" s="1" t="s">
        <v>0</v>
      </c>
    </row>
    <row r="2">
      <c r="B2" s="2" t="s">
        <v>1</v>
      </c>
      <c r="C2" s="3"/>
      <c r="D2" s="3"/>
      <c r="E2" s="3"/>
      <c r="F2" s="3"/>
      <c r="G2" s="3"/>
      <c r="H2" s="3"/>
      <c r="I2" s="3"/>
      <c r="J2" s="4"/>
    </row>
    <row r="3">
      <c r="B3" s="5"/>
      <c r="C3" s="6"/>
      <c r="D3" s="6"/>
      <c r="E3" s="6"/>
      <c r="F3" s="6"/>
      <c r="G3" s="6"/>
      <c r="H3" s="6"/>
      <c r="I3" s="6"/>
      <c r="J3" s="7"/>
    </row>
    <row r="5">
      <c r="B5" s="8" t="s">
        <v>2</v>
      </c>
      <c r="C5" s="9"/>
      <c r="D5" s="10"/>
      <c r="F5" s="11" t="s">
        <v>3</v>
      </c>
      <c r="G5" s="9"/>
      <c r="H5" s="10"/>
      <c r="J5" s="12" t="s">
        <v>4</v>
      </c>
      <c r="K5" s="9"/>
      <c r="L5" s="10"/>
      <c r="N5" s="13" t="s">
        <v>5</v>
      </c>
    </row>
    <row r="7">
      <c r="B7" s="14" t="s">
        <v>6</v>
      </c>
      <c r="C7" s="15" t="s">
        <v>7</v>
      </c>
      <c r="F7" s="16" t="s">
        <v>8</v>
      </c>
      <c r="N7" s="17" t="str">
        <f>HYPERLINK("#QUICK_ADD!A1","➕ ADD PERSON")</f>
        <v>➕ ADD PERSON</v>
      </c>
    </row>
    <row r="8">
      <c r="B8" s="14" t="s">
        <v>9</v>
      </c>
      <c r="C8" s="15" t="s">
        <v>7</v>
      </c>
      <c r="F8" s="18" t="s">
        <v>10</v>
      </c>
      <c r="N8" s="19" t="str">
        <f>HYPERLINK("#REGISTRY!A1","🔍 SEARCH")</f>
        <v>🔍 SEARCH</v>
      </c>
    </row>
    <row r="9">
      <c r="B9" s="14" t="s">
        <v>11</v>
      </c>
      <c r="C9" s="15" t="s">
        <v>12</v>
      </c>
      <c r="N9" s="20" t="str">
        <f>HYPERLINK("#DASHBOARD!A1","📊 DASHBOARD")</f>
        <v>📊 DASHBOARD</v>
      </c>
    </row>
    <row r="10">
      <c r="B10" s="14" t="s">
        <v>13</v>
      </c>
      <c r="C10" s="15" t="s">
        <v>14</v>
      </c>
      <c r="N10" s="17" t="str">
        <f>HYPERLINK("#TREE!A1","🌳 TREE VIEW")</f>
        <v>🌳 TREE VIEW</v>
      </c>
    </row>
    <row r="11">
      <c r="B11" s="14" t="s">
        <v>15</v>
      </c>
      <c r="C11" s="15" t="s">
        <v>16</v>
      </c>
      <c r="N11" s="21" t="s">
        <v>17</v>
      </c>
    </row>
    <row r="14">
      <c r="B14" s="22" t="s">
        <v>18</v>
      </c>
      <c r="C14" s="9"/>
      <c r="D14" s="10"/>
    </row>
    <row r="15">
      <c r="B15" s="14" t="s">
        <v>19</v>
      </c>
      <c r="C15" s="23">
        <f>COUNTA(REGISTRY!B:B)-1</f>
        <v>389</v>
      </c>
    </row>
    <row r="16">
      <c r="B16" s="14" t="s">
        <v>20</v>
      </c>
      <c r="C16" s="23">
        <f>COUNTIF(REGISTRY!G:G,"Male")</f>
        <v>299</v>
      </c>
    </row>
    <row r="17">
      <c r="B17" s="14" t="s">
        <v>21</v>
      </c>
      <c r="C17" s="23">
        <f>COUNTIF(REGISTRY!G:G,"Female")</f>
        <v>89</v>
      </c>
    </row>
    <row r="18">
      <c r="B18" s="14" t="s">
        <v>22</v>
      </c>
      <c r="C18" s="23">
        <f>MAX(REGISTRY!K:K)</f>
        <v>10</v>
      </c>
    </row>
    <row r="19">
      <c r="B19" s="14" t="s">
        <v>23</v>
      </c>
      <c r="C19" s="23" t="str">
        <f>AVERAGE(REGISTRY!AG:AG)</f>
        <v>#DIV/0!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J3"/>
    <mergeCell ref="B5:D5"/>
    <mergeCell ref="F5:H5"/>
    <mergeCell ref="J5:L5"/>
    <mergeCell ref="B14:D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26" width="8.71"/>
  </cols>
  <sheetData>
    <row r="2">
      <c r="B2" s="24" t="s">
        <v>24</v>
      </c>
      <c r="C2" s="3"/>
      <c r="D2" s="3"/>
      <c r="E2" s="3"/>
      <c r="F2" s="3"/>
      <c r="G2" s="4"/>
    </row>
    <row r="3">
      <c r="B3" s="5"/>
      <c r="C3" s="6"/>
      <c r="D3" s="6"/>
      <c r="E3" s="6"/>
      <c r="F3" s="6"/>
      <c r="G3" s="7"/>
    </row>
    <row r="4">
      <c r="G4" s="25"/>
    </row>
    <row r="5">
      <c r="B5" s="26" t="s">
        <v>25</v>
      </c>
    </row>
    <row r="6">
      <c r="G6" s="25"/>
    </row>
    <row r="7">
      <c r="B7" s="27" t="s">
        <v>26</v>
      </c>
      <c r="C7" s="28" t="s">
        <v>27</v>
      </c>
      <c r="D7" s="29"/>
      <c r="E7" s="30"/>
      <c r="G7" s="16" t="s">
        <v>28</v>
      </c>
    </row>
    <row r="8">
      <c r="G8" s="31" t="s">
        <v>29</v>
      </c>
    </row>
    <row r="9">
      <c r="B9" s="27" t="s">
        <v>30</v>
      </c>
      <c r="C9" s="32" t="s">
        <v>31</v>
      </c>
      <c r="D9" s="29"/>
      <c r="E9" s="30"/>
      <c r="G9" s="31" t="s">
        <v>32</v>
      </c>
    </row>
    <row r="10">
      <c r="G10" s="31" t="s">
        <v>33</v>
      </c>
    </row>
    <row r="11">
      <c r="B11" s="27" t="s">
        <v>34</v>
      </c>
      <c r="C11" s="33" t="s">
        <v>35</v>
      </c>
      <c r="G11" s="31" t="s">
        <v>36</v>
      </c>
    </row>
    <row r="12">
      <c r="B12" s="27" t="s">
        <v>37</v>
      </c>
      <c r="C12" s="34">
        <f>2025-25</f>
        <v>2000</v>
      </c>
      <c r="G12" s="31" t="s">
        <v>38</v>
      </c>
    </row>
    <row r="13">
      <c r="G13" s="25"/>
    </row>
    <row r="14">
      <c r="B14" s="35" t="s">
        <v>39</v>
      </c>
      <c r="C14" s="9"/>
      <c r="D14" s="9"/>
      <c r="E14" s="10"/>
      <c r="G14" s="25"/>
    </row>
    <row r="15">
      <c r="B15" s="14" t="s">
        <v>40</v>
      </c>
      <c r="C15" s="36" t="s">
        <v>31</v>
      </c>
      <c r="D15" s="9"/>
      <c r="E15" s="10"/>
      <c r="G15" s="25"/>
    </row>
    <row r="16">
      <c r="B16" s="14" t="s">
        <v>41</v>
      </c>
      <c r="C16" s="37" t="str">
        <f>IF(C9&lt;&gt;"",VLOOKUP(C9,REGISTRY!A:C,3,FALSE),"")</f>
        <v>#N/A</v>
      </c>
      <c r="D16" s="9"/>
      <c r="E16" s="10"/>
      <c r="G16" s="25"/>
    </row>
    <row r="17">
      <c r="B17" s="14" t="s">
        <v>42</v>
      </c>
      <c r="C17" s="37" t="str">
        <f>IF(C9&lt;&gt;"",VLOOKUP(C9,REGISTRY!A:E,5,FALSE),"")</f>
        <v>#N/A</v>
      </c>
      <c r="D17" s="9"/>
      <c r="E17" s="10"/>
      <c r="G17" s="25"/>
    </row>
    <row r="18">
      <c r="B18" s="14" t="s">
        <v>43</v>
      </c>
      <c r="C18" s="37" t="str">
        <f>IF(C9&lt;&gt;"",VLOOKUP(C9,REGISTRY!A:K,11,FALSE)+1,1)</f>
        <v>#N/A</v>
      </c>
      <c r="D18" s="9"/>
      <c r="E18" s="10"/>
      <c r="G18" s="25"/>
    </row>
    <row r="19">
      <c r="B19" s="14" t="s">
        <v>44</v>
      </c>
      <c r="C19" s="37" t="str">
        <f>"P"&amp;TEXT(COUNTA(REGISTRY!B:B),"000")</f>
        <v>P390</v>
      </c>
      <c r="D19" s="9"/>
      <c r="E19" s="10"/>
      <c r="G19" s="25"/>
    </row>
    <row r="20">
      <c r="G20" s="25"/>
    </row>
    <row r="21" ht="15.75" customHeight="1">
      <c r="C21" s="38" t="s">
        <v>45</v>
      </c>
      <c r="D21" s="39"/>
      <c r="G21" s="25"/>
    </row>
    <row r="22" ht="15.75" customHeight="1">
      <c r="C22" s="40"/>
      <c r="D22" s="41"/>
      <c r="G22" s="25"/>
    </row>
    <row r="23" ht="15.75" customHeight="1">
      <c r="G23" s="25"/>
    </row>
    <row r="24" ht="15.75" customHeight="1">
      <c r="G24" s="25"/>
    </row>
    <row r="25" ht="15.75" customHeight="1">
      <c r="G25" s="25"/>
    </row>
    <row r="26" ht="15.75" customHeight="1">
      <c r="G26" s="25"/>
    </row>
    <row r="27" ht="15.75" customHeight="1">
      <c r="G27" s="25"/>
    </row>
    <row r="28" ht="15.75" customHeight="1">
      <c r="G28" s="25"/>
    </row>
    <row r="29" ht="15.75" customHeight="1">
      <c r="G29" s="25"/>
    </row>
    <row r="30" ht="15.75" customHeight="1">
      <c r="G30" s="25"/>
    </row>
    <row r="31" ht="15.75" customHeight="1">
      <c r="G31" s="25"/>
    </row>
    <row r="32" ht="15.75" customHeight="1">
      <c r="G32" s="25"/>
    </row>
    <row r="33" ht="15.75" customHeight="1">
      <c r="G33" s="25"/>
    </row>
    <row r="34" ht="15.75" customHeight="1">
      <c r="G34" s="25"/>
    </row>
    <row r="35" ht="15.75" customHeight="1">
      <c r="G35" s="25"/>
    </row>
    <row r="36" ht="15.75" customHeight="1">
      <c r="G36" s="25"/>
    </row>
    <row r="37" ht="15.75" customHeight="1">
      <c r="G37" s="25"/>
    </row>
    <row r="38" ht="15.75" customHeight="1">
      <c r="G38" s="25"/>
    </row>
    <row r="39" ht="15.75" customHeight="1">
      <c r="G39" s="25"/>
    </row>
    <row r="40" ht="15.75" customHeight="1">
      <c r="G40" s="25"/>
    </row>
    <row r="41" ht="15.75" customHeight="1">
      <c r="G41" s="25"/>
    </row>
    <row r="42" ht="15.75" customHeight="1">
      <c r="G42" s="25"/>
    </row>
    <row r="43" ht="15.75" customHeight="1">
      <c r="G43" s="25"/>
    </row>
    <row r="44" ht="15.75" customHeight="1">
      <c r="G44" s="25"/>
    </row>
    <row r="45" ht="15.75" customHeight="1">
      <c r="G45" s="25"/>
    </row>
    <row r="46" ht="15.75" customHeight="1">
      <c r="G46" s="25"/>
    </row>
    <row r="47" ht="15.75" customHeight="1">
      <c r="G47" s="25"/>
    </row>
    <row r="48" ht="15.75" customHeight="1">
      <c r="G48" s="25"/>
    </row>
    <row r="49" ht="15.75" customHeight="1">
      <c r="G49" s="25"/>
    </row>
    <row r="50" ht="15.75" customHeight="1">
      <c r="G50" s="25"/>
    </row>
    <row r="51" ht="15.75" customHeight="1">
      <c r="G51" s="25"/>
    </row>
    <row r="52" ht="15.75" customHeight="1">
      <c r="G52" s="25"/>
    </row>
    <row r="53" ht="15.75" customHeight="1">
      <c r="G53" s="25"/>
    </row>
    <row r="54" ht="15.75" customHeight="1">
      <c r="G54" s="25"/>
    </row>
    <row r="55" ht="15.75" customHeight="1">
      <c r="G55" s="25"/>
    </row>
    <row r="56" ht="15.75" customHeight="1">
      <c r="G56" s="25"/>
    </row>
    <row r="57" ht="15.75" customHeight="1">
      <c r="G57" s="25"/>
    </row>
    <row r="58" ht="15.75" customHeight="1">
      <c r="G58" s="25"/>
    </row>
    <row r="59" ht="15.75" customHeight="1">
      <c r="G59" s="25"/>
    </row>
    <row r="60" ht="15.75" customHeight="1">
      <c r="G60" s="25"/>
    </row>
    <row r="61" ht="15.75" customHeight="1">
      <c r="G61" s="25"/>
    </row>
    <row r="62" ht="15.75" customHeight="1">
      <c r="G62" s="25"/>
    </row>
    <row r="63" ht="15.75" customHeight="1">
      <c r="G63" s="25"/>
    </row>
    <row r="64" ht="15.75" customHeight="1">
      <c r="G64" s="25"/>
    </row>
    <row r="65" ht="15.75" customHeight="1">
      <c r="G65" s="25"/>
    </row>
    <row r="66" ht="15.75" customHeight="1">
      <c r="G66" s="25"/>
    </row>
    <row r="67" ht="15.75" customHeight="1">
      <c r="G67" s="25"/>
    </row>
    <row r="68" ht="15.75" customHeight="1">
      <c r="G68" s="25"/>
    </row>
    <row r="69" ht="15.75" customHeight="1">
      <c r="G69" s="25"/>
    </row>
    <row r="70" ht="15.75" customHeight="1">
      <c r="G70" s="25"/>
    </row>
    <row r="71" ht="15.75" customHeight="1">
      <c r="G71" s="25"/>
    </row>
    <row r="72" ht="15.75" customHeight="1">
      <c r="G72" s="25"/>
    </row>
    <row r="73" ht="15.75" customHeight="1">
      <c r="G73" s="25"/>
    </row>
    <row r="74" ht="15.75" customHeight="1">
      <c r="G74" s="25"/>
    </row>
    <row r="75" ht="15.75" customHeight="1">
      <c r="G75" s="25"/>
    </row>
    <row r="76" ht="15.75" customHeight="1">
      <c r="G76" s="25"/>
    </row>
    <row r="77" ht="15.75" customHeight="1">
      <c r="G77" s="25"/>
    </row>
    <row r="78" ht="15.75" customHeight="1">
      <c r="G78" s="25"/>
    </row>
    <row r="79" ht="15.75" customHeight="1">
      <c r="G79" s="25"/>
    </row>
    <row r="80" ht="15.75" customHeight="1">
      <c r="G80" s="25"/>
    </row>
    <row r="81" ht="15.75" customHeight="1">
      <c r="G81" s="25"/>
    </row>
    <row r="82" ht="15.75" customHeight="1">
      <c r="G82" s="25"/>
    </row>
    <row r="83" ht="15.75" customHeight="1">
      <c r="G83" s="25"/>
    </row>
    <row r="84" ht="15.75" customHeight="1">
      <c r="G84" s="25"/>
    </row>
    <row r="85" ht="15.75" customHeight="1">
      <c r="G85" s="25"/>
    </row>
    <row r="86" ht="15.75" customHeight="1">
      <c r="G86" s="25"/>
    </row>
    <row r="87" ht="15.75" customHeight="1">
      <c r="G87" s="25"/>
    </row>
    <row r="88" ht="15.75" customHeight="1">
      <c r="G88" s="25"/>
    </row>
    <row r="89" ht="15.75" customHeight="1">
      <c r="G89" s="25"/>
    </row>
    <row r="90" ht="15.75" customHeight="1">
      <c r="G90" s="25"/>
    </row>
    <row r="91" ht="15.75" customHeight="1">
      <c r="G91" s="25"/>
    </row>
    <row r="92" ht="15.75" customHeight="1">
      <c r="G92" s="25"/>
    </row>
    <row r="93" ht="15.75" customHeight="1">
      <c r="G93" s="25"/>
    </row>
    <row r="94" ht="15.75" customHeight="1">
      <c r="G94" s="25"/>
    </row>
    <row r="95" ht="15.75" customHeight="1">
      <c r="G95" s="25"/>
    </row>
    <row r="96" ht="15.75" customHeight="1">
      <c r="G96" s="25"/>
    </row>
    <row r="97" ht="15.75" customHeight="1">
      <c r="G97" s="25"/>
    </row>
    <row r="98" ht="15.75" customHeight="1">
      <c r="G98" s="25"/>
    </row>
    <row r="99" ht="15.75" customHeight="1">
      <c r="G99" s="25"/>
    </row>
    <row r="100" ht="15.75" customHeight="1">
      <c r="G100" s="25"/>
    </row>
    <row r="101" ht="15.75" customHeight="1">
      <c r="G101" s="25"/>
    </row>
    <row r="102" ht="15.75" customHeight="1">
      <c r="G102" s="25"/>
    </row>
    <row r="103" ht="15.75" customHeight="1">
      <c r="G103" s="25"/>
    </row>
    <row r="104" ht="15.75" customHeight="1">
      <c r="G104" s="25"/>
    </row>
    <row r="105" ht="15.75" customHeight="1">
      <c r="G105" s="25"/>
    </row>
    <row r="106" ht="15.75" customHeight="1">
      <c r="G106" s="25"/>
    </row>
    <row r="107" ht="15.75" customHeight="1">
      <c r="G107" s="25"/>
    </row>
    <row r="108" ht="15.75" customHeight="1">
      <c r="G108" s="25"/>
    </row>
    <row r="109" ht="15.75" customHeight="1">
      <c r="G109" s="25"/>
    </row>
    <row r="110" ht="15.75" customHeight="1">
      <c r="G110" s="25"/>
    </row>
    <row r="111" ht="15.75" customHeight="1">
      <c r="G111" s="25"/>
    </row>
    <row r="112" ht="15.75" customHeight="1">
      <c r="G112" s="25"/>
    </row>
    <row r="113" ht="15.75" customHeight="1">
      <c r="G113" s="25"/>
    </row>
    <row r="114" ht="15.75" customHeight="1">
      <c r="G114" s="25"/>
    </row>
    <row r="115" ht="15.75" customHeight="1">
      <c r="G115" s="25"/>
    </row>
    <row r="116" ht="15.75" customHeight="1">
      <c r="G116" s="25"/>
    </row>
    <row r="117" ht="15.75" customHeight="1">
      <c r="G117" s="25"/>
    </row>
    <row r="118" ht="15.75" customHeight="1">
      <c r="G118" s="25"/>
    </row>
    <row r="119" ht="15.75" customHeight="1">
      <c r="G119" s="25"/>
    </row>
    <row r="120" ht="15.75" customHeight="1">
      <c r="G120" s="25"/>
    </row>
    <row r="121" ht="15.75" customHeight="1">
      <c r="G121" s="25"/>
    </row>
    <row r="122" ht="15.75" customHeight="1">
      <c r="G122" s="25"/>
    </row>
    <row r="123" ht="15.75" customHeight="1">
      <c r="G123" s="25"/>
    </row>
    <row r="124" ht="15.75" customHeight="1">
      <c r="G124" s="25"/>
    </row>
    <row r="125" ht="15.75" customHeight="1">
      <c r="G125" s="25"/>
    </row>
    <row r="126" ht="15.75" customHeight="1">
      <c r="G126" s="25"/>
    </row>
    <row r="127" ht="15.75" customHeight="1">
      <c r="G127" s="25"/>
    </row>
    <row r="128" ht="15.75" customHeight="1">
      <c r="G128" s="25"/>
    </row>
    <row r="129" ht="15.75" customHeight="1">
      <c r="G129" s="25"/>
    </row>
    <row r="130" ht="15.75" customHeight="1">
      <c r="G130" s="25"/>
    </row>
    <row r="131" ht="15.75" customHeight="1">
      <c r="G131" s="25"/>
    </row>
    <row r="132" ht="15.75" customHeight="1">
      <c r="G132" s="25"/>
    </row>
    <row r="133" ht="15.75" customHeight="1">
      <c r="G133" s="25"/>
    </row>
    <row r="134" ht="15.75" customHeight="1">
      <c r="G134" s="25"/>
    </row>
    <row r="135" ht="15.75" customHeight="1">
      <c r="G135" s="25"/>
    </row>
    <row r="136" ht="15.75" customHeight="1">
      <c r="G136" s="25"/>
    </row>
    <row r="137" ht="15.75" customHeight="1">
      <c r="G137" s="25"/>
    </row>
    <row r="138" ht="15.75" customHeight="1">
      <c r="G138" s="25"/>
    </row>
    <row r="139" ht="15.75" customHeight="1">
      <c r="G139" s="25"/>
    </row>
    <row r="140" ht="15.75" customHeight="1">
      <c r="G140" s="25"/>
    </row>
    <row r="141" ht="15.75" customHeight="1">
      <c r="G141" s="25"/>
    </row>
    <row r="142" ht="15.75" customHeight="1">
      <c r="G142" s="25"/>
    </row>
    <row r="143" ht="15.75" customHeight="1">
      <c r="G143" s="25"/>
    </row>
    <row r="144" ht="15.75" customHeight="1">
      <c r="G144" s="25"/>
    </row>
    <row r="145" ht="15.75" customHeight="1">
      <c r="G145" s="25"/>
    </row>
    <row r="146" ht="15.75" customHeight="1">
      <c r="G146" s="25"/>
    </row>
    <row r="147" ht="15.75" customHeight="1">
      <c r="G147" s="25"/>
    </row>
    <row r="148" ht="15.75" customHeight="1">
      <c r="G148" s="25"/>
    </row>
    <row r="149" ht="15.75" customHeight="1">
      <c r="G149" s="25"/>
    </row>
    <row r="150" ht="15.75" customHeight="1">
      <c r="G150" s="25"/>
    </row>
    <row r="151" ht="15.75" customHeight="1">
      <c r="G151" s="25"/>
    </row>
    <row r="152" ht="15.75" customHeight="1">
      <c r="G152" s="25"/>
    </row>
    <row r="153" ht="15.75" customHeight="1">
      <c r="G153" s="25"/>
    </row>
    <row r="154" ht="15.75" customHeight="1">
      <c r="G154" s="25"/>
    </row>
    <row r="155" ht="15.75" customHeight="1">
      <c r="G155" s="25"/>
    </row>
    <row r="156" ht="15.75" customHeight="1">
      <c r="G156" s="25"/>
    </row>
    <row r="157" ht="15.75" customHeight="1">
      <c r="G157" s="25"/>
    </row>
    <row r="158" ht="15.75" customHeight="1">
      <c r="G158" s="25"/>
    </row>
    <row r="159" ht="15.75" customHeight="1">
      <c r="G159" s="25"/>
    </row>
    <row r="160" ht="15.75" customHeight="1">
      <c r="G160" s="25"/>
    </row>
    <row r="161" ht="15.75" customHeight="1">
      <c r="G161" s="25"/>
    </row>
    <row r="162" ht="15.75" customHeight="1">
      <c r="G162" s="25"/>
    </row>
    <row r="163" ht="15.75" customHeight="1">
      <c r="G163" s="25"/>
    </row>
    <row r="164" ht="15.75" customHeight="1">
      <c r="G164" s="25"/>
    </row>
    <row r="165" ht="15.75" customHeight="1">
      <c r="G165" s="25"/>
    </row>
    <row r="166" ht="15.75" customHeight="1">
      <c r="G166" s="25"/>
    </row>
    <row r="167" ht="15.75" customHeight="1">
      <c r="G167" s="25"/>
    </row>
    <row r="168" ht="15.75" customHeight="1">
      <c r="G168" s="25"/>
    </row>
    <row r="169" ht="15.75" customHeight="1">
      <c r="G169" s="25"/>
    </row>
    <row r="170" ht="15.75" customHeight="1">
      <c r="G170" s="25"/>
    </row>
    <row r="171" ht="15.75" customHeight="1">
      <c r="G171" s="25"/>
    </row>
    <row r="172" ht="15.75" customHeight="1">
      <c r="G172" s="25"/>
    </row>
    <row r="173" ht="15.75" customHeight="1">
      <c r="G173" s="25"/>
    </row>
    <row r="174" ht="15.75" customHeight="1">
      <c r="G174" s="25"/>
    </row>
    <row r="175" ht="15.75" customHeight="1">
      <c r="G175" s="25"/>
    </row>
    <row r="176" ht="15.75" customHeight="1">
      <c r="G176" s="25"/>
    </row>
    <row r="177" ht="15.75" customHeight="1">
      <c r="G177" s="25"/>
    </row>
    <row r="178" ht="15.75" customHeight="1">
      <c r="G178" s="25"/>
    </row>
    <row r="179" ht="15.75" customHeight="1">
      <c r="G179" s="25"/>
    </row>
    <row r="180" ht="15.75" customHeight="1">
      <c r="G180" s="25"/>
    </row>
    <row r="181" ht="15.75" customHeight="1">
      <c r="G181" s="25"/>
    </row>
    <row r="182" ht="15.75" customHeight="1">
      <c r="G182" s="25"/>
    </row>
    <row r="183" ht="15.75" customHeight="1">
      <c r="G183" s="25"/>
    </row>
    <row r="184" ht="15.75" customHeight="1">
      <c r="G184" s="25"/>
    </row>
    <row r="185" ht="15.75" customHeight="1">
      <c r="G185" s="25"/>
    </row>
    <row r="186" ht="15.75" customHeight="1">
      <c r="G186" s="25"/>
    </row>
    <row r="187" ht="15.75" customHeight="1">
      <c r="G187" s="25"/>
    </row>
    <row r="188" ht="15.75" customHeight="1">
      <c r="G188" s="25"/>
    </row>
    <row r="189" ht="15.75" customHeight="1">
      <c r="G189" s="25"/>
    </row>
    <row r="190" ht="15.75" customHeight="1">
      <c r="G190" s="25"/>
    </row>
    <row r="191" ht="15.75" customHeight="1">
      <c r="G191" s="25"/>
    </row>
    <row r="192" ht="15.75" customHeight="1">
      <c r="G192" s="25"/>
    </row>
    <row r="193" ht="15.75" customHeight="1">
      <c r="G193" s="25"/>
    </row>
    <row r="194" ht="15.75" customHeight="1">
      <c r="G194" s="25"/>
    </row>
    <row r="195" ht="15.75" customHeight="1">
      <c r="G195" s="25"/>
    </row>
    <row r="196" ht="15.75" customHeight="1">
      <c r="G196" s="25"/>
    </row>
    <row r="197" ht="15.75" customHeight="1">
      <c r="G197" s="25"/>
    </row>
    <row r="198" ht="15.75" customHeight="1">
      <c r="G198" s="25"/>
    </row>
    <row r="199" ht="15.75" customHeight="1">
      <c r="G199" s="25"/>
    </row>
    <row r="200" ht="15.75" customHeight="1">
      <c r="G200" s="25"/>
    </row>
    <row r="201" ht="15.75" customHeight="1">
      <c r="G201" s="25"/>
    </row>
    <row r="202" ht="15.75" customHeight="1">
      <c r="G202" s="25"/>
    </row>
    <row r="203" ht="15.75" customHeight="1">
      <c r="G203" s="25"/>
    </row>
    <row r="204" ht="15.75" customHeight="1">
      <c r="G204" s="25"/>
    </row>
    <row r="205" ht="15.75" customHeight="1">
      <c r="G205" s="25"/>
    </row>
    <row r="206" ht="15.75" customHeight="1">
      <c r="G206" s="25"/>
    </row>
    <row r="207" ht="15.75" customHeight="1">
      <c r="G207" s="25"/>
    </row>
    <row r="208" ht="15.75" customHeight="1">
      <c r="G208" s="25"/>
    </row>
    <row r="209" ht="15.75" customHeight="1">
      <c r="G209" s="25"/>
    </row>
    <row r="210" ht="15.75" customHeight="1">
      <c r="G210" s="25"/>
    </row>
    <row r="211" ht="15.75" customHeight="1">
      <c r="G211" s="25"/>
    </row>
    <row r="212" ht="15.75" customHeight="1">
      <c r="G212" s="25"/>
    </row>
    <row r="213" ht="15.75" customHeight="1">
      <c r="G213" s="25"/>
    </row>
    <row r="214" ht="15.75" customHeight="1">
      <c r="G214" s="25"/>
    </row>
    <row r="215" ht="15.75" customHeight="1">
      <c r="G215" s="25"/>
    </row>
    <row r="216" ht="15.75" customHeight="1">
      <c r="G216" s="25"/>
    </row>
    <row r="217" ht="15.75" customHeight="1">
      <c r="G217" s="25"/>
    </row>
    <row r="218" ht="15.75" customHeight="1">
      <c r="G218" s="25"/>
    </row>
    <row r="219" ht="15.75" customHeight="1">
      <c r="G219" s="25"/>
    </row>
    <row r="220" ht="15.75" customHeight="1">
      <c r="G220" s="25"/>
    </row>
    <row r="221" ht="15.75" customHeight="1">
      <c r="G221" s="25"/>
    </row>
    <row r="222" ht="15.75" customHeight="1">
      <c r="G222" s="25"/>
    </row>
    <row r="223" ht="15.75" customHeight="1">
      <c r="G223" s="25"/>
    </row>
    <row r="224" ht="15.75" customHeight="1">
      <c r="G224" s="25"/>
    </row>
    <row r="225" ht="15.75" customHeight="1">
      <c r="G225" s="25"/>
    </row>
    <row r="226" ht="15.75" customHeight="1">
      <c r="G226" s="25"/>
    </row>
    <row r="227" ht="15.75" customHeight="1">
      <c r="G227" s="25"/>
    </row>
    <row r="228" ht="15.75" customHeight="1">
      <c r="G228" s="25"/>
    </row>
    <row r="229" ht="15.75" customHeight="1">
      <c r="G229" s="25"/>
    </row>
    <row r="230" ht="15.75" customHeight="1">
      <c r="G230" s="25"/>
    </row>
    <row r="231" ht="15.75" customHeight="1">
      <c r="G231" s="25"/>
    </row>
    <row r="232" ht="15.75" customHeight="1">
      <c r="G232" s="25"/>
    </row>
    <row r="233" ht="15.75" customHeight="1">
      <c r="G233" s="25"/>
    </row>
    <row r="234" ht="15.75" customHeight="1">
      <c r="G234" s="25"/>
    </row>
    <row r="235" ht="15.75" customHeight="1">
      <c r="G235" s="25"/>
    </row>
    <row r="236" ht="15.75" customHeight="1">
      <c r="G236" s="25"/>
    </row>
    <row r="237" ht="15.75" customHeight="1">
      <c r="G237" s="25"/>
    </row>
    <row r="238" ht="15.75" customHeight="1">
      <c r="G238" s="25"/>
    </row>
    <row r="239" ht="15.75" customHeight="1">
      <c r="G239" s="25"/>
    </row>
    <row r="240" ht="15.75" customHeight="1">
      <c r="G240" s="25"/>
    </row>
    <row r="241" ht="15.75" customHeight="1">
      <c r="G241" s="25"/>
    </row>
    <row r="242" ht="15.75" customHeight="1">
      <c r="G242" s="25"/>
    </row>
    <row r="243" ht="15.75" customHeight="1">
      <c r="G243" s="25"/>
    </row>
    <row r="244" ht="15.75" customHeight="1">
      <c r="G244" s="25"/>
    </row>
    <row r="245" ht="15.75" customHeight="1">
      <c r="G245" s="25"/>
    </row>
    <row r="246" ht="15.75" customHeight="1">
      <c r="G246" s="25"/>
    </row>
    <row r="247" ht="15.75" customHeight="1">
      <c r="G247" s="25"/>
    </row>
    <row r="248" ht="15.75" customHeight="1">
      <c r="G248" s="25"/>
    </row>
    <row r="249" ht="15.75" customHeight="1">
      <c r="G249" s="25"/>
    </row>
    <row r="250" ht="15.75" customHeight="1">
      <c r="G250" s="25"/>
    </row>
    <row r="251" ht="15.75" customHeight="1">
      <c r="G251" s="25"/>
    </row>
    <row r="252" ht="15.75" customHeight="1">
      <c r="G252" s="25"/>
    </row>
    <row r="253" ht="15.75" customHeight="1">
      <c r="G253" s="25"/>
    </row>
    <row r="254" ht="15.75" customHeight="1">
      <c r="G254" s="25"/>
    </row>
    <row r="255" ht="15.75" customHeight="1">
      <c r="G255" s="25"/>
    </row>
    <row r="256" ht="15.75" customHeight="1">
      <c r="G256" s="25"/>
    </row>
    <row r="257" ht="15.75" customHeight="1">
      <c r="G257" s="25"/>
    </row>
    <row r="258" ht="15.75" customHeight="1">
      <c r="G258" s="25"/>
    </row>
    <row r="259" ht="15.75" customHeight="1">
      <c r="G259" s="25"/>
    </row>
    <row r="260" ht="15.75" customHeight="1">
      <c r="G260" s="25"/>
    </row>
    <row r="261" ht="15.75" customHeight="1">
      <c r="G261" s="25"/>
    </row>
    <row r="262" ht="15.75" customHeight="1">
      <c r="G262" s="25"/>
    </row>
    <row r="263" ht="15.75" customHeight="1">
      <c r="G263" s="25"/>
    </row>
    <row r="264" ht="15.75" customHeight="1">
      <c r="G264" s="25"/>
    </row>
    <row r="265" ht="15.75" customHeight="1">
      <c r="G265" s="25"/>
    </row>
    <row r="266" ht="15.75" customHeight="1">
      <c r="G266" s="25"/>
    </row>
    <row r="267" ht="15.75" customHeight="1">
      <c r="G267" s="25"/>
    </row>
    <row r="268" ht="15.75" customHeight="1">
      <c r="G268" s="25"/>
    </row>
    <row r="269" ht="15.75" customHeight="1">
      <c r="G269" s="25"/>
    </row>
    <row r="270" ht="15.75" customHeight="1">
      <c r="G270" s="25"/>
    </row>
    <row r="271" ht="15.75" customHeight="1">
      <c r="G271" s="25"/>
    </row>
    <row r="272" ht="15.75" customHeight="1">
      <c r="G272" s="25"/>
    </row>
    <row r="273" ht="15.75" customHeight="1">
      <c r="G273" s="25"/>
    </row>
    <row r="274" ht="15.75" customHeight="1">
      <c r="G274" s="25"/>
    </row>
    <row r="275" ht="15.75" customHeight="1">
      <c r="G275" s="25"/>
    </row>
    <row r="276" ht="15.75" customHeight="1">
      <c r="G276" s="25"/>
    </row>
    <row r="277" ht="15.75" customHeight="1">
      <c r="G277" s="25"/>
    </row>
    <row r="278" ht="15.75" customHeight="1">
      <c r="G278" s="25"/>
    </row>
    <row r="279" ht="15.75" customHeight="1">
      <c r="G279" s="25"/>
    </row>
    <row r="280" ht="15.75" customHeight="1">
      <c r="G280" s="25"/>
    </row>
    <row r="281" ht="15.75" customHeight="1">
      <c r="G281" s="25"/>
    </row>
    <row r="282" ht="15.75" customHeight="1">
      <c r="G282" s="25"/>
    </row>
    <row r="283" ht="15.75" customHeight="1">
      <c r="G283" s="25"/>
    </row>
    <row r="284" ht="15.75" customHeight="1">
      <c r="G284" s="25"/>
    </row>
    <row r="285" ht="15.75" customHeight="1">
      <c r="G285" s="25"/>
    </row>
    <row r="286" ht="15.75" customHeight="1">
      <c r="G286" s="25"/>
    </row>
    <row r="287" ht="15.75" customHeight="1">
      <c r="G287" s="25"/>
    </row>
    <row r="288" ht="15.75" customHeight="1">
      <c r="G288" s="25"/>
    </row>
    <row r="289" ht="15.75" customHeight="1">
      <c r="G289" s="25"/>
    </row>
    <row r="290" ht="15.75" customHeight="1">
      <c r="G290" s="25"/>
    </row>
    <row r="291" ht="15.75" customHeight="1">
      <c r="G291" s="25"/>
    </row>
    <row r="292" ht="15.75" customHeight="1">
      <c r="G292" s="25"/>
    </row>
    <row r="293" ht="15.75" customHeight="1">
      <c r="G293" s="25"/>
    </row>
    <row r="294" ht="15.75" customHeight="1">
      <c r="G294" s="25"/>
    </row>
    <row r="295" ht="15.75" customHeight="1">
      <c r="G295" s="25"/>
    </row>
    <row r="296" ht="15.75" customHeight="1">
      <c r="G296" s="25"/>
    </row>
    <row r="297" ht="15.75" customHeight="1">
      <c r="G297" s="25"/>
    </row>
    <row r="298" ht="15.75" customHeight="1">
      <c r="G298" s="25"/>
    </row>
    <row r="299" ht="15.75" customHeight="1">
      <c r="G299" s="25"/>
    </row>
    <row r="300" ht="15.75" customHeight="1">
      <c r="G300" s="25"/>
    </row>
    <row r="301" ht="15.75" customHeight="1">
      <c r="G301" s="25"/>
    </row>
    <row r="302" ht="15.75" customHeight="1">
      <c r="G302" s="25"/>
    </row>
    <row r="303" ht="15.75" customHeight="1">
      <c r="G303" s="25"/>
    </row>
    <row r="304" ht="15.75" customHeight="1">
      <c r="G304" s="25"/>
    </row>
    <row r="305" ht="15.75" customHeight="1">
      <c r="G305" s="25"/>
    </row>
    <row r="306" ht="15.75" customHeight="1">
      <c r="G306" s="25"/>
    </row>
    <row r="307" ht="15.75" customHeight="1">
      <c r="G307" s="25"/>
    </row>
    <row r="308" ht="15.75" customHeight="1">
      <c r="G308" s="25"/>
    </row>
    <row r="309" ht="15.75" customHeight="1">
      <c r="G309" s="25"/>
    </row>
    <row r="310" ht="15.75" customHeight="1">
      <c r="G310" s="25"/>
    </row>
    <row r="311" ht="15.75" customHeight="1">
      <c r="G311" s="25"/>
    </row>
    <row r="312" ht="15.75" customHeight="1">
      <c r="G312" s="25"/>
    </row>
    <row r="313" ht="15.75" customHeight="1">
      <c r="G313" s="25"/>
    </row>
    <row r="314" ht="15.75" customHeight="1">
      <c r="G314" s="25"/>
    </row>
    <row r="315" ht="15.75" customHeight="1">
      <c r="G315" s="25"/>
    </row>
    <row r="316" ht="15.75" customHeight="1">
      <c r="G316" s="25"/>
    </row>
    <row r="317" ht="15.75" customHeight="1">
      <c r="G317" s="25"/>
    </row>
    <row r="318" ht="15.75" customHeight="1">
      <c r="G318" s="25"/>
    </row>
    <row r="319" ht="15.75" customHeight="1">
      <c r="G319" s="25"/>
    </row>
    <row r="320" ht="15.75" customHeight="1">
      <c r="G320" s="25"/>
    </row>
    <row r="321" ht="15.75" customHeight="1">
      <c r="G321" s="25"/>
    </row>
    <row r="322" ht="15.75" customHeight="1">
      <c r="G322" s="25"/>
    </row>
    <row r="323" ht="15.75" customHeight="1">
      <c r="G323" s="25"/>
    </row>
    <row r="324" ht="15.75" customHeight="1">
      <c r="G324" s="25"/>
    </row>
    <row r="325" ht="15.75" customHeight="1">
      <c r="G325" s="25"/>
    </row>
    <row r="326" ht="15.75" customHeight="1">
      <c r="G326" s="25"/>
    </row>
    <row r="327" ht="15.75" customHeight="1">
      <c r="G327" s="25"/>
    </row>
    <row r="328" ht="15.75" customHeight="1">
      <c r="G328" s="25"/>
    </row>
    <row r="329" ht="15.75" customHeight="1">
      <c r="G329" s="25"/>
    </row>
    <row r="330" ht="15.75" customHeight="1">
      <c r="G330" s="25"/>
    </row>
    <row r="331" ht="15.75" customHeight="1">
      <c r="G331" s="25"/>
    </row>
    <row r="332" ht="15.75" customHeight="1">
      <c r="G332" s="25"/>
    </row>
    <row r="333" ht="15.75" customHeight="1">
      <c r="G333" s="25"/>
    </row>
    <row r="334" ht="15.75" customHeight="1">
      <c r="G334" s="25"/>
    </row>
    <row r="335" ht="15.75" customHeight="1">
      <c r="G335" s="25"/>
    </row>
    <row r="336" ht="15.75" customHeight="1">
      <c r="G336" s="25"/>
    </row>
    <row r="337" ht="15.75" customHeight="1">
      <c r="G337" s="25"/>
    </row>
    <row r="338" ht="15.75" customHeight="1">
      <c r="G338" s="25"/>
    </row>
    <row r="339" ht="15.75" customHeight="1">
      <c r="G339" s="25"/>
    </row>
    <row r="340" ht="15.75" customHeight="1">
      <c r="G340" s="25"/>
    </row>
    <row r="341" ht="15.75" customHeight="1">
      <c r="G341" s="25"/>
    </row>
    <row r="342" ht="15.75" customHeight="1">
      <c r="G342" s="25"/>
    </row>
    <row r="343" ht="15.75" customHeight="1">
      <c r="G343" s="25"/>
    </row>
    <row r="344" ht="15.75" customHeight="1">
      <c r="G344" s="25"/>
    </row>
    <row r="345" ht="15.75" customHeight="1">
      <c r="G345" s="25"/>
    </row>
    <row r="346" ht="15.75" customHeight="1">
      <c r="G346" s="25"/>
    </row>
    <row r="347" ht="15.75" customHeight="1">
      <c r="G347" s="25"/>
    </row>
    <row r="348" ht="15.75" customHeight="1">
      <c r="G348" s="25"/>
    </row>
    <row r="349" ht="15.75" customHeight="1">
      <c r="G349" s="25"/>
    </row>
    <row r="350" ht="15.75" customHeight="1">
      <c r="G350" s="25"/>
    </row>
    <row r="351" ht="15.75" customHeight="1">
      <c r="G351" s="25"/>
    </row>
    <row r="352" ht="15.75" customHeight="1">
      <c r="G352" s="25"/>
    </row>
    <row r="353" ht="15.75" customHeight="1">
      <c r="G353" s="25"/>
    </row>
    <row r="354" ht="15.75" customHeight="1">
      <c r="G354" s="25"/>
    </row>
    <row r="355" ht="15.75" customHeight="1">
      <c r="G355" s="25"/>
    </row>
    <row r="356" ht="15.75" customHeight="1">
      <c r="G356" s="25"/>
    </row>
    <row r="357" ht="15.75" customHeight="1">
      <c r="G357" s="25"/>
    </row>
    <row r="358" ht="15.75" customHeight="1">
      <c r="G358" s="25"/>
    </row>
    <row r="359" ht="15.75" customHeight="1">
      <c r="G359" s="25"/>
    </row>
    <row r="360" ht="15.75" customHeight="1">
      <c r="G360" s="25"/>
    </row>
    <row r="361" ht="15.75" customHeight="1">
      <c r="G361" s="25"/>
    </row>
    <row r="362" ht="15.75" customHeight="1">
      <c r="G362" s="25"/>
    </row>
    <row r="363" ht="15.75" customHeight="1">
      <c r="G363" s="25"/>
    </row>
    <row r="364" ht="15.75" customHeight="1">
      <c r="G364" s="25"/>
    </row>
    <row r="365" ht="15.75" customHeight="1">
      <c r="G365" s="25"/>
    </row>
    <row r="366" ht="15.75" customHeight="1">
      <c r="G366" s="25"/>
    </row>
    <row r="367" ht="15.75" customHeight="1">
      <c r="G367" s="25"/>
    </row>
    <row r="368" ht="15.75" customHeight="1">
      <c r="G368" s="25"/>
    </row>
    <row r="369" ht="15.75" customHeight="1">
      <c r="G369" s="25"/>
    </row>
    <row r="370" ht="15.75" customHeight="1">
      <c r="G370" s="25"/>
    </row>
    <row r="371" ht="15.75" customHeight="1">
      <c r="G371" s="25"/>
    </row>
    <row r="372" ht="15.75" customHeight="1">
      <c r="G372" s="25"/>
    </row>
    <row r="373" ht="15.75" customHeight="1">
      <c r="G373" s="25"/>
    </row>
    <row r="374" ht="15.75" customHeight="1">
      <c r="G374" s="25"/>
    </row>
    <row r="375" ht="15.75" customHeight="1">
      <c r="G375" s="25"/>
    </row>
    <row r="376" ht="15.75" customHeight="1">
      <c r="G376" s="25"/>
    </row>
    <row r="377" ht="15.75" customHeight="1">
      <c r="G377" s="25"/>
    </row>
    <row r="378" ht="15.75" customHeight="1">
      <c r="G378" s="25"/>
    </row>
    <row r="379" ht="15.75" customHeight="1">
      <c r="G379" s="25"/>
    </row>
    <row r="380" ht="15.75" customHeight="1">
      <c r="G380" s="25"/>
    </row>
    <row r="381" ht="15.75" customHeight="1">
      <c r="G381" s="25"/>
    </row>
    <row r="382" ht="15.75" customHeight="1">
      <c r="G382" s="25"/>
    </row>
    <row r="383" ht="15.75" customHeight="1">
      <c r="G383" s="25"/>
    </row>
    <row r="384" ht="15.75" customHeight="1">
      <c r="G384" s="25"/>
    </row>
    <row r="385" ht="15.75" customHeight="1">
      <c r="G385" s="25"/>
    </row>
    <row r="386" ht="15.75" customHeight="1">
      <c r="G386" s="25"/>
    </row>
    <row r="387" ht="15.75" customHeight="1">
      <c r="G387" s="25"/>
    </row>
    <row r="388" ht="15.75" customHeight="1">
      <c r="G388" s="25"/>
    </row>
    <row r="389" ht="15.75" customHeight="1">
      <c r="G389" s="25"/>
    </row>
    <row r="390" ht="15.75" customHeight="1">
      <c r="G390" s="25"/>
    </row>
    <row r="391" ht="15.75" customHeight="1">
      <c r="G391" s="25"/>
    </row>
    <row r="392" ht="15.75" customHeight="1">
      <c r="G392" s="25"/>
    </row>
    <row r="393" ht="15.75" customHeight="1">
      <c r="G393" s="25"/>
    </row>
    <row r="394" ht="15.75" customHeight="1">
      <c r="G394" s="25"/>
    </row>
    <row r="395" ht="15.75" customHeight="1">
      <c r="G395" s="25"/>
    </row>
    <row r="396" ht="15.75" customHeight="1">
      <c r="G396" s="25"/>
    </row>
    <row r="397" ht="15.75" customHeight="1">
      <c r="G397" s="25"/>
    </row>
    <row r="398" ht="15.75" customHeight="1">
      <c r="G398" s="25"/>
    </row>
    <row r="399" ht="15.75" customHeight="1">
      <c r="G399" s="25"/>
    </row>
    <row r="400" ht="15.75" customHeight="1">
      <c r="G400" s="25"/>
    </row>
    <row r="401" ht="15.75" customHeight="1">
      <c r="G401" s="25"/>
    </row>
    <row r="402" ht="15.75" customHeight="1">
      <c r="G402" s="25"/>
    </row>
    <row r="403" ht="15.75" customHeight="1">
      <c r="G403" s="25"/>
    </row>
    <row r="404" ht="15.75" customHeight="1">
      <c r="G404" s="25"/>
    </row>
    <row r="405" ht="15.75" customHeight="1">
      <c r="G405" s="25"/>
    </row>
    <row r="406" ht="15.75" customHeight="1">
      <c r="G406" s="25"/>
    </row>
    <row r="407" ht="15.75" customHeight="1">
      <c r="G407" s="25"/>
    </row>
    <row r="408" ht="15.75" customHeight="1">
      <c r="G408" s="25"/>
    </row>
    <row r="409" ht="15.75" customHeight="1">
      <c r="G409" s="25"/>
    </row>
    <row r="410" ht="15.75" customHeight="1">
      <c r="G410" s="25"/>
    </row>
    <row r="411" ht="15.75" customHeight="1">
      <c r="G411" s="25"/>
    </row>
    <row r="412" ht="15.75" customHeight="1">
      <c r="G412" s="25"/>
    </row>
    <row r="413" ht="15.75" customHeight="1">
      <c r="G413" s="25"/>
    </row>
    <row r="414" ht="15.75" customHeight="1">
      <c r="G414" s="25"/>
    </row>
    <row r="415" ht="15.75" customHeight="1">
      <c r="G415" s="25"/>
    </row>
    <row r="416" ht="15.75" customHeight="1">
      <c r="G416" s="25"/>
    </row>
    <row r="417" ht="15.75" customHeight="1">
      <c r="G417" s="25"/>
    </row>
    <row r="418" ht="15.75" customHeight="1">
      <c r="G418" s="25"/>
    </row>
    <row r="419" ht="15.75" customHeight="1">
      <c r="G419" s="25"/>
    </row>
    <row r="420" ht="15.75" customHeight="1">
      <c r="G420" s="25"/>
    </row>
    <row r="421" ht="15.75" customHeight="1">
      <c r="G421" s="25"/>
    </row>
    <row r="422" ht="15.75" customHeight="1">
      <c r="G422" s="25"/>
    </row>
    <row r="423" ht="15.75" customHeight="1">
      <c r="G423" s="25"/>
    </row>
    <row r="424" ht="15.75" customHeight="1">
      <c r="G424" s="25"/>
    </row>
    <row r="425" ht="15.75" customHeight="1">
      <c r="G425" s="25"/>
    </row>
    <row r="426" ht="15.75" customHeight="1">
      <c r="G426" s="25"/>
    </row>
    <row r="427" ht="15.75" customHeight="1">
      <c r="G427" s="25"/>
    </row>
    <row r="428" ht="15.75" customHeight="1">
      <c r="G428" s="25"/>
    </row>
    <row r="429" ht="15.75" customHeight="1">
      <c r="G429" s="25"/>
    </row>
    <row r="430" ht="15.75" customHeight="1">
      <c r="G430" s="25"/>
    </row>
    <row r="431" ht="15.75" customHeight="1">
      <c r="G431" s="25"/>
    </row>
    <row r="432" ht="15.75" customHeight="1">
      <c r="G432" s="25"/>
    </row>
    <row r="433" ht="15.75" customHeight="1">
      <c r="G433" s="25"/>
    </row>
    <row r="434" ht="15.75" customHeight="1">
      <c r="G434" s="25"/>
    </row>
    <row r="435" ht="15.75" customHeight="1">
      <c r="G435" s="25"/>
    </row>
    <row r="436" ht="15.75" customHeight="1">
      <c r="G436" s="25"/>
    </row>
    <row r="437" ht="15.75" customHeight="1">
      <c r="G437" s="25"/>
    </row>
    <row r="438" ht="15.75" customHeight="1">
      <c r="G438" s="25"/>
    </row>
    <row r="439" ht="15.75" customHeight="1">
      <c r="G439" s="25"/>
    </row>
    <row r="440" ht="15.75" customHeight="1">
      <c r="G440" s="25"/>
    </row>
    <row r="441" ht="15.75" customHeight="1">
      <c r="G441" s="25"/>
    </row>
    <row r="442" ht="15.75" customHeight="1">
      <c r="G442" s="25"/>
    </row>
    <row r="443" ht="15.75" customHeight="1">
      <c r="G443" s="25"/>
    </row>
    <row r="444" ht="15.75" customHeight="1">
      <c r="G444" s="25"/>
    </row>
    <row r="445" ht="15.75" customHeight="1">
      <c r="G445" s="25"/>
    </row>
    <row r="446" ht="15.75" customHeight="1">
      <c r="G446" s="25"/>
    </row>
    <row r="447" ht="15.75" customHeight="1">
      <c r="G447" s="25"/>
    </row>
    <row r="448" ht="15.75" customHeight="1">
      <c r="G448" s="25"/>
    </row>
    <row r="449" ht="15.75" customHeight="1">
      <c r="G449" s="25"/>
    </row>
    <row r="450" ht="15.75" customHeight="1">
      <c r="G450" s="25"/>
    </row>
    <row r="451" ht="15.75" customHeight="1">
      <c r="G451" s="25"/>
    </row>
    <row r="452" ht="15.75" customHeight="1">
      <c r="G452" s="25"/>
    </row>
    <row r="453" ht="15.75" customHeight="1">
      <c r="G453" s="25"/>
    </row>
    <row r="454" ht="15.75" customHeight="1">
      <c r="G454" s="25"/>
    </row>
    <row r="455" ht="15.75" customHeight="1">
      <c r="G455" s="25"/>
    </row>
    <row r="456" ht="15.75" customHeight="1">
      <c r="G456" s="25"/>
    </row>
    <row r="457" ht="15.75" customHeight="1">
      <c r="G457" s="25"/>
    </row>
    <row r="458" ht="15.75" customHeight="1">
      <c r="G458" s="25"/>
    </row>
    <row r="459" ht="15.75" customHeight="1">
      <c r="G459" s="25"/>
    </row>
    <row r="460" ht="15.75" customHeight="1">
      <c r="G460" s="25"/>
    </row>
    <row r="461" ht="15.75" customHeight="1">
      <c r="G461" s="25"/>
    </row>
    <row r="462" ht="15.75" customHeight="1">
      <c r="G462" s="25"/>
    </row>
    <row r="463" ht="15.75" customHeight="1">
      <c r="G463" s="25"/>
    </row>
    <row r="464" ht="15.75" customHeight="1">
      <c r="G464" s="25"/>
    </row>
    <row r="465" ht="15.75" customHeight="1">
      <c r="G465" s="25"/>
    </row>
    <row r="466" ht="15.75" customHeight="1">
      <c r="G466" s="25"/>
    </row>
    <row r="467" ht="15.75" customHeight="1">
      <c r="G467" s="25"/>
    </row>
    <row r="468" ht="15.75" customHeight="1">
      <c r="G468" s="25"/>
    </row>
    <row r="469" ht="15.75" customHeight="1">
      <c r="G469" s="25"/>
    </row>
    <row r="470" ht="15.75" customHeight="1">
      <c r="G470" s="25"/>
    </row>
    <row r="471" ht="15.75" customHeight="1">
      <c r="G471" s="25"/>
    </row>
    <row r="472" ht="15.75" customHeight="1">
      <c r="G472" s="25"/>
    </row>
    <row r="473" ht="15.75" customHeight="1">
      <c r="G473" s="25"/>
    </row>
    <row r="474" ht="15.75" customHeight="1">
      <c r="G474" s="25"/>
    </row>
    <row r="475" ht="15.75" customHeight="1">
      <c r="G475" s="25"/>
    </row>
    <row r="476" ht="15.75" customHeight="1">
      <c r="G476" s="25"/>
    </row>
    <row r="477" ht="15.75" customHeight="1">
      <c r="G477" s="25"/>
    </row>
    <row r="478" ht="15.75" customHeight="1">
      <c r="G478" s="25"/>
    </row>
    <row r="479" ht="15.75" customHeight="1">
      <c r="G479" s="25"/>
    </row>
    <row r="480" ht="15.75" customHeight="1">
      <c r="G480" s="25"/>
    </row>
    <row r="481" ht="15.75" customHeight="1">
      <c r="G481" s="25"/>
    </row>
    <row r="482" ht="15.75" customHeight="1">
      <c r="G482" s="25"/>
    </row>
    <row r="483" ht="15.75" customHeight="1">
      <c r="G483" s="25"/>
    </row>
    <row r="484" ht="15.75" customHeight="1">
      <c r="G484" s="25"/>
    </row>
    <row r="485" ht="15.75" customHeight="1">
      <c r="G485" s="25"/>
    </row>
    <row r="486" ht="15.75" customHeight="1">
      <c r="G486" s="25"/>
    </row>
    <row r="487" ht="15.75" customHeight="1">
      <c r="G487" s="25"/>
    </row>
    <row r="488" ht="15.75" customHeight="1">
      <c r="G488" s="25"/>
    </row>
    <row r="489" ht="15.75" customHeight="1">
      <c r="G489" s="25"/>
    </row>
    <row r="490" ht="15.75" customHeight="1">
      <c r="G490" s="25"/>
    </row>
    <row r="491" ht="15.75" customHeight="1">
      <c r="G491" s="25"/>
    </row>
    <row r="492" ht="15.75" customHeight="1">
      <c r="G492" s="25"/>
    </row>
    <row r="493" ht="15.75" customHeight="1">
      <c r="G493" s="25"/>
    </row>
    <row r="494" ht="15.75" customHeight="1">
      <c r="G494" s="25"/>
    </row>
    <row r="495" ht="15.75" customHeight="1">
      <c r="G495" s="25"/>
    </row>
    <row r="496" ht="15.75" customHeight="1">
      <c r="G496" s="25"/>
    </row>
    <row r="497" ht="15.75" customHeight="1">
      <c r="G497" s="25"/>
    </row>
    <row r="498" ht="15.75" customHeight="1">
      <c r="G498" s="25"/>
    </row>
    <row r="499" ht="15.75" customHeight="1">
      <c r="G499" s="25"/>
    </row>
    <row r="500" ht="15.75" customHeight="1">
      <c r="G500" s="25"/>
    </row>
    <row r="501" ht="15.75" customHeight="1">
      <c r="G501" s="25"/>
    </row>
    <row r="502" ht="15.75" customHeight="1">
      <c r="G502" s="25"/>
    </row>
    <row r="503" ht="15.75" customHeight="1">
      <c r="G503" s="25"/>
    </row>
    <row r="504" ht="15.75" customHeight="1">
      <c r="G504" s="25"/>
    </row>
    <row r="505" ht="15.75" customHeight="1">
      <c r="G505" s="25"/>
    </row>
    <row r="506" ht="15.75" customHeight="1">
      <c r="G506" s="25"/>
    </row>
    <row r="507" ht="15.75" customHeight="1">
      <c r="G507" s="25"/>
    </row>
    <row r="508" ht="15.75" customHeight="1">
      <c r="G508" s="25"/>
    </row>
    <row r="509" ht="15.75" customHeight="1">
      <c r="G509" s="25"/>
    </row>
    <row r="510" ht="15.75" customHeight="1">
      <c r="G510" s="25"/>
    </row>
    <row r="511" ht="15.75" customHeight="1">
      <c r="G511" s="25"/>
    </row>
    <row r="512" ht="15.75" customHeight="1">
      <c r="G512" s="25"/>
    </row>
    <row r="513" ht="15.75" customHeight="1">
      <c r="G513" s="25"/>
    </row>
    <row r="514" ht="15.75" customHeight="1">
      <c r="G514" s="25"/>
    </row>
    <row r="515" ht="15.75" customHeight="1">
      <c r="G515" s="25"/>
    </row>
    <row r="516" ht="15.75" customHeight="1">
      <c r="G516" s="25"/>
    </row>
    <row r="517" ht="15.75" customHeight="1">
      <c r="G517" s="25"/>
    </row>
    <row r="518" ht="15.75" customHeight="1">
      <c r="G518" s="25"/>
    </row>
    <row r="519" ht="15.75" customHeight="1">
      <c r="G519" s="25"/>
    </row>
    <row r="520" ht="15.75" customHeight="1">
      <c r="G520" s="25"/>
    </row>
    <row r="521" ht="15.75" customHeight="1">
      <c r="G521" s="25"/>
    </row>
    <row r="522" ht="15.75" customHeight="1">
      <c r="G522" s="25"/>
    </row>
    <row r="523" ht="15.75" customHeight="1">
      <c r="G523" s="25"/>
    </row>
    <row r="524" ht="15.75" customHeight="1">
      <c r="G524" s="25"/>
    </row>
    <row r="525" ht="15.75" customHeight="1">
      <c r="G525" s="25"/>
    </row>
    <row r="526" ht="15.75" customHeight="1">
      <c r="G526" s="25"/>
    </row>
    <row r="527" ht="15.75" customHeight="1">
      <c r="G527" s="25"/>
    </row>
    <row r="528" ht="15.75" customHeight="1">
      <c r="G528" s="25"/>
    </row>
    <row r="529" ht="15.75" customHeight="1">
      <c r="G529" s="25"/>
    </row>
    <row r="530" ht="15.75" customHeight="1">
      <c r="G530" s="25"/>
    </row>
    <row r="531" ht="15.75" customHeight="1">
      <c r="G531" s="25"/>
    </row>
    <row r="532" ht="15.75" customHeight="1">
      <c r="G532" s="25"/>
    </row>
    <row r="533" ht="15.75" customHeight="1">
      <c r="G533" s="25"/>
    </row>
    <row r="534" ht="15.75" customHeight="1">
      <c r="G534" s="25"/>
    </row>
    <row r="535" ht="15.75" customHeight="1">
      <c r="G535" s="25"/>
    </row>
    <row r="536" ht="15.75" customHeight="1">
      <c r="G536" s="25"/>
    </row>
    <row r="537" ht="15.75" customHeight="1">
      <c r="G537" s="25"/>
    </row>
    <row r="538" ht="15.75" customHeight="1">
      <c r="G538" s="25"/>
    </row>
    <row r="539" ht="15.75" customHeight="1">
      <c r="G539" s="25"/>
    </row>
    <row r="540" ht="15.75" customHeight="1">
      <c r="G540" s="25"/>
    </row>
    <row r="541" ht="15.75" customHeight="1">
      <c r="G541" s="25"/>
    </row>
    <row r="542" ht="15.75" customHeight="1">
      <c r="G542" s="25"/>
    </row>
    <row r="543" ht="15.75" customHeight="1">
      <c r="G543" s="25"/>
    </row>
    <row r="544" ht="15.75" customHeight="1">
      <c r="G544" s="25"/>
    </row>
    <row r="545" ht="15.75" customHeight="1">
      <c r="G545" s="25"/>
    </row>
    <row r="546" ht="15.75" customHeight="1">
      <c r="G546" s="25"/>
    </row>
    <row r="547" ht="15.75" customHeight="1">
      <c r="G547" s="25"/>
    </row>
    <row r="548" ht="15.75" customHeight="1">
      <c r="G548" s="25"/>
    </row>
    <row r="549" ht="15.75" customHeight="1">
      <c r="G549" s="25"/>
    </row>
    <row r="550" ht="15.75" customHeight="1">
      <c r="G550" s="25"/>
    </row>
    <row r="551" ht="15.75" customHeight="1">
      <c r="G551" s="25"/>
    </row>
    <row r="552" ht="15.75" customHeight="1">
      <c r="G552" s="25"/>
    </row>
    <row r="553" ht="15.75" customHeight="1">
      <c r="G553" s="25"/>
    </row>
    <row r="554" ht="15.75" customHeight="1">
      <c r="G554" s="25"/>
    </row>
    <row r="555" ht="15.75" customHeight="1">
      <c r="G555" s="25"/>
    </row>
    <row r="556" ht="15.75" customHeight="1">
      <c r="G556" s="25"/>
    </row>
    <row r="557" ht="15.75" customHeight="1">
      <c r="G557" s="25"/>
    </row>
    <row r="558" ht="15.75" customHeight="1">
      <c r="G558" s="25"/>
    </row>
    <row r="559" ht="15.75" customHeight="1">
      <c r="G559" s="25"/>
    </row>
    <row r="560" ht="15.75" customHeight="1">
      <c r="G560" s="25"/>
    </row>
    <row r="561" ht="15.75" customHeight="1">
      <c r="G561" s="25"/>
    </row>
    <row r="562" ht="15.75" customHeight="1">
      <c r="G562" s="25"/>
    </row>
    <row r="563" ht="15.75" customHeight="1">
      <c r="G563" s="25"/>
    </row>
    <row r="564" ht="15.75" customHeight="1">
      <c r="G564" s="25"/>
    </row>
    <row r="565" ht="15.75" customHeight="1">
      <c r="G565" s="25"/>
    </row>
    <row r="566" ht="15.75" customHeight="1">
      <c r="G566" s="25"/>
    </row>
    <row r="567" ht="15.75" customHeight="1">
      <c r="G567" s="25"/>
    </row>
    <row r="568" ht="15.75" customHeight="1">
      <c r="G568" s="25"/>
    </row>
    <row r="569" ht="15.75" customHeight="1">
      <c r="G569" s="25"/>
    </row>
    <row r="570" ht="15.75" customHeight="1">
      <c r="G570" s="25"/>
    </row>
    <row r="571" ht="15.75" customHeight="1">
      <c r="G571" s="25"/>
    </row>
    <row r="572" ht="15.75" customHeight="1">
      <c r="G572" s="25"/>
    </row>
    <row r="573" ht="15.75" customHeight="1">
      <c r="G573" s="25"/>
    </row>
    <row r="574" ht="15.75" customHeight="1">
      <c r="G574" s="25"/>
    </row>
    <row r="575" ht="15.75" customHeight="1">
      <c r="G575" s="25"/>
    </row>
    <row r="576" ht="15.75" customHeight="1">
      <c r="G576" s="25"/>
    </row>
    <row r="577" ht="15.75" customHeight="1">
      <c r="G577" s="25"/>
    </row>
    <row r="578" ht="15.75" customHeight="1">
      <c r="G578" s="25"/>
    </row>
    <row r="579" ht="15.75" customHeight="1">
      <c r="G579" s="25"/>
    </row>
    <row r="580" ht="15.75" customHeight="1">
      <c r="G580" s="25"/>
    </row>
    <row r="581" ht="15.75" customHeight="1">
      <c r="G581" s="25"/>
    </row>
    <row r="582" ht="15.75" customHeight="1">
      <c r="G582" s="25"/>
    </row>
    <row r="583" ht="15.75" customHeight="1">
      <c r="G583" s="25"/>
    </row>
    <row r="584" ht="15.75" customHeight="1">
      <c r="G584" s="25"/>
    </row>
    <row r="585" ht="15.75" customHeight="1">
      <c r="G585" s="25"/>
    </row>
    <row r="586" ht="15.75" customHeight="1">
      <c r="G586" s="25"/>
    </row>
    <row r="587" ht="15.75" customHeight="1">
      <c r="G587" s="25"/>
    </row>
    <row r="588" ht="15.75" customHeight="1">
      <c r="G588" s="25"/>
    </row>
    <row r="589" ht="15.75" customHeight="1">
      <c r="G589" s="25"/>
    </row>
    <row r="590" ht="15.75" customHeight="1">
      <c r="G590" s="25"/>
    </row>
    <row r="591" ht="15.75" customHeight="1">
      <c r="G591" s="25"/>
    </row>
    <row r="592" ht="15.75" customHeight="1">
      <c r="G592" s="25"/>
    </row>
    <row r="593" ht="15.75" customHeight="1">
      <c r="G593" s="25"/>
    </row>
    <row r="594" ht="15.75" customHeight="1">
      <c r="G594" s="25"/>
    </row>
    <row r="595" ht="15.75" customHeight="1">
      <c r="G595" s="25"/>
    </row>
    <row r="596" ht="15.75" customHeight="1">
      <c r="G596" s="25"/>
    </row>
    <row r="597" ht="15.75" customHeight="1">
      <c r="G597" s="25"/>
    </row>
    <row r="598" ht="15.75" customHeight="1">
      <c r="G598" s="25"/>
    </row>
    <row r="599" ht="15.75" customHeight="1">
      <c r="G599" s="25"/>
    </row>
    <row r="600" ht="15.75" customHeight="1">
      <c r="G600" s="25"/>
    </row>
    <row r="601" ht="15.75" customHeight="1">
      <c r="G601" s="25"/>
    </row>
    <row r="602" ht="15.75" customHeight="1">
      <c r="G602" s="25"/>
    </row>
    <row r="603" ht="15.75" customHeight="1">
      <c r="G603" s="25"/>
    </row>
    <row r="604" ht="15.75" customHeight="1">
      <c r="G604" s="25"/>
    </row>
    <row r="605" ht="15.75" customHeight="1">
      <c r="G605" s="25"/>
    </row>
    <row r="606" ht="15.75" customHeight="1">
      <c r="G606" s="25"/>
    </row>
    <row r="607" ht="15.75" customHeight="1">
      <c r="G607" s="25"/>
    </row>
    <row r="608" ht="15.75" customHeight="1">
      <c r="G608" s="25"/>
    </row>
    <row r="609" ht="15.75" customHeight="1">
      <c r="G609" s="25"/>
    </row>
    <row r="610" ht="15.75" customHeight="1">
      <c r="G610" s="25"/>
    </row>
    <row r="611" ht="15.75" customHeight="1">
      <c r="G611" s="25"/>
    </row>
    <row r="612" ht="15.75" customHeight="1">
      <c r="G612" s="25"/>
    </row>
    <row r="613" ht="15.75" customHeight="1">
      <c r="G613" s="25"/>
    </row>
    <row r="614" ht="15.75" customHeight="1">
      <c r="G614" s="25"/>
    </row>
    <row r="615" ht="15.75" customHeight="1">
      <c r="G615" s="25"/>
    </row>
    <row r="616" ht="15.75" customHeight="1">
      <c r="G616" s="25"/>
    </row>
    <row r="617" ht="15.75" customHeight="1">
      <c r="G617" s="25"/>
    </row>
    <row r="618" ht="15.75" customHeight="1">
      <c r="G618" s="25"/>
    </row>
    <row r="619" ht="15.75" customHeight="1">
      <c r="G619" s="25"/>
    </row>
    <row r="620" ht="15.75" customHeight="1">
      <c r="G620" s="25"/>
    </row>
    <row r="621" ht="15.75" customHeight="1">
      <c r="G621" s="25"/>
    </row>
    <row r="622" ht="15.75" customHeight="1">
      <c r="G622" s="25"/>
    </row>
    <row r="623" ht="15.75" customHeight="1">
      <c r="G623" s="25"/>
    </row>
    <row r="624" ht="15.75" customHeight="1">
      <c r="G624" s="25"/>
    </row>
    <row r="625" ht="15.75" customHeight="1">
      <c r="G625" s="25"/>
    </row>
    <row r="626" ht="15.75" customHeight="1">
      <c r="G626" s="25"/>
    </row>
    <row r="627" ht="15.75" customHeight="1">
      <c r="G627" s="25"/>
    </row>
    <row r="628" ht="15.75" customHeight="1">
      <c r="G628" s="25"/>
    </row>
    <row r="629" ht="15.75" customHeight="1">
      <c r="G629" s="25"/>
    </row>
    <row r="630" ht="15.75" customHeight="1">
      <c r="G630" s="25"/>
    </row>
    <row r="631" ht="15.75" customHeight="1">
      <c r="G631" s="25"/>
    </row>
    <row r="632" ht="15.75" customHeight="1">
      <c r="G632" s="25"/>
    </row>
    <row r="633" ht="15.75" customHeight="1">
      <c r="G633" s="25"/>
    </row>
    <row r="634" ht="15.75" customHeight="1">
      <c r="G634" s="25"/>
    </row>
    <row r="635" ht="15.75" customHeight="1">
      <c r="G635" s="25"/>
    </row>
    <row r="636" ht="15.75" customHeight="1">
      <c r="G636" s="25"/>
    </row>
    <row r="637" ht="15.75" customHeight="1">
      <c r="G637" s="25"/>
    </row>
    <row r="638" ht="15.75" customHeight="1">
      <c r="G638" s="25"/>
    </row>
    <row r="639" ht="15.75" customHeight="1">
      <c r="G639" s="25"/>
    </row>
    <row r="640" ht="15.75" customHeight="1">
      <c r="G640" s="25"/>
    </row>
    <row r="641" ht="15.75" customHeight="1">
      <c r="G641" s="25"/>
    </row>
    <row r="642" ht="15.75" customHeight="1">
      <c r="G642" s="25"/>
    </row>
    <row r="643" ht="15.75" customHeight="1">
      <c r="G643" s="25"/>
    </row>
    <row r="644" ht="15.75" customHeight="1">
      <c r="G644" s="25"/>
    </row>
    <row r="645" ht="15.75" customHeight="1">
      <c r="G645" s="25"/>
    </row>
    <row r="646" ht="15.75" customHeight="1">
      <c r="G646" s="25"/>
    </row>
    <row r="647" ht="15.75" customHeight="1">
      <c r="G647" s="25"/>
    </row>
    <row r="648" ht="15.75" customHeight="1">
      <c r="G648" s="25"/>
    </row>
    <row r="649" ht="15.75" customHeight="1">
      <c r="G649" s="25"/>
    </row>
    <row r="650" ht="15.75" customHeight="1">
      <c r="G650" s="25"/>
    </row>
    <row r="651" ht="15.75" customHeight="1">
      <c r="G651" s="25"/>
    </row>
    <row r="652" ht="15.75" customHeight="1">
      <c r="G652" s="25"/>
    </row>
    <row r="653" ht="15.75" customHeight="1">
      <c r="G653" s="25"/>
    </row>
    <row r="654" ht="15.75" customHeight="1">
      <c r="G654" s="25"/>
    </row>
    <row r="655" ht="15.75" customHeight="1">
      <c r="G655" s="25"/>
    </row>
    <row r="656" ht="15.75" customHeight="1">
      <c r="G656" s="25"/>
    </row>
    <row r="657" ht="15.75" customHeight="1">
      <c r="G657" s="25"/>
    </row>
    <row r="658" ht="15.75" customHeight="1">
      <c r="G658" s="25"/>
    </row>
    <row r="659" ht="15.75" customHeight="1">
      <c r="G659" s="25"/>
    </row>
    <row r="660" ht="15.75" customHeight="1">
      <c r="G660" s="25"/>
    </row>
    <row r="661" ht="15.75" customHeight="1">
      <c r="G661" s="25"/>
    </row>
    <row r="662" ht="15.75" customHeight="1">
      <c r="G662" s="25"/>
    </row>
    <row r="663" ht="15.75" customHeight="1">
      <c r="G663" s="25"/>
    </row>
    <row r="664" ht="15.75" customHeight="1">
      <c r="G664" s="25"/>
    </row>
    <row r="665" ht="15.75" customHeight="1">
      <c r="G665" s="25"/>
    </row>
    <row r="666" ht="15.75" customHeight="1">
      <c r="G666" s="25"/>
    </row>
    <row r="667" ht="15.75" customHeight="1">
      <c r="G667" s="25"/>
    </row>
    <row r="668" ht="15.75" customHeight="1">
      <c r="G668" s="25"/>
    </row>
    <row r="669" ht="15.75" customHeight="1">
      <c r="G669" s="25"/>
    </row>
    <row r="670" ht="15.75" customHeight="1">
      <c r="G670" s="25"/>
    </row>
    <row r="671" ht="15.75" customHeight="1">
      <c r="G671" s="25"/>
    </row>
    <row r="672" ht="15.75" customHeight="1">
      <c r="G672" s="25"/>
    </row>
    <row r="673" ht="15.75" customHeight="1">
      <c r="G673" s="25"/>
    </row>
    <row r="674" ht="15.75" customHeight="1">
      <c r="G674" s="25"/>
    </row>
    <row r="675" ht="15.75" customHeight="1">
      <c r="G675" s="25"/>
    </row>
    <row r="676" ht="15.75" customHeight="1">
      <c r="G676" s="25"/>
    </row>
    <row r="677" ht="15.75" customHeight="1">
      <c r="G677" s="25"/>
    </row>
    <row r="678" ht="15.75" customHeight="1">
      <c r="G678" s="25"/>
    </row>
    <row r="679" ht="15.75" customHeight="1">
      <c r="G679" s="25"/>
    </row>
    <row r="680" ht="15.75" customHeight="1">
      <c r="G680" s="25"/>
    </row>
    <row r="681" ht="15.75" customHeight="1">
      <c r="G681" s="25"/>
    </row>
    <row r="682" ht="15.75" customHeight="1">
      <c r="G682" s="25"/>
    </row>
    <row r="683" ht="15.75" customHeight="1">
      <c r="G683" s="25"/>
    </row>
    <row r="684" ht="15.75" customHeight="1">
      <c r="G684" s="25"/>
    </row>
    <row r="685" ht="15.75" customHeight="1">
      <c r="G685" s="25"/>
    </row>
    <row r="686" ht="15.75" customHeight="1">
      <c r="G686" s="25"/>
    </row>
    <row r="687" ht="15.75" customHeight="1">
      <c r="G687" s="25"/>
    </row>
    <row r="688" ht="15.75" customHeight="1">
      <c r="G688" s="25"/>
    </row>
    <row r="689" ht="15.75" customHeight="1">
      <c r="G689" s="25"/>
    </row>
    <row r="690" ht="15.75" customHeight="1">
      <c r="G690" s="25"/>
    </row>
    <row r="691" ht="15.75" customHeight="1">
      <c r="G691" s="25"/>
    </row>
    <row r="692" ht="15.75" customHeight="1">
      <c r="G692" s="25"/>
    </row>
    <row r="693" ht="15.75" customHeight="1">
      <c r="G693" s="25"/>
    </row>
    <row r="694" ht="15.75" customHeight="1">
      <c r="G694" s="25"/>
    </row>
    <row r="695" ht="15.75" customHeight="1">
      <c r="G695" s="25"/>
    </row>
    <row r="696" ht="15.75" customHeight="1">
      <c r="G696" s="25"/>
    </row>
    <row r="697" ht="15.75" customHeight="1">
      <c r="G697" s="25"/>
    </row>
    <row r="698" ht="15.75" customHeight="1">
      <c r="G698" s="25"/>
    </row>
    <row r="699" ht="15.75" customHeight="1">
      <c r="G699" s="25"/>
    </row>
    <row r="700" ht="15.75" customHeight="1">
      <c r="G700" s="25"/>
    </row>
    <row r="701" ht="15.75" customHeight="1">
      <c r="G701" s="25"/>
    </row>
    <row r="702" ht="15.75" customHeight="1">
      <c r="G702" s="25"/>
    </row>
    <row r="703" ht="15.75" customHeight="1">
      <c r="G703" s="25"/>
    </row>
    <row r="704" ht="15.75" customHeight="1">
      <c r="G704" s="25"/>
    </row>
    <row r="705" ht="15.75" customHeight="1">
      <c r="G705" s="25"/>
    </row>
    <row r="706" ht="15.75" customHeight="1">
      <c r="G706" s="25"/>
    </row>
    <row r="707" ht="15.75" customHeight="1">
      <c r="G707" s="25"/>
    </row>
    <row r="708" ht="15.75" customHeight="1">
      <c r="G708" s="25"/>
    </row>
    <row r="709" ht="15.75" customHeight="1">
      <c r="G709" s="25"/>
    </row>
    <row r="710" ht="15.75" customHeight="1">
      <c r="G710" s="25"/>
    </row>
    <row r="711" ht="15.75" customHeight="1">
      <c r="G711" s="25"/>
    </row>
    <row r="712" ht="15.75" customHeight="1">
      <c r="G712" s="25"/>
    </row>
    <row r="713" ht="15.75" customHeight="1">
      <c r="G713" s="25"/>
    </row>
    <row r="714" ht="15.75" customHeight="1">
      <c r="G714" s="25"/>
    </row>
    <row r="715" ht="15.75" customHeight="1">
      <c r="G715" s="25"/>
    </row>
    <row r="716" ht="15.75" customHeight="1">
      <c r="G716" s="25"/>
    </row>
    <row r="717" ht="15.75" customHeight="1">
      <c r="G717" s="25"/>
    </row>
    <row r="718" ht="15.75" customHeight="1">
      <c r="G718" s="25"/>
    </row>
    <row r="719" ht="15.75" customHeight="1">
      <c r="G719" s="25"/>
    </row>
    <row r="720" ht="15.75" customHeight="1">
      <c r="G720" s="25"/>
    </row>
    <row r="721" ht="15.75" customHeight="1">
      <c r="G721" s="25"/>
    </row>
    <row r="722" ht="15.75" customHeight="1">
      <c r="G722" s="25"/>
    </row>
    <row r="723" ht="15.75" customHeight="1">
      <c r="G723" s="25"/>
    </row>
    <row r="724" ht="15.75" customHeight="1">
      <c r="G724" s="25"/>
    </row>
    <row r="725" ht="15.75" customHeight="1">
      <c r="G725" s="25"/>
    </row>
    <row r="726" ht="15.75" customHeight="1">
      <c r="G726" s="25"/>
    </row>
    <row r="727" ht="15.75" customHeight="1">
      <c r="G727" s="25"/>
    </row>
    <row r="728" ht="15.75" customHeight="1">
      <c r="G728" s="25"/>
    </row>
    <row r="729" ht="15.75" customHeight="1">
      <c r="G729" s="25"/>
    </row>
    <row r="730" ht="15.75" customHeight="1">
      <c r="G730" s="25"/>
    </row>
    <row r="731" ht="15.75" customHeight="1">
      <c r="G731" s="25"/>
    </row>
    <row r="732" ht="15.75" customHeight="1">
      <c r="G732" s="25"/>
    </row>
    <row r="733" ht="15.75" customHeight="1">
      <c r="G733" s="25"/>
    </row>
    <row r="734" ht="15.75" customHeight="1">
      <c r="G734" s="25"/>
    </row>
    <row r="735" ht="15.75" customHeight="1">
      <c r="G735" s="25"/>
    </row>
    <row r="736" ht="15.75" customHeight="1">
      <c r="G736" s="25"/>
    </row>
    <row r="737" ht="15.75" customHeight="1">
      <c r="G737" s="25"/>
    </row>
    <row r="738" ht="15.75" customHeight="1">
      <c r="G738" s="25"/>
    </row>
    <row r="739" ht="15.75" customHeight="1">
      <c r="G739" s="25"/>
    </row>
    <row r="740" ht="15.75" customHeight="1">
      <c r="G740" s="25"/>
    </row>
    <row r="741" ht="15.75" customHeight="1">
      <c r="G741" s="25"/>
    </row>
    <row r="742" ht="15.75" customHeight="1">
      <c r="G742" s="25"/>
    </row>
    <row r="743" ht="15.75" customHeight="1">
      <c r="G743" s="25"/>
    </row>
    <row r="744" ht="15.75" customHeight="1">
      <c r="G744" s="25"/>
    </row>
    <row r="745" ht="15.75" customHeight="1">
      <c r="G745" s="25"/>
    </row>
    <row r="746" ht="15.75" customHeight="1">
      <c r="G746" s="25"/>
    </row>
    <row r="747" ht="15.75" customHeight="1">
      <c r="G747" s="25"/>
    </row>
    <row r="748" ht="15.75" customHeight="1">
      <c r="G748" s="25"/>
    </row>
    <row r="749" ht="15.75" customHeight="1">
      <c r="G749" s="25"/>
    </row>
    <row r="750" ht="15.75" customHeight="1">
      <c r="G750" s="25"/>
    </row>
    <row r="751" ht="15.75" customHeight="1">
      <c r="G751" s="25"/>
    </row>
    <row r="752" ht="15.75" customHeight="1">
      <c r="G752" s="25"/>
    </row>
    <row r="753" ht="15.75" customHeight="1">
      <c r="G753" s="25"/>
    </row>
    <row r="754" ht="15.75" customHeight="1">
      <c r="G754" s="25"/>
    </row>
    <row r="755" ht="15.75" customHeight="1">
      <c r="G755" s="25"/>
    </row>
    <row r="756" ht="15.75" customHeight="1">
      <c r="G756" s="25"/>
    </row>
    <row r="757" ht="15.75" customHeight="1">
      <c r="G757" s="25"/>
    </row>
    <row r="758" ht="15.75" customHeight="1">
      <c r="G758" s="25"/>
    </row>
    <row r="759" ht="15.75" customHeight="1">
      <c r="G759" s="25"/>
    </row>
    <row r="760" ht="15.75" customHeight="1">
      <c r="G760" s="25"/>
    </row>
    <row r="761" ht="15.75" customHeight="1">
      <c r="G761" s="25"/>
    </row>
    <row r="762" ht="15.75" customHeight="1">
      <c r="G762" s="25"/>
    </row>
    <row r="763" ht="15.75" customHeight="1">
      <c r="G763" s="25"/>
    </row>
    <row r="764" ht="15.75" customHeight="1">
      <c r="G764" s="25"/>
    </row>
    <row r="765" ht="15.75" customHeight="1">
      <c r="G765" s="25"/>
    </row>
    <row r="766" ht="15.75" customHeight="1">
      <c r="G766" s="25"/>
    </row>
    <row r="767" ht="15.75" customHeight="1">
      <c r="G767" s="25"/>
    </row>
    <row r="768" ht="15.75" customHeight="1">
      <c r="G768" s="25"/>
    </row>
    <row r="769" ht="15.75" customHeight="1">
      <c r="G769" s="25"/>
    </row>
    <row r="770" ht="15.75" customHeight="1">
      <c r="G770" s="25"/>
    </row>
    <row r="771" ht="15.75" customHeight="1">
      <c r="G771" s="25"/>
    </row>
    <row r="772" ht="15.75" customHeight="1">
      <c r="G772" s="25"/>
    </row>
    <row r="773" ht="15.75" customHeight="1">
      <c r="G773" s="25"/>
    </row>
    <row r="774" ht="15.75" customHeight="1">
      <c r="G774" s="25"/>
    </row>
    <row r="775" ht="15.75" customHeight="1">
      <c r="G775" s="25"/>
    </row>
    <row r="776" ht="15.75" customHeight="1">
      <c r="G776" s="25"/>
    </row>
    <row r="777" ht="15.75" customHeight="1">
      <c r="G777" s="25"/>
    </row>
    <row r="778" ht="15.75" customHeight="1">
      <c r="G778" s="25"/>
    </row>
    <row r="779" ht="15.75" customHeight="1">
      <c r="G779" s="25"/>
    </row>
    <row r="780" ht="15.75" customHeight="1">
      <c r="G780" s="25"/>
    </row>
    <row r="781" ht="15.75" customHeight="1">
      <c r="G781" s="25"/>
    </row>
    <row r="782" ht="15.75" customHeight="1">
      <c r="G782" s="25"/>
    </row>
    <row r="783" ht="15.75" customHeight="1">
      <c r="G783" s="25"/>
    </row>
    <row r="784" ht="15.75" customHeight="1">
      <c r="G784" s="25"/>
    </row>
    <row r="785" ht="15.75" customHeight="1">
      <c r="G785" s="25"/>
    </row>
    <row r="786" ht="15.75" customHeight="1">
      <c r="G786" s="25"/>
    </row>
    <row r="787" ht="15.75" customHeight="1">
      <c r="G787" s="25"/>
    </row>
    <row r="788" ht="15.75" customHeight="1">
      <c r="G788" s="25"/>
    </row>
    <row r="789" ht="15.75" customHeight="1">
      <c r="G789" s="25"/>
    </row>
    <row r="790" ht="15.75" customHeight="1">
      <c r="G790" s="25"/>
    </row>
    <row r="791" ht="15.75" customHeight="1">
      <c r="G791" s="25"/>
    </row>
    <row r="792" ht="15.75" customHeight="1">
      <c r="G792" s="25"/>
    </row>
    <row r="793" ht="15.75" customHeight="1">
      <c r="G793" s="25"/>
    </row>
    <row r="794" ht="15.75" customHeight="1">
      <c r="G794" s="25"/>
    </row>
    <row r="795" ht="15.75" customHeight="1">
      <c r="G795" s="25"/>
    </row>
    <row r="796" ht="15.75" customHeight="1">
      <c r="G796" s="25"/>
    </row>
    <row r="797" ht="15.75" customHeight="1">
      <c r="G797" s="25"/>
    </row>
    <row r="798" ht="15.75" customHeight="1">
      <c r="G798" s="25"/>
    </row>
    <row r="799" ht="15.75" customHeight="1">
      <c r="G799" s="25"/>
    </row>
    <row r="800" ht="15.75" customHeight="1">
      <c r="G800" s="25"/>
    </row>
    <row r="801" ht="15.75" customHeight="1">
      <c r="G801" s="25"/>
    </row>
    <row r="802" ht="15.75" customHeight="1">
      <c r="G802" s="25"/>
    </row>
    <row r="803" ht="15.75" customHeight="1">
      <c r="G803" s="25"/>
    </row>
    <row r="804" ht="15.75" customHeight="1">
      <c r="G804" s="25"/>
    </row>
    <row r="805" ht="15.75" customHeight="1">
      <c r="G805" s="25"/>
    </row>
    <row r="806" ht="15.75" customHeight="1">
      <c r="G806" s="25"/>
    </row>
    <row r="807" ht="15.75" customHeight="1">
      <c r="G807" s="25"/>
    </row>
    <row r="808" ht="15.75" customHeight="1">
      <c r="G808" s="25"/>
    </row>
    <row r="809" ht="15.75" customHeight="1">
      <c r="G809" s="25"/>
    </row>
    <row r="810" ht="15.75" customHeight="1">
      <c r="G810" s="25"/>
    </row>
    <row r="811" ht="15.75" customHeight="1">
      <c r="G811" s="25"/>
    </row>
    <row r="812" ht="15.75" customHeight="1">
      <c r="G812" s="25"/>
    </row>
    <row r="813" ht="15.75" customHeight="1">
      <c r="G813" s="25"/>
    </row>
    <row r="814" ht="15.75" customHeight="1">
      <c r="G814" s="25"/>
    </row>
    <row r="815" ht="15.75" customHeight="1">
      <c r="G815" s="25"/>
    </row>
    <row r="816" ht="15.75" customHeight="1">
      <c r="G816" s="25"/>
    </row>
    <row r="817" ht="15.75" customHeight="1">
      <c r="G817" s="25"/>
    </row>
    <row r="818" ht="15.75" customHeight="1">
      <c r="G818" s="25"/>
    </row>
    <row r="819" ht="15.75" customHeight="1">
      <c r="G819" s="25"/>
    </row>
    <row r="820" ht="15.75" customHeight="1">
      <c r="G820" s="25"/>
    </row>
    <row r="821" ht="15.75" customHeight="1">
      <c r="G821" s="25"/>
    </row>
    <row r="822" ht="15.75" customHeight="1">
      <c r="G822" s="25"/>
    </row>
    <row r="823" ht="15.75" customHeight="1">
      <c r="G823" s="25"/>
    </row>
    <row r="824" ht="15.75" customHeight="1">
      <c r="G824" s="25"/>
    </row>
    <row r="825" ht="15.75" customHeight="1">
      <c r="G825" s="25"/>
    </row>
    <row r="826" ht="15.75" customHeight="1">
      <c r="G826" s="25"/>
    </row>
    <row r="827" ht="15.75" customHeight="1">
      <c r="G827" s="25"/>
    </row>
    <row r="828" ht="15.75" customHeight="1">
      <c r="G828" s="25"/>
    </row>
    <row r="829" ht="15.75" customHeight="1">
      <c r="G829" s="25"/>
    </row>
    <row r="830" ht="15.75" customHeight="1">
      <c r="G830" s="25"/>
    </row>
    <row r="831" ht="15.75" customHeight="1">
      <c r="G831" s="25"/>
    </row>
    <row r="832" ht="15.75" customHeight="1">
      <c r="G832" s="25"/>
    </row>
    <row r="833" ht="15.75" customHeight="1">
      <c r="G833" s="25"/>
    </row>
    <row r="834" ht="15.75" customHeight="1">
      <c r="G834" s="25"/>
    </row>
    <row r="835" ht="15.75" customHeight="1">
      <c r="G835" s="25"/>
    </row>
    <row r="836" ht="15.75" customHeight="1">
      <c r="G836" s="25"/>
    </row>
    <row r="837" ht="15.75" customHeight="1">
      <c r="G837" s="25"/>
    </row>
    <row r="838" ht="15.75" customHeight="1">
      <c r="G838" s="25"/>
    </row>
    <row r="839" ht="15.75" customHeight="1">
      <c r="G839" s="25"/>
    </row>
    <row r="840" ht="15.75" customHeight="1">
      <c r="G840" s="25"/>
    </row>
    <row r="841" ht="15.75" customHeight="1">
      <c r="G841" s="25"/>
    </row>
    <row r="842" ht="15.75" customHeight="1">
      <c r="G842" s="25"/>
    </row>
    <row r="843" ht="15.75" customHeight="1">
      <c r="G843" s="25"/>
    </row>
    <row r="844" ht="15.75" customHeight="1">
      <c r="G844" s="25"/>
    </row>
    <row r="845" ht="15.75" customHeight="1">
      <c r="G845" s="25"/>
    </row>
    <row r="846" ht="15.75" customHeight="1">
      <c r="G846" s="25"/>
    </row>
    <row r="847" ht="15.75" customHeight="1">
      <c r="G847" s="25"/>
    </row>
    <row r="848" ht="15.75" customHeight="1">
      <c r="G848" s="25"/>
    </row>
    <row r="849" ht="15.75" customHeight="1">
      <c r="G849" s="25"/>
    </row>
    <row r="850" ht="15.75" customHeight="1">
      <c r="G850" s="25"/>
    </row>
    <row r="851" ht="15.75" customHeight="1">
      <c r="G851" s="25"/>
    </row>
    <row r="852" ht="15.75" customHeight="1">
      <c r="G852" s="25"/>
    </row>
    <row r="853" ht="15.75" customHeight="1">
      <c r="G853" s="25"/>
    </row>
    <row r="854" ht="15.75" customHeight="1">
      <c r="G854" s="25"/>
    </row>
    <row r="855" ht="15.75" customHeight="1">
      <c r="G855" s="25"/>
    </row>
    <row r="856" ht="15.75" customHeight="1">
      <c r="G856" s="25"/>
    </row>
    <row r="857" ht="15.75" customHeight="1">
      <c r="G857" s="25"/>
    </row>
    <row r="858" ht="15.75" customHeight="1">
      <c r="G858" s="25"/>
    </row>
    <row r="859" ht="15.75" customHeight="1">
      <c r="G859" s="25"/>
    </row>
    <row r="860" ht="15.75" customHeight="1">
      <c r="G860" s="25"/>
    </row>
    <row r="861" ht="15.75" customHeight="1">
      <c r="G861" s="25"/>
    </row>
    <row r="862" ht="15.75" customHeight="1">
      <c r="G862" s="25"/>
    </row>
    <row r="863" ht="15.75" customHeight="1">
      <c r="G863" s="25"/>
    </row>
    <row r="864" ht="15.75" customHeight="1">
      <c r="G864" s="25"/>
    </row>
    <row r="865" ht="15.75" customHeight="1">
      <c r="G865" s="25"/>
    </row>
    <row r="866" ht="15.75" customHeight="1">
      <c r="G866" s="25"/>
    </row>
    <row r="867" ht="15.75" customHeight="1">
      <c r="G867" s="25"/>
    </row>
    <row r="868" ht="15.75" customHeight="1">
      <c r="G868" s="25"/>
    </row>
    <row r="869" ht="15.75" customHeight="1">
      <c r="G869" s="25"/>
    </row>
    <row r="870" ht="15.75" customHeight="1">
      <c r="G870" s="25"/>
    </row>
    <row r="871" ht="15.75" customHeight="1">
      <c r="G871" s="25"/>
    </row>
    <row r="872" ht="15.75" customHeight="1">
      <c r="G872" s="25"/>
    </row>
    <row r="873" ht="15.75" customHeight="1">
      <c r="G873" s="25"/>
    </row>
    <row r="874" ht="15.75" customHeight="1">
      <c r="G874" s="25"/>
    </row>
    <row r="875" ht="15.75" customHeight="1">
      <c r="G875" s="25"/>
    </row>
    <row r="876" ht="15.75" customHeight="1">
      <c r="G876" s="25"/>
    </row>
    <row r="877" ht="15.75" customHeight="1">
      <c r="G877" s="25"/>
    </row>
    <row r="878" ht="15.75" customHeight="1">
      <c r="G878" s="25"/>
    </row>
    <row r="879" ht="15.75" customHeight="1">
      <c r="G879" s="25"/>
    </row>
    <row r="880" ht="15.75" customHeight="1">
      <c r="G880" s="25"/>
    </row>
    <row r="881" ht="15.75" customHeight="1">
      <c r="G881" s="25"/>
    </row>
    <row r="882" ht="15.75" customHeight="1">
      <c r="G882" s="25"/>
    </row>
    <row r="883" ht="15.75" customHeight="1">
      <c r="G883" s="25"/>
    </row>
    <row r="884" ht="15.75" customHeight="1">
      <c r="G884" s="25"/>
    </row>
    <row r="885" ht="15.75" customHeight="1">
      <c r="G885" s="25"/>
    </row>
    <row r="886" ht="15.75" customHeight="1">
      <c r="G886" s="25"/>
    </row>
    <row r="887" ht="15.75" customHeight="1">
      <c r="G887" s="25"/>
    </row>
    <row r="888" ht="15.75" customHeight="1">
      <c r="G888" s="25"/>
    </row>
    <row r="889" ht="15.75" customHeight="1">
      <c r="G889" s="25"/>
    </row>
    <row r="890" ht="15.75" customHeight="1">
      <c r="G890" s="25"/>
    </row>
    <row r="891" ht="15.75" customHeight="1">
      <c r="G891" s="25"/>
    </row>
    <row r="892" ht="15.75" customHeight="1">
      <c r="G892" s="25"/>
    </row>
    <row r="893" ht="15.75" customHeight="1">
      <c r="G893" s="25"/>
    </row>
    <row r="894" ht="15.75" customHeight="1">
      <c r="G894" s="25"/>
    </row>
    <row r="895" ht="15.75" customHeight="1">
      <c r="G895" s="25"/>
    </row>
    <row r="896" ht="15.75" customHeight="1">
      <c r="G896" s="25"/>
    </row>
    <row r="897" ht="15.75" customHeight="1">
      <c r="G897" s="25"/>
    </row>
    <row r="898" ht="15.75" customHeight="1">
      <c r="G898" s="25"/>
    </row>
    <row r="899" ht="15.75" customHeight="1">
      <c r="G899" s="25"/>
    </row>
    <row r="900" ht="15.75" customHeight="1">
      <c r="G900" s="25"/>
    </row>
    <row r="901" ht="15.75" customHeight="1">
      <c r="G901" s="25"/>
    </row>
    <row r="902" ht="15.75" customHeight="1">
      <c r="G902" s="25"/>
    </row>
    <row r="903" ht="15.75" customHeight="1">
      <c r="G903" s="25"/>
    </row>
    <row r="904" ht="15.75" customHeight="1">
      <c r="G904" s="25"/>
    </row>
    <row r="905" ht="15.75" customHeight="1">
      <c r="G905" s="25"/>
    </row>
    <row r="906" ht="15.75" customHeight="1">
      <c r="G906" s="25"/>
    </row>
    <row r="907" ht="15.75" customHeight="1">
      <c r="G907" s="25"/>
    </row>
    <row r="908" ht="15.75" customHeight="1">
      <c r="G908" s="25"/>
    </row>
    <row r="909" ht="15.75" customHeight="1">
      <c r="G909" s="25"/>
    </row>
    <row r="910" ht="15.75" customHeight="1">
      <c r="G910" s="25"/>
    </row>
    <row r="911" ht="15.75" customHeight="1">
      <c r="G911" s="25"/>
    </row>
    <row r="912" ht="15.75" customHeight="1">
      <c r="G912" s="25"/>
    </row>
    <row r="913" ht="15.75" customHeight="1">
      <c r="G913" s="25"/>
    </row>
    <row r="914" ht="15.75" customHeight="1">
      <c r="G914" s="25"/>
    </row>
    <row r="915" ht="15.75" customHeight="1">
      <c r="G915" s="25"/>
    </row>
    <row r="916" ht="15.75" customHeight="1">
      <c r="G916" s="25"/>
    </row>
    <row r="917" ht="15.75" customHeight="1">
      <c r="G917" s="25"/>
    </row>
    <row r="918" ht="15.75" customHeight="1">
      <c r="G918" s="25"/>
    </row>
    <row r="919" ht="15.75" customHeight="1">
      <c r="G919" s="25"/>
    </row>
    <row r="920" ht="15.75" customHeight="1">
      <c r="G920" s="25"/>
    </row>
    <row r="921" ht="15.75" customHeight="1">
      <c r="G921" s="25"/>
    </row>
    <row r="922" ht="15.75" customHeight="1">
      <c r="G922" s="25"/>
    </row>
    <row r="923" ht="15.75" customHeight="1">
      <c r="G923" s="25"/>
    </row>
    <row r="924" ht="15.75" customHeight="1">
      <c r="G924" s="25"/>
    </row>
    <row r="925" ht="15.75" customHeight="1">
      <c r="G925" s="25"/>
    </row>
    <row r="926" ht="15.75" customHeight="1">
      <c r="G926" s="25"/>
    </row>
    <row r="927" ht="15.75" customHeight="1">
      <c r="G927" s="25"/>
    </row>
    <row r="928" ht="15.75" customHeight="1">
      <c r="G928" s="25"/>
    </row>
    <row r="929" ht="15.75" customHeight="1">
      <c r="G929" s="25"/>
    </row>
    <row r="930" ht="15.75" customHeight="1">
      <c r="G930" s="25"/>
    </row>
    <row r="931" ht="15.75" customHeight="1">
      <c r="G931" s="25"/>
    </row>
    <row r="932" ht="15.75" customHeight="1">
      <c r="G932" s="25"/>
    </row>
    <row r="933" ht="15.75" customHeight="1">
      <c r="G933" s="25"/>
    </row>
    <row r="934" ht="15.75" customHeight="1">
      <c r="G934" s="25"/>
    </row>
    <row r="935" ht="15.75" customHeight="1">
      <c r="G935" s="25"/>
    </row>
    <row r="936" ht="15.75" customHeight="1">
      <c r="G936" s="25"/>
    </row>
    <row r="937" ht="15.75" customHeight="1">
      <c r="G937" s="25"/>
    </row>
    <row r="938" ht="15.75" customHeight="1">
      <c r="G938" s="25"/>
    </row>
    <row r="939" ht="15.75" customHeight="1">
      <c r="G939" s="25"/>
    </row>
    <row r="940" ht="15.75" customHeight="1">
      <c r="G940" s="25"/>
    </row>
    <row r="941" ht="15.75" customHeight="1">
      <c r="G941" s="25"/>
    </row>
    <row r="942" ht="15.75" customHeight="1">
      <c r="G942" s="25"/>
    </row>
    <row r="943" ht="15.75" customHeight="1">
      <c r="G943" s="25"/>
    </row>
    <row r="944" ht="15.75" customHeight="1">
      <c r="G944" s="25"/>
    </row>
    <row r="945" ht="15.75" customHeight="1">
      <c r="G945" s="25"/>
    </row>
    <row r="946" ht="15.75" customHeight="1">
      <c r="G946" s="25"/>
    </row>
    <row r="947" ht="15.75" customHeight="1">
      <c r="G947" s="25"/>
    </row>
    <row r="948" ht="15.75" customHeight="1">
      <c r="G948" s="25"/>
    </row>
    <row r="949" ht="15.75" customHeight="1">
      <c r="G949" s="25"/>
    </row>
    <row r="950" ht="15.75" customHeight="1">
      <c r="G950" s="25"/>
    </row>
    <row r="951" ht="15.75" customHeight="1">
      <c r="G951" s="25"/>
    </row>
    <row r="952" ht="15.75" customHeight="1">
      <c r="G952" s="25"/>
    </row>
    <row r="953" ht="15.75" customHeight="1">
      <c r="G953" s="25"/>
    </row>
    <row r="954" ht="15.75" customHeight="1">
      <c r="G954" s="25"/>
    </row>
    <row r="955" ht="15.75" customHeight="1">
      <c r="G955" s="25"/>
    </row>
    <row r="956" ht="15.75" customHeight="1">
      <c r="G956" s="25"/>
    </row>
    <row r="957" ht="15.75" customHeight="1">
      <c r="G957" s="25"/>
    </row>
    <row r="958" ht="15.75" customHeight="1">
      <c r="G958" s="25"/>
    </row>
    <row r="959" ht="15.75" customHeight="1">
      <c r="G959" s="25"/>
    </row>
    <row r="960" ht="15.75" customHeight="1">
      <c r="G960" s="25"/>
    </row>
    <row r="961" ht="15.75" customHeight="1">
      <c r="G961" s="25"/>
    </row>
    <row r="962" ht="15.75" customHeight="1">
      <c r="G962" s="25"/>
    </row>
    <row r="963" ht="15.75" customHeight="1">
      <c r="G963" s="25"/>
    </row>
    <row r="964" ht="15.75" customHeight="1">
      <c r="G964" s="25"/>
    </row>
    <row r="965" ht="15.75" customHeight="1">
      <c r="G965" s="25"/>
    </row>
    <row r="966" ht="15.75" customHeight="1">
      <c r="G966" s="25"/>
    </row>
    <row r="967" ht="15.75" customHeight="1">
      <c r="G967" s="25"/>
    </row>
    <row r="968" ht="15.75" customHeight="1">
      <c r="G968" s="25"/>
    </row>
    <row r="969" ht="15.75" customHeight="1">
      <c r="G969" s="25"/>
    </row>
    <row r="970" ht="15.75" customHeight="1">
      <c r="G970" s="25"/>
    </row>
    <row r="971" ht="15.75" customHeight="1">
      <c r="G971" s="25"/>
    </row>
    <row r="972" ht="15.75" customHeight="1">
      <c r="G972" s="25"/>
    </row>
    <row r="973" ht="15.75" customHeight="1">
      <c r="G973" s="25"/>
    </row>
    <row r="974" ht="15.75" customHeight="1">
      <c r="G974" s="25"/>
    </row>
    <row r="975" ht="15.75" customHeight="1">
      <c r="G975" s="25"/>
    </row>
    <row r="976" ht="15.75" customHeight="1">
      <c r="G976" s="25"/>
    </row>
    <row r="977" ht="15.75" customHeight="1">
      <c r="G977" s="25"/>
    </row>
    <row r="978" ht="15.75" customHeight="1">
      <c r="G978" s="25"/>
    </row>
    <row r="979" ht="15.75" customHeight="1">
      <c r="G979" s="25"/>
    </row>
    <row r="980" ht="15.75" customHeight="1">
      <c r="G980" s="25"/>
    </row>
    <row r="981" ht="15.75" customHeight="1">
      <c r="G981" s="25"/>
    </row>
    <row r="982" ht="15.75" customHeight="1">
      <c r="G982" s="25"/>
    </row>
    <row r="983" ht="15.75" customHeight="1">
      <c r="G983" s="25"/>
    </row>
    <row r="984" ht="15.75" customHeight="1">
      <c r="G984" s="25"/>
    </row>
    <row r="985" ht="15.75" customHeight="1">
      <c r="G985" s="25"/>
    </row>
    <row r="986" ht="15.75" customHeight="1">
      <c r="G986" s="25"/>
    </row>
    <row r="987" ht="15.75" customHeight="1">
      <c r="G987" s="25"/>
    </row>
    <row r="988" ht="15.75" customHeight="1">
      <c r="G988" s="25"/>
    </row>
    <row r="989" ht="15.75" customHeight="1">
      <c r="G989" s="25"/>
    </row>
    <row r="990" ht="15.75" customHeight="1">
      <c r="G990" s="25"/>
    </row>
    <row r="991" ht="15.75" customHeight="1">
      <c r="G991" s="25"/>
    </row>
    <row r="992" ht="15.75" customHeight="1">
      <c r="G992" s="25"/>
    </row>
    <row r="993" ht="15.75" customHeight="1">
      <c r="G993" s="25"/>
    </row>
    <row r="994" ht="15.75" customHeight="1">
      <c r="G994" s="25"/>
    </row>
    <row r="995" ht="15.75" customHeight="1">
      <c r="G995" s="25"/>
    </row>
    <row r="996" ht="15.75" customHeight="1">
      <c r="G996" s="25"/>
    </row>
    <row r="997" ht="15.75" customHeight="1">
      <c r="G997" s="25"/>
    </row>
    <row r="998" ht="15.75" customHeight="1">
      <c r="G998" s="25"/>
    </row>
    <row r="999" ht="15.75" customHeight="1">
      <c r="G999" s="25"/>
    </row>
    <row r="1000" ht="15.75" customHeight="1">
      <c r="G1000" s="25"/>
    </row>
  </sheetData>
  <mergeCells count="11">
    <mergeCell ref="C17:E17"/>
    <mergeCell ref="C18:E18"/>
    <mergeCell ref="C19:E19"/>
    <mergeCell ref="C21:D22"/>
    <mergeCell ref="B2:G3"/>
    <mergeCell ref="B5:G5"/>
    <mergeCell ref="C7:E7"/>
    <mergeCell ref="C9:E9"/>
    <mergeCell ref="B14:E14"/>
    <mergeCell ref="C15:E15"/>
    <mergeCell ref="C16:E16"/>
  </mergeCells>
  <dataValidations>
    <dataValidation type="list" allowBlank="1" showDropDown="1" sqref="G4 C11 G6:G1000">
      <formula1>"Male,Female"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1" width="12.0"/>
    <col customWidth="1" min="12" max="26" width="8.71"/>
  </cols>
  <sheetData>
    <row r="1">
      <c r="A1" s="42" t="s">
        <v>46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4">
      <c r="B4" s="43" t="s">
        <v>47</v>
      </c>
      <c r="C4" s="44"/>
      <c r="D4" s="45"/>
      <c r="E4" s="46" t="s">
        <v>48</v>
      </c>
      <c r="F4" s="44"/>
      <c r="G4" s="45"/>
      <c r="H4" s="47" t="s">
        <v>49</v>
      </c>
      <c r="I4" s="44"/>
      <c r="J4" s="45"/>
      <c r="K4" s="48" t="s">
        <v>50</v>
      </c>
    </row>
    <row r="5">
      <c r="B5" s="49"/>
      <c r="D5" s="50"/>
      <c r="E5" s="49"/>
      <c r="G5" s="50"/>
      <c r="H5" s="49"/>
      <c r="J5" s="50"/>
      <c r="K5" s="51"/>
    </row>
    <row r="6">
      <c r="B6" s="52"/>
      <c r="C6" s="53"/>
      <c r="D6" s="54"/>
      <c r="E6" s="52"/>
      <c r="F6" s="53"/>
      <c r="G6" s="54"/>
      <c r="H6" s="52"/>
      <c r="I6" s="53"/>
      <c r="J6" s="54"/>
      <c r="K6" s="55"/>
    </row>
    <row r="7">
      <c r="B7" s="56">
        <f>COUNTA(REGISTRY!B:B)-1</f>
        <v>389</v>
      </c>
      <c r="E7" s="57">
        <f>COUNTIF(REGISTRY!G:G,"Male")</f>
        <v>299</v>
      </c>
      <c r="H7" s="58">
        <f>COUNTIF(REGISTRY!G:G,"Female")</f>
        <v>89</v>
      </c>
      <c r="K7" s="59">
        <f>MAX(REGISTRY!K:K)</f>
        <v>10</v>
      </c>
    </row>
    <row r="9">
      <c r="B9" s="11" t="s">
        <v>51</v>
      </c>
      <c r="C9" s="9"/>
      <c r="D9" s="9"/>
      <c r="E9" s="9"/>
      <c r="F9" s="10"/>
      <c r="H9" s="11" t="s">
        <v>52</v>
      </c>
      <c r="I9" s="9"/>
      <c r="J9" s="9"/>
      <c r="K9" s="10"/>
    </row>
    <row r="10">
      <c r="B10" s="60" t="s">
        <v>53</v>
      </c>
      <c r="C10" s="60" t="s">
        <v>54</v>
      </c>
      <c r="D10" s="60" t="s">
        <v>55</v>
      </c>
      <c r="E10" s="60" t="s">
        <v>56</v>
      </c>
      <c r="F10" s="60" t="s">
        <v>57</v>
      </c>
      <c r="H10" s="60" t="s">
        <v>58</v>
      </c>
      <c r="I10" s="60" t="s">
        <v>59</v>
      </c>
      <c r="J10" s="60" t="s">
        <v>60</v>
      </c>
    </row>
    <row r="11">
      <c r="B11" s="25" t="s">
        <v>61</v>
      </c>
      <c r="C11" s="25">
        <f>COUNTIF(REGISTRY!K:K,1)</f>
        <v>594</v>
      </c>
      <c r="D11" s="25">
        <f>COUNTIFS(REGISTRY!K:K,1,REGISTRY!G:G,"Male")</f>
        <v>0</v>
      </c>
      <c r="E11" s="25">
        <f>COUNTIFS(REGISTRY!K:K,1,REGISTRY!G:G,"Female")</f>
        <v>0</v>
      </c>
      <c r="F11" s="25">
        <f>IFERROR(AVERAGEIF(REGISTRY!K:K,1,REGISTRY!P:P),0)</f>
        <v>0.005050505051</v>
      </c>
      <c r="H11" s="61" t="s">
        <v>62</v>
      </c>
      <c r="I11" s="25">
        <f>COUNTIF(REGISTRY!L:L,"الأصل")</f>
        <v>594</v>
      </c>
      <c r="J11" s="62">
        <f>IFERROR(I11/(COUNTA(REGISTRY!B:B)-1)*100,0)</f>
        <v>152.6992288</v>
      </c>
    </row>
    <row r="12">
      <c r="B12" s="25" t="s">
        <v>63</v>
      </c>
      <c r="C12" s="25">
        <f>COUNTIF(REGISTRY!K:K,2)</f>
        <v>3</v>
      </c>
      <c r="D12" s="25">
        <f>COUNTIFS(REGISTRY!K:K,2,REGISTRY!G:G,"Male")</f>
        <v>3</v>
      </c>
      <c r="E12" s="25">
        <f>COUNTIFS(REGISTRY!K:K,2,REGISTRY!G:G,"Female")</f>
        <v>0</v>
      </c>
      <c r="F12" s="25">
        <f>IFERROR(AVERAGEIF(REGISTRY!K:K,2,REGISTRY!P:P),0)</f>
        <v>0</v>
      </c>
      <c r="H12" s="61" t="s">
        <v>64</v>
      </c>
      <c r="I12" s="25">
        <f>COUNTIF(REGISTRY!L:L,"الفرع 1")</f>
        <v>0</v>
      </c>
      <c r="J12" s="62">
        <f>IFERROR(I12/(COUNTA(REGISTRY!B:B)-1)*100,0)</f>
        <v>0</v>
      </c>
    </row>
    <row r="13">
      <c r="B13" s="25" t="s">
        <v>65</v>
      </c>
      <c r="C13" s="25">
        <f>COUNTIF(REGISTRY!K:K,3)</f>
        <v>7</v>
      </c>
      <c r="D13" s="25">
        <f>COUNTIFS(REGISTRY!K:K,3,REGISTRY!G:G,"Male")</f>
        <v>7</v>
      </c>
      <c r="E13" s="25">
        <f>COUNTIFS(REGISTRY!K:K,3,REGISTRY!G:G,"Female")</f>
        <v>0</v>
      </c>
      <c r="F13" s="25">
        <f>IFERROR(AVERAGEIF(REGISTRY!K:K,3,REGISTRY!P:P),0)</f>
        <v>0</v>
      </c>
      <c r="H13" s="61" t="s">
        <v>66</v>
      </c>
      <c r="I13" s="25">
        <f>COUNTIF(REGISTRY!L:L,"الفرع 2")</f>
        <v>0</v>
      </c>
      <c r="J13" s="62">
        <f>IFERROR(I13/(COUNTA(REGISTRY!B:B)-1)*100,0)</f>
        <v>0</v>
      </c>
    </row>
    <row r="14">
      <c r="B14" s="25" t="s">
        <v>67</v>
      </c>
      <c r="C14" s="25">
        <f>COUNTIF(REGISTRY!K:K,4)</f>
        <v>15</v>
      </c>
      <c r="D14" s="25">
        <f>COUNTIFS(REGISTRY!K:K,4,REGISTRY!G:G,"Male")</f>
        <v>15</v>
      </c>
      <c r="E14" s="25">
        <f>COUNTIFS(REGISTRY!K:K,4,REGISTRY!G:G,"Female")</f>
        <v>0</v>
      </c>
      <c r="F14" s="25">
        <f>IFERROR(AVERAGEIF(REGISTRY!K:K,4,REGISTRY!P:P),0)</f>
        <v>0</v>
      </c>
      <c r="H14" s="61" t="s">
        <v>68</v>
      </c>
      <c r="I14" s="25">
        <f>COUNTIF(REGISTRY!L:L,"الفرع 3")</f>
        <v>0</v>
      </c>
      <c r="J14" s="62">
        <f>IFERROR(I14/(COUNTA(REGISTRY!B:B)-1)*100,0)</f>
        <v>0</v>
      </c>
    </row>
    <row r="15">
      <c r="B15" s="25" t="s">
        <v>69</v>
      </c>
      <c r="C15" s="25">
        <f>COUNTIF(REGISTRY!K:K,5)</f>
        <v>24</v>
      </c>
      <c r="D15" s="25">
        <f>COUNTIFS(REGISTRY!K:K,5,REGISTRY!G:G,"Male")</f>
        <v>24</v>
      </c>
      <c r="E15" s="25">
        <f>COUNTIFS(REGISTRY!K:K,5,REGISTRY!G:G,"Female")</f>
        <v>0</v>
      </c>
      <c r="F15" s="25">
        <f>IFERROR(AVERAGEIF(REGISTRY!K:K,5,REGISTRY!P:P),0)</f>
        <v>0</v>
      </c>
      <c r="H15" s="61" t="s">
        <v>70</v>
      </c>
      <c r="I15" s="25">
        <f>COUNTIF(REGISTRY!L:L,"الفرع 4")</f>
        <v>0</v>
      </c>
      <c r="J15" s="62">
        <f>IFERROR(I15/(COUNTA(REGISTRY!B:B)-1)*100,0)</f>
        <v>0</v>
      </c>
    </row>
    <row r="16">
      <c r="B16" s="25" t="s">
        <v>71</v>
      </c>
      <c r="C16" s="25">
        <f>COUNTIF(REGISTRY!K:K,6)</f>
        <v>101</v>
      </c>
      <c r="D16" s="25">
        <f>COUNTIFS(REGISTRY!K:K,6,REGISTRY!G:G,"Male")</f>
        <v>79</v>
      </c>
      <c r="E16" s="25">
        <f>COUNTIFS(REGISTRY!K:K,6,REGISTRY!G:G,"Female")</f>
        <v>22</v>
      </c>
      <c r="F16" s="25">
        <f>IFERROR(AVERAGEIF(REGISTRY!K:K,6,REGISTRY!P:P),0)</f>
        <v>0</v>
      </c>
    </row>
    <row r="17">
      <c r="B17" s="25" t="s">
        <v>72</v>
      </c>
      <c r="C17" s="25">
        <f>COUNTIF(REGISTRY!K:K,7)</f>
        <v>190</v>
      </c>
      <c r="D17" s="25">
        <f>COUNTIFS(REGISTRY!K:K,7,REGISTRY!G:G,"Male")</f>
        <v>135</v>
      </c>
      <c r="E17" s="25">
        <f>COUNTIFS(REGISTRY!K:K,7,REGISTRY!G:G,"Female")</f>
        <v>55</v>
      </c>
      <c r="F17" s="25">
        <f>IFERROR(AVERAGEIF(REGISTRY!K:K,7,REGISTRY!P:P),0)</f>
        <v>0</v>
      </c>
    </row>
    <row r="18">
      <c r="B18" s="25" t="s">
        <v>73</v>
      </c>
      <c r="C18" s="25">
        <f>COUNTIF(REGISTRY!K:K,8)</f>
        <v>43</v>
      </c>
      <c r="D18" s="25">
        <f>COUNTIFS(REGISTRY!K:K,8,REGISTRY!G:G,"Male")</f>
        <v>31</v>
      </c>
      <c r="E18" s="25">
        <f>COUNTIFS(REGISTRY!K:K,8,REGISTRY!G:G,"Female")</f>
        <v>12</v>
      </c>
    </row>
    <row r="20">
      <c r="B20" s="22" t="s">
        <v>74</v>
      </c>
      <c r="C20" s="9"/>
      <c r="D20" s="9"/>
      <c r="E20" s="9"/>
      <c r="F20" s="10"/>
      <c r="H20" s="63" t="s">
        <v>75</v>
      </c>
      <c r="I20" s="9"/>
      <c r="J20" s="9"/>
      <c r="K20" s="10"/>
    </row>
    <row r="21" ht="15.75" customHeight="1">
      <c r="H21" s="64" t="str">
        <f>AVERAGE(REGISTRY!AG:AG)&amp;"%"</f>
        <v>#DIV/0!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7:J8"/>
    <mergeCell ref="K7:K8"/>
    <mergeCell ref="B9:F9"/>
    <mergeCell ref="H9:K9"/>
    <mergeCell ref="B20:F20"/>
    <mergeCell ref="H20:K20"/>
    <mergeCell ref="H21:K22"/>
    <mergeCell ref="A1:K2"/>
    <mergeCell ref="B4:D6"/>
    <mergeCell ref="E4:G6"/>
    <mergeCell ref="H4:J6"/>
    <mergeCell ref="K4:K6"/>
    <mergeCell ref="B7:D8"/>
    <mergeCell ref="E7:G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78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5" width="15.0"/>
    <col customWidth="1" min="6" max="8" width="10.0"/>
    <col customWidth="1" min="9" max="10" width="8.0"/>
    <col customWidth="1" min="11" max="11" width="10.0"/>
    <col customWidth="1" min="12" max="12" width="15.0"/>
    <col customWidth="1" min="13" max="14" width="35.0"/>
    <col customWidth="1" min="15" max="15" width="8.0"/>
    <col customWidth="1" min="16" max="16" width="10.0"/>
    <col customWidth="1" min="17" max="18" width="15.0"/>
    <col customWidth="1" min="19" max="19" width="10.0"/>
    <col customWidth="1" min="20" max="26" width="8.71"/>
  </cols>
  <sheetData>
    <row r="1">
      <c r="A1" s="65" t="s">
        <v>76</v>
      </c>
      <c r="B1" s="66" t="s">
        <v>77</v>
      </c>
      <c r="C1" s="66" t="s">
        <v>78</v>
      </c>
      <c r="D1" s="66" t="s">
        <v>79</v>
      </c>
      <c r="E1" s="67" t="s">
        <v>80</v>
      </c>
      <c r="F1" s="65" t="s">
        <v>81</v>
      </c>
      <c r="G1" s="65" t="s">
        <v>82</v>
      </c>
      <c r="H1" s="65" t="s">
        <v>83</v>
      </c>
      <c r="I1" s="65" t="s">
        <v>84</v>
      </c>
      <c r="J1" s="65" t="s">
        <v>85</v>
      </c>
      <c r="K1" s="65" t="s">
        <v>53</v>
      </c>
      <c r="L1" s="65" t="s">
        <v>58</v>
      </c>
      <c r="M1" s="65" t="s">
        <v>86</v>
      </c>
      <c r="N1" s="65" t="s">
        <v>87</v>
      </c>
      <c r="O1" s="65" t="s">
        <v>88</v>
      </c>
      <c r="P1" s="65" t="s">
        <v>89</v>
      </c>
      <c r="Q1" s="65" t="s">
        <v>90</v>
      </c>
      <c r="R1" s="65" t="s">
        <v>91</v>
      </c>
      <c r="S1" s="65" t="s">
        <v>92</v>
      </c>
    </row>
    <row r="2">
      <c r="A2" s="68" t="str">
        <f t="shared" ref="A2:A983" si="1">"P"&amp;TEXT(ROW()-1,"000")</f>
        <v>P001</v>
      </c>
      <c r="B2" s="69" t="s">
        <v>31</v>
      </c>
      <c r="C2" s="68"/>
      <c r="D2" s="68"/>
      <c r="E2" s="69" t="s">
        <v>10</v>
      </c>
      <c r="F2" s="68"/>
      <c r="G2" s="68"/>
      <c r="H2" s="70">
        <v>1600.0</v>
      </c>
      <c r="I2" s="70">
        <v>3.0</v>
      </c>
      <c r="J2" s="68"/>
      <c r="K2" s="68">
        <f t="shared" ref="K2:K983" si="2">IF(F2="",1,IFERROR(VLOOKUP(F2,A:K,11,FALSE)+1,1))</f>
        <v>1</v>
      </c>
      <c r="L2" s="68" t="str">
        <f>IF(F2="","الأصل",IF(VLOOKUP(F2,A:L,12,FALSE)="الأصل","الفرع "&amp;K2-1,VLOOKUP(F2,A:L,12,FALSE)))</f>
        <v>الأصل</v>
      </c>
      <c r="M2" s="68" t="str">
        <f t="shared" ref="M2:M983" si="3">IF(B2&lt;&gt;"",IF(C2&lt;&gt;"",CONCATENATE(B2," بن ",C2," بن ",D2," ",E2),CONCATENATE(B2," ",E2)),"")</f>
        <v>حمد ال شايع</v>
      </c>
      <c r="N2" s="68" t="str">
        <f t="shared" ref="N2:N983" si="4">IF(B2&lt;&gt;"",IF(C2&lt;&gt;"",CONCATENATE(B2," bin ",C2," bin ",D2," Al-",E2),CONCATENATE(B2," Al-",E2)),"")</f>
        <v>حمد Al-ال شايع</v>
      </c>
      <c r="O2" s="68">
        <f t="shared" ref="O2:O983" si="5">IF(H2&lt;&gt;"",YEAR(TODAY())-H2,"")</f>
        <v>425</v>
      </c>
      <c r="P2" s="68">
        <f t="shared" ref="P2:P983" si="6">I2+J2</f>
        <v>3</v>
      </c>
      <c r="Q2" s="68"/>
      <c r="R2" s="68"/>
      <c r="S2" s="68" t="str">
        <f t="shared" ref="S2:S983" si="7">IF(B2&lt;&gt;"","Living","")</f>
        <v>Living</v>
      </c>
      <c r="T2" s="68"/>
      <c r="U2" s="68"/>
      <c r="V2" s="68"/>
      <c r="W2" s="68"/>
      <c r="X2" s="68"/>
      <c r="Y2" s="68"/>
      <c r="Z2" s="68"/>
    </row>
    <row r="3" hidden="1">
      <c r="A3" s="25" t="str">
        <f t="shared" si="1"/>
        <v>P002</v>
      </c>
      <c r="B3" s="71" t="s">
        <v>27</v>
      </c>
      <c r="C3" s="71" t="s">
        <v>31</v>
      </c>
      <c r="D3" s="1" t="s">
        <v>93</v>
      </c>
      <c r="E3" s="71"/>
      <c r="F3" s="1" t="s">
        <v>94</v>
      </c>
      <c r="G3" s="1" t="s">
        <v>35</v>
      </c>
      <c r="H3" s="25"/>
      <c r="I3" s="25"/>
      <c r="J3" s="25"/>
      <c r="K3" s="25">
        <f t="shared" si="2"/>
        <v>2</v>
      </c>
      <c r="L3" s="71" t="s">
        <v>95</v>
      </c>
      <c r="M3" s="25" t="str">
        <f t="shared" si="3"/>
        <v>ابراهيم بن حمد بن - </v>
      </c>
      <c r="N3" s="25" t="str">
        <f t="shared" si="4"/>
        <v>ابراهيم bin حمد bin - Al-</v>
      </c>
      <c r="O3" s="25" t="str">
        <f t="shared" si="5"/>
        <v/>
      </c>
      <c r="P3" s="25">
        <f t="shared" si="6"/>
        <v>0</v>
      </c>
      <c r="Q3" s="25"/>
      <c r="R3" s="25"/>
      <c r="S3" s="25" t="str">
        <f t="shared" si="7"/>
        <v>Living</v>
      </c>
    </row>
    <row r="4">
      <c r="A4" s="25" t="str">
        <f t="shared" si="1"/>
        <v>P003</v>
      </c>
      <c r="B4" s="71" t="s">
        <v>96</v>
      </c>
      <c r="C4" s="71" t="s">
        <v>31</v>
      </c>
      <c r="D4" s="1" t="s">
        <v>93</v>
      </c>
      <c r="E4" s="71"/>
      <c r="F4" s="1" t="s">
        <v>94</v>
      </c>
      <c r="G4" s="1" t="s">
        <v>35</v>
      </c>
      <c r="H4" s="25"/>
      <c r="I4" s="25"/>
      <c r="J4" s="25"/>
      <c r="K4" s="25">
        <f t="shared" si="2"/>
        <v>2</v>
      </c>
      <c r="L4" s="71" t="s">
        <v>97</v>
      </c>
      <c r="M4" s="25" t="str">
        <f t="shared" si="3"/>
        <v>عبدالكريم بن حمد بن - </v>
      </c>
      <c r="N4" s="25" t="str">
        <f t="shared" si="4"/>
        <v>عبدالكريم bin حمد bin - Al-</v>
      </c>
      <c r="O4" s="25" t="str">
        <f t="shared" si="5"/>
        <v/>
      </c>
      <c r="P4" s="25">
        <f t="shared" si="6"/>
        <v>0</v>
      </c>
      <c r="Q4" s="25"/>
      <c r="R4" s="25"/>
      <c r="S4" s="25" t="str">
        <f t="shared" si="7"/>
        <v>Living</v>
      </c>
    </row>
    <row r="5" hidden="1">
      <c r="A5" s="72" t="str">
        <f t="shared" si="1"/>
        <v>P004</v>
      </c>
      <c r="B5" s="73" t="s">
        <v>98</v>
      </c>
      <c r="C5" s="73" t="s">
        <v>31</v>
      </c>
      <c r="D5" s="74" t="s">
        <v>93</v>
      </c>
      <c r="E5" s="73"/>
      <c r="F5" s="74" t="s">
        <v>94</v>
      </c>
      <c r="G5" s="1" t="s">
        <v>35</v>
      </c>
      <c r="H5" s="72"/>
      <c r="I5" s="72"/>
      <c r="J5" s="72"/>
      <c r="K5" s="72">
        <f t="shared" si="2"/>
        <v>2</v>
      </c>
      <c r="L5" s="73" t="s">
        <v>99</v>
      </c>
      <c r="M5" s="72" t="str">
        <f t="shared" si="3"/>
        <v>فوزان بن حمد بن - </v>
      </c>
      <c r="N5" s="72" t="str">
        <f t="shared" si="4"/>
        <v>فوزان bin حمد bin - Al-</v>
      </c>
      <c r="O5" s="72" t="str">
        <f t="shared" si="5"/>
        <v/>
      </c>
      <c r="P5" s="72">
        <f t="shared" si="6"/>
        <v>0</v>
      </c>
      <c r="Q5" s="72"/>
      <c r="R5" s="72"/>
      <c r="S5" s="72" t="str">
        <f t="shared" si="7"/>
        <v>Living</v>
      </c>
      <c r="T5" s="72"/>
      <c r="U5" s="72"/>
      <c r="V5" s="72"/>
      <c r="W5" s="72"/>
      <c r="X5" s="72"/>
      <c r="Y5" s="72"/>
      <c r="Z5" s="72"/>
    </row>
    <row r="6" hidden="1">
      <c r="A6" s="68" t="str">
        <f t="shared" si="1"/>
        <v>P005</v>
      </c>
      <c r="B6" s="69" t="s">
        <v>100</v>
      </c>
      <c r="C6" s="69" t="s">
        <v>27</v>
      </c>
      <c r="D6" s="69" t="s">
        <v>31</v>
      </c>
      <c r="E6" s="69"/>
      <c r="F6" s="68" t="s">
        <v>101</v>
      </c>
      <c r="G6" s="1" t="s">
        <v>35</v>
      </c>
      <c r="H6" s="68"/>
      <c r="I6" s="68"/>
      <c r="J6" s="68"/>
      <c r="K6" s="68">
        <f t="shared" si="2"/>
        <v>3</v>
      </c>
      <c r="L6" s="68" t="str">
        <f t="shared" ref="L6:L983" si="8">IF(F6="","الأصل",IF(VLOOKUP(F6,A:L,12,FALSE)="الأصل","الفرع "&amp;K6-1,VLOOKUP(F6,A:L,12,FALSE)))</f>
        <v>الابراهيم</v>
      </c>
      <c r="M6" s="68" t="str">
        <f t="shared" si="3"/>
        <v>محمد بن ابراهيم بن حمد </v>
      </c>
      <c r="N6" s="68" t="str">
        <f t="shared" si="4"/>
        <v>محمد bin ابراهيم bin حمد Al-</v>
      </c>
      <c r="O6" s="68" t="str">
        <f t="shared" si="5"/>
        <v/>
      </c>
      <c r="P6" s="68">
        <f t="shared" si="6"/>
        <v>0</v>
      </c>
      <c r="Q6" s="68"/>
      <c r="R6" s="68"/>
      <c r="S6" s="68" t="str">
        <f t="shared" si="7"/>
        <v>Living</v>
      </c>
      <c r="T6" s="68"/>
      <c r="U6" s="68"/>
      <c r="V6" s="68"/>
      <c r="W6" s="68"/>
      <c r="X6" s="68"/>
      <c r="Y6" s="68"/>
      <c r="Z6" s="68"/>
    </row>
    <row r="7" hidden="1">
      <c r="A7" s="25" t="str">
        <f t="shared" si="1"/>
        <v>P006</v>
      </c>
      <c r="B7" s="71" t="s">
        <v>102</v>
      </c>
      <c r="C7" s="71" t="s">
        <v>27</v>
      </c>
      <c r="D7" s="71" t="s">
        <v>31</v>
      </c>
      <c r="E7" s="71"/>
      <c r="F7" s="25" t="s">
        <v>101</v>
      </c>
      <c r="G7" s="1" t="s">
        <v>35</v>
      </c>
      <c r="H7" s="25"/>
      <c r="I7" s="25"/>
      <c r="J7" s="25"/>
      <c r="K7" s="25">
        <f t="shared" si="2"/>
        <v>3</v>
      </c>
      <c r="L7" s="25" t="str">
        <f t="shared" si="8"/>
        <v>الابراهيم</v>
      </c>
      <c r="M7" s="25" t="str">
        <f t="shared" si="3"/>
        <v>ناصر بن ابراهيم بن حمد </v>
      </c>
      <c r="N7" s="25" t="str">
        <f t="shared" si="4"/>
        <v>ناصر bin ابراهيم bin حمد Al-</v>
      </c>
      <c r="O7" s="25" t="str">
        <f t="shared" si="5"/>
        <v/>
      </c>
      <c r="P7" s="25">
        <f t="shared" si="6"/>
        <v>0</v>
      </c>
      <c r="Q7" s="25"/>
      <c r="R7" s="25"/>
      <c r="S7" s="25" t="str">
        <f t="shared" si="7"/>
        <v>Living</v>
      </c>
    </row>
    <row r="8" hidden="1">
      <c r="A8" s="68" t="str">
        <f t="shared" si="1"/>
        <v>P007</v>
      </c>
      <c r="B8" s="69" t="s">
        <v>27</v>
      </c>
      <c r="C8" s="69" t="s">
        <v>100</v>
      </c>
      <c r="D8" s="69" t="s">
        <v>27</v>
      </c>
      <c r="E8" s="69" t="s">
        <v>31</v>
      </c>
      <c r="F8" s="68" t="s">
        <v>103</v>
      </c>
      <c r="G8" s="1" t="s">
        <v>35</v>
      </c>
      <c r="H8" s="68"/>
      <c r="I8" s="68"/>
      <c r="J8" s="68"/>
      <c r="K8" s="68">
        <f t="shared" si="2"/>
        <v>4</v>
      </c>
      <c r="L8" s="68" t="str">
        <f t="shared" si="8"/>
        <v>الابراهيم</v>
      </c>
      <c r="M8" s="68" t="str">
        <f t="shared" si="3"/>
        <v>ابراهيم بن محمد بن ابراهيم حمد</v>
      </c>
      <c r="N8" s="68" t="str">
        <f t="shared" si="4"/>
        <v>ابراهيم bin محمد bin ابراهيم Al-حمد</v>
      </c>
      <c r="O8" s="68" t="str">
        <f t="shared" si="5"/>
        <v/>
      </c>
      <c r="P8" s="68">
        <f t="shared" si="6"/>
        <v>0</v>
      </c>
      <c r="Q8" s="68"/>
      <c r="R8" s="68"/>
      <c r="S8" s="68" t="str">
        <f t="shared" si="7"/>
        <v>Living</v>
      </c>
      <c r="T8" s="68"/>
      <c r="U8" s="68"/>
      <c r="V8" s="68"/>
      <c r="W8" s="68"/>
      <c r="X8" s="68"/>
      <c r="Y8" s="68"/>
      <c r="Z8" s="68"/>
    </row>
    <row r="9" hidden="1">
      <c r="A9" s="68" t="str">
        <f t="shared" si="1"/>
        <v>P008</v>
      </c>
      <c r="B9" s="69" t="s">
        <v>104</v>
      </c>
      <c r="C9" s="69" t="s">
        <v>100</v>
      </c>
      <c r="D9" s="69" t="s">
        <v>27</v>
      </c>
      <c r="E9" s="69" t="s">
        <v>31</v>
      </c>
      <c r="F9" s="68" t="s">
        <v>103</v>
      </c>
      <c r="G9" s="1" t="s">
        <v>35</v>
      </c>
      <c r="H9" s="68"/>
      <c r="I9" s="68"/>
      <c r="J9" s="68"/>
      <c r="K9" s="68">
        <f t="shared" si="2"/>
        <v>4</v>
      </c>
      <c r="L9" s="68" t="str">
        <f t="shared" si="8"/>
        <v>الابراهيم</v>
      </c>
      <c r="M9" s="68" t="str">
        <f t="shared" si="3"/>
        <v>عبدالمحسن بن محمد بن ابراهيم حمد</v>
      </c>
      <c r="N9" s="68" t="str">
        <f t="shared" si="4"/>
        <v>عبدالمحسن bin محمد bin ابراهيم Al-حمد</v>
      </c>
      <c r="O9" s="68" t="str">
        <f t="shared" si="5"/>
        <v/>
      </c>
      <c r="P9" s="68">
        <f t="shared" si="6"/>
        <v>0</v>
      </c>
      <c r="Q9" s="68"/>
      <c r="R9" s="68"/>
      <c r="S9" s="68" t="str">
        <f t="shared" si="7"/>
        <v>Living</v>
      </c>
      <c r="T9" s="68"/>
      <c r="U9" s="68"/>
      <c r="V9" s="68"/>
      <c r="W9" s="68"/>
      <c r="X9" s="68"/>
      <c r="Y9" s="68"/>
      <c r="Z9" s="68"/>
    </row>
    <row r="10" hidden="1">
      <c r="A10" s="68" t="str">
        <f t="shared" si="1"/>
        <v>P009</v>
      </c>
      <c r="B10" s="69" t="s">
        <v>105</v>
      </c>
      <c r="C10" s="69" t="s">
        <v>100</v>
      </c>
      <c r="D10" s="69" t="s">
        <v>27</v>
      </c>
      <c r="E10" s="69" t="s">
        <v>31</v>
      </c>
      <c r="F10" s="68" t="s">
        <v>103</v>
      </c>
      <c r="G10" s="1" t="s">
        <v>35</v>
      </c>
      <c r="H10" s="68"/>
      <c r="I10" s="68"/>
      <c r="J10" s="68"/>
      <c r="K10" s="68">
        <f t="shared" si="2"/>
        <v>4</v>
      </c>
      <c r="L10" s="68" t="str">
        <f t="shared" si="8"/>
        <v>الابراهيم</v>
      </c>
      <c r="M10" s="68" t="str">
        <f t="shared" si="3"/>
        <v>عبدالرحمن بن محمد بن ابراهيم حمد</v>
      </c>
      <c r="N10" s="68" t="str">
        <f t="shared" si="4"/>
        <v>عبدالرحمن bin محمد bin ابراهيم Al-حمد</v>
      </c>
      <c r="O10" s="68" t="str">
        <f t="shared" si="5"/>
        <v/>
      </c>
      <c r="P10" s="68">
        <f t="shared" si="6"/>
        <v>0</v>
      </c>
      <c r="Q10" s="68"/>
      <c r="R10" s="68"/>
      <c r="S10" s="68" t="str">
        <f t="shared" si="7"/>
        <v>Living</v>
      </c>
      <c r="T10" s="68"/>
      <c r="U10" s="68"/>
      <c r="V10" s="68"/>
      <c r="W10" s="68"/>
      <c r="X10" s="68"/>
      <c r="Y10" s="68"/>
      <c r="Z10" s="68"/>
    </row>
    <row r="11" hidden="1">
      <c r="A11" s="25" t="str">
        <f t="shared" si="1"/>
        <v>P010</v>
      </c>
      <c r="B11" s="71" t="s">
        <v>104</v>
      </c>
      <c r="C11" s="71" t="s">
        <v>102</v>
      </c>
      <c r="D11" s="71" t="s">
        <v>27</v>
      </c>
      <c r="E11" s="71" t="s">
        <v>31</v>
      </c>
      <c r="F11" s="25" t="s">
        <v>106</v>
      </c>
      <c r="G11" s="1" t="s">
        <v>35</v>
      </c>
      <c r="H11" s="25"/>
      <c r="I11" s="25"/>
      <c r="J11" s="25"/>
      <c r="K11" s="25">
        <f t="shared" si="2"/>
        <v>4</v>
      </c>
      <c r="L11" s="25" t="str">
        <f t="shared" si="8"/>
        <v>الابراهيم</v>
      </c>
      <c r="M11" s="25" t="str">
        <f t="shared" si="3"/>
        <v>عبدالمحسن بن ناصر بن ابراهيم حمد</v>
      </c>
      <c r="N11" s="25" t="str">
        <f t="shared" si="4"/>
        <v>عبدالمحسن bin ناصر bin ابراهيم Al-حمد</v>
      </c>
      <c r="O11" s="25" t="str">
        <f t="shared" si="5"/>
        <v/>
      </c>
      <c r="P11" s="25">
        <f t="shared" si="6"/>
        <v>0</v>
      </c>
      <c r="Q11" s="25"/>
      <c r="R11" s="25"/>
      <c r="S11" s="25" t="str">
        <f t="shared" si="7"/>
        <v>Living</v>
      </c>
    </row>
    <row r="12" hidden="1">
      <c r="A12" s="25" t="str">
        <f t="shared" si="1"/>
        <v>P011</v>
      </c>
      <c r="B12" s="71" t="s">
        <v>27</v>
      </c>
      <c r="C12" s="71" t="s">
        <v>102</v>
      </c>
      <c r="D12" s="71" t="s">
        <v>27</v>
      </c>
      <c r="E12" s="71" t="s">
        <v>31</v>
      </c>
      <c r="F12" s="25" t="s">
        <v>106</v>
      </c>
      <c r="G12" s="1" t="s">
        <v>35</v>
      </c>
      <c r="H12" s="25"/>
      <c r="I12" s="25"/>
      <c r="J12" s="25"/>
      <c r="K12" s="25">
        <f t="shared" si="2"/>
        <v>4</v>
      </c>
      <c r="L12" s="25" t="str">
        <f t="shared" si="8"/>
        <v>الابراهيم</v>
      </c>
      <c r="M12" s="25" t="str">
        <f t="shared" si="3"/>
        <v>ابراهيم بن ناصر بن ابراهيم حمد</v>
      </c>
      <c r="N12" s="25" t="str">
        <f t="shared" si="4"/>
        <v>ابراهيم bin ناصر bin ابراهيم Al-حمد</v>
      </c>
      <c r="O12" s="25" t="str">
        <f t="shared" si="5"/>
        <v/>
      </c>
      <c r="P12" s="25">
        <f t="shared" si="6"/>
        <v>0</v>
      </c>
      <c r="Q12" s="25"/>
      <c r="R12" s="25"/>
      <c r="S12" s="25" t="str">
        <f t="shared" si="7"/>
        <v>Living</v>
      </c>
    </row>
    <row r="13" hidden="1">
      <c r="A13" s="25" t="str">
        <f t="shared" si="1"/>
        <v>P012</v>
      </c>
      <c r="B13" s="71" t="s">
        <v>102</v>
      </c>
      <c r="C13" s="71" t="s">
        <v>27</v>
      </c>
      <c r="D13" s="71" t="s">
        <v>102</v>
      </c>
      <c r="E13" s="71" t="s">
        <v>27</v>
      </c>
      <c r="F13" s="25" t="s">
        <v>107</v>
      </c>
      <c r="G13" s="1" t="s">
        <v>35</v>
      </c>
      <c r="H13" s="25"/>
      <c r="I13" s="25"/>
      <c r="J13" s="25"/>
      <c r="K13" s="25">
        <f t="shared" si="2"/>
        <v>5</v>
      </c>
      <c r="L13" s="25" t="str">
        <f t="shared" si="8"/>
        <v>الابراهيم</v>
      </c>
      <c r="M13" s="25" t="str">
        <f t="shared" si="3"/>
        <v>ناصر بن ابراهيم بن ناصر ابراهيم</v>
      </c>
      <c r="N13" s="25" t="str">
        <f t="shared" si="4"/>
        <v>ناصر bin ابراهيم bin ناصر Al-ابراهيم</v>
      </c>
      <c r="O13" s="25" t="str">
        <f t="shared" si="5"/>
        <v/>
      </c>
      <c r="P13" s="25">
        <f t="shared" si="6"/>
        <v>0</v>
      </c>
      <c r="Q13" s="25"/>
      <c r="R13" s="25"/>
      <c r="S13" s="25" t="str">
        <f t="shared" si="7"/>
        <v>Living</v>
      </c>
    </row>
    <row r="14" hidden="1">
      <c r="A14" s="25" t="str">
        <f t="shared" si="1"/>
        <v>P013</v>
      </c>
      <c r="B14" s="71" t="s">
        <v>105</v>
      </c>
      <c r="C14" s="71" t="s">
        <v>27</v>
      </c>
      <c r="D14" s="71" t="s">
        <v>102</v>
      </c>
      <c r="E14" s="71" t="s">
        <v>27</v>
      </c>
      <c r="F14" s="25" t="s">
        <v>107</v>
      </c>
      <c r="G14" s="1" t="s">
        <v>35</v>
      </c>
      <c r="H14" s="25"/>
      <c r="I14" s="25"/>
      <c r="J14" s="25"/>
      <c r="K14" s="25">
        <f t="shared" si="2"/>
        <v>5</v>
      </c>
      <c r="L14" s="25" t="str">
        <f t="shared" si="8"/>
        <v>الابراهيم</v>
      </c>
      <c r="M14" s="25" t="str">
        <f t="shared" si="3"/>
        <v>عبدالرحمن بن ابراهيم بن ناصر ابراهيم</v>
      </c>
      <c r="N14" s="25" t="str">
        <f t="shared" si="4"/>
        <v>عبدالرحمن bin ابراهيم bin ناصر Al-ابراهيم</v>
      </c>
      <c r="O14" s="25" t="str">
        <f t="shared" si="5"/>
        <v/>
      </c>
      <c r="P14" s="25">
        <f t="shared" si="6"/>
        <v>0</v>
      </c>
      <c r="Q14" s="25"/>
      <c r="R14" s="25"/>
      <c r="S14" s="25" t="str">
        <f t="shared" si="7"/>
        <v>Living</v>
      </c>
    </row>
    <row r="15" hidden="1">
      <c r="A15" s="25" t="str">
        <f t="shared" si="1"/>
        <v>P014</v>
      </c>
      <c r="B15" s="71" t="s">
        <v>96</v>
      </c>
      <c r="C15" s="71" t="s">
        <v>27</v>
      </c>
      <c r="D15" s="71" t="s">
        <v>102</v>
      </c>
      <c r="E15" s="71" t="s">
        <v>27</v>
      </c>
      <c r="F15" s="25" t="s">
        <v>107</v>
      </c>
      <c r="G15" s="1" t="s">
        <v>35</v>
      </c>
      <c r="H15" s="25"/>
      <c r="I15" s="25"/>
      <c r="J15" s="25"/>
      <c r="K15" s="25">
        <f t="shared" si="2"/>
        <v>5</v>
      </c>
      <c r="L15" s="25" t="str">
        <f t="shared" si="8"/>
        <v>الابراهيم</v>
      </c>
      <c r="M15" s="25" t="str">
        <f t="shared" si="3"/>
        <v>عبدالكريم بن ابراهيم بن ناصر ابراهيم</v>
      </c>
      <c r="N15" s="25" t="str">
        <f t="shared" si="4"/>
        <v>عبدالكريم bin ابراهيم bin ناصر Al-ابراهيم</v>
      </c>
      <c r="O15" s="25" t="str">
        <f t="shared" si="5"/>
        <v/>
      </c>
      <c r="P15" s="25">
        <f t="shared" si="6"/>
        <v>0</v>
      </c>
      <c r="Q15" s="25"/>
      <c r="R15" s="25"/>
      <c r="S15" s="25" t="str">
        <f t="shared" si="7"/>
        <v>Living</v>
      </c>
    </row>
    <row r="16" hidden="1">
      <c r="A16" s="25" t="str">
        <f t="shared" si="1"/>
        <v>P015</v>
      </c>
      <c r="B16" s="71" t="s">
        <v>108</v>
      </c>
      <c r="C16" s="71" t="s">
        <v>27</v>
      </c>
      <c r="D16" s="71" t="s">
        <v>102</v>
      </c>
      <c r="E16" s="71" t="s">
        <v>27</v>
      </c>
      <c r="F16" s="25" t="s">
        <v>107</v>
      </c>
      <c r="G16" s="1" t="s">
        <v>35</v>
      </c>
      <c r="H16" s="25"/>
      <c r="I16" s="25"/>
      <c r="J16" s="25"/>
      <c r="K16" s="25">
        <f t="shared" si="2"/>
        <v>5</v>
      </c>
      <c r="L16" s="25" t="str">
        <f t="shared" si="8"/>
        <v>الابراهيم</v>
      </c>
      <c r="M16" s="25" t="str">
        <f t="shared" si="3"/>
        <v>عبدالعزيز بن ابراهيم بن ناصر ابراهيم</v>
      </c>
      <c r="N16" s="25" t="str">
        <f t="shared" si="4"/>
        <v>عبدالعزيز bin ابراهيم bin ناصر Al-ابراهيم</v>
      </c>
      <c r="O16" s="25" t="str">
        <f t="shared" si="5"/>
        <v/>
      </c>
      <c r="P16" s="25">
        <f t="shared" si="6"/>
        <v>0</v>
      </c>
      <c r="Q16" s="25"/>
      <c r="R16" s="25"/>
      <c r="S16" s="25" t="str">
        <f t="shared" si="7"/>
        <v>Living</v>
      </c>
    </row>
    <row r="17" hidden="1">
      <c r="A17" s="25" t="str">
        <f t="shared" si="1"/>
        <v>P016</v>
      </c>
      <c r="B17" s="71" t="s">
        <v>100</v>
      </c>
      <c r="C17" s="71" t="s">
        <v>102</v>
      </c>
      <c r="D17" s="71" t="s">
        <v>27</v>
      </c>
      <c r="E17" s="71" t="s">
        <v>102</v>
      </c>
      <c r="F17" s="25" t="s">
        <v>109</v>
      </c>
      <c r="G17" s="1" t="s">
        <v>35</v>
      </c>
      <c r="H17" s="25"/>
      <c r="I17" s="25"/>
      <c r="J17" s="25"/>
      <c r="K17" s="25">
        <f t="shared" si="2"/>
        <v>6</v>
      </c>
      <c r="L17" s="25" t="str">
        <f t="shared" si="8"/>
        <v>الابراهيم</v>
      </c>
      <c r="M17" s="25" t="str">
        <f t="shared" si="3"/>
        <v>محمد بن ناصر بن ابراهيم ناصر</v>
      </c>
      <c r="N17" s="25" t="str">
        <f t="shared" si="4"/>
        <v>محمد bin ناصر bin ابراهيم Al-ناصر</v>
      </c>
      <c r="O17" s="25" t="str">
        <f t="shared" si="5"/>
        <v/>
      </c>
      <c r="P17" s="25">
        <f t="shared" si="6"/>
        <v>0</v>
      </c>
      <c r="Q17" s="25"/>
      <c r="R17" s="25"/>
      <c r="S17" s="25" t="str">
        <f t="shared" si="7"/>
        <v>Living</v>
      </c>
    </row>
    <row r="18" hidden="1">
      <c r="A18" s="25" t="str">
        <f t="shared" si="1"/>
        <v>P017</v>
      </c>
      <c r="B18" s="71" t="s">
        <v>27</v>
      </c>
      <c r="C18" s="71" t="s">
        <v>102</v>
      </c>
      <c r="D18" s="71" t="s">
        <v>27</v>
      </c>
      <c r="E18" s="71" t="s">
        <v>102</v>
      </c>
      <c r="F18" s="25" t="s">
        <v>109</v>
      </c>
      <c r="G18" s="1" t="s">
        <v>35</v>
      </c>
      <c r="H18" s="25"/>
      <c r="I18" s="25"/>
      <c r="J18" s="25"/>
      <c r="K18" s="25">
        <f t="shared" si="2"/>
        <v>6</v>
      </c>
      <c r="L18" s="25" t="str">
        <f t="shared" si="8"/>
        <v>الابراهيم</v>
      </c>
      <c r="M18" s="25" t="str">
        <f t="shared" si="3"/>
        <v>ابراهيم بن ناصر بن ابراهيم ناصر</v>
      </c>
      <c r="N18" s="25" t="str">
        <f t="shared" si="4"/>
        <v>ابراهيم bin ناصر bin ابراهيم Al-ناصر</v>
      </c>
      <c r="O18" s="25" t="str">
        <f t="shared" si="5"/>
        <v/>
      </c>
      <c r="P18" s="25">
        <f t="shared" si="6"/>
        <v>0</v>
      </c>
      <c r="Q18" s="25"/>
      <c r="R18" s="25"/>
      <c r="S18" s="25" t="str">
        <f t="shared" si="7"/>
        <v>Living</v>
      </c>
    </row>
    <row r="19" hidden="1">
      <c r="A19" s="25" t="str">
        <f t="shared" si="1"/>
        <v>P018</v>
      </c>
      <c r="B19" s="71" t="s">
        <v>110</v>
      </c>
      <c r="C19" s="71" t="s">
        <v>102</v>
      </c>
      <c r="D19" s="71" t="s">
        <v>27</v>
      </c>
      <c r="E19" s="71" t="s">
        <v>102</v>
      </c>
      <c r="F19" s="25" t="s">
        <v>109</v>
      </c>
      <c r="G19" s="1" t="s">
        <v>35</v>
      </c>
      <c r="H19" s="25"/>
      <c r="I19" s="25"/>
      <c r="J19" s="25"/>
      <c r="K19" s="25">
        <f t="shared" si="2"/>
        <v>6</v>
      </c>
      <c r="L19" s="25" t="str">
        <f t="shared" si="8"/>
        <v>الابراهيم</v>
      </c>
      <c r="M19" s="25" t="str">
        <f t="shared" si="3"/>
        <v>سعد بن ناصر بن ابراهيم ناصر</v>
      </c>
      <c r="N19" s="25" t="str">
        <f t="shared" si="4"/>
        <v>سعد bin ناصر bin ابراهيم Al-ناصر</v>
      </c>
      <c r="O19" s="25" t="str">
        <f t="shared" si="5"/>
        <v/>
      </c>
      <c r="P19" s="25">
        <f t="shared" si="6"/>
        <v>0</v>
      </c>
      <c r="Q19" s="25"/>
      <c r="R19" s="25"/>
      <c r="S19" s="25" t="str">
        <f t="shared" si="7"/>
        <v>Living</v>
      </c>
    </row>
    <row r="20" hidden="1">
      <c r="A20" s="25" t="str">
        <f t="shared" si="1"/>
        <v>P019</v>
      </c>
      <c r="B20" s="71" t="s">
        <v>111</v>
      </c>
      <c r="C20" s="71" t="s">
        <v>102</v>
      </c>
      <c r="D20" s="71" t="s">
        <v>27</v>
      </c>
      <c r="E20" s="71" t="s">
        <v>102</v>
      </c>
      <c r="F20" s="25" t="s">
        <v>109</v>
      </c>
      <c r="G20" s="1" t="s">
        <v>35</v>
      </c>
      <c r="H20" s="25"/>
      <c r="I20" s="25"/>
      <c r="J20" s="25"/>
      <c r="K20" s="25">
        <f t="shared" si="2"/>
        <v>6</v>
      </c>
      <c r="L20" s="25" t="str">
        <f t="shared" si="8"/>
        <v>الابراهيم</v>
      </c>
      <c r="M20" s="25" t="str">
        <f t="shared" si="3"/>
        <v>فهد بن ناصر بن ابراهيم ناصر</v>
      </c>
      <c r="N20" s="25" t="str">
        <f t="shared" si="4"/>
        <v>فهد bin ناصر bin ابراهيم Al-ناصر</v>
      </c>
      <c r="O20" s="25" t="str">
        <f t="shared" si="5"/>
        <v/>
      </c>
      <c r="P20" s="25">
        <f t="shared" si="6"/>
        <v>0</v>
      </c>
      <c r="Q20" s="25"/>
      <c r="R20" s="25"/>
      <c r="S20" s="25" t="str">
        <f t="shared" si="7"/>
        <v>Living</v>
      </c>
    </row>
    <row r="21" ht="15.75" hidden="1" customHeight="1">
      <c r="A21" s="25" t="str">
        <f t="shared" si="1"/>
        <v>P020</v>
      </c>
      <c r="B21" s="71" t="s">
        <v>112</v>
      </c>
      <c r="C21" s="71" t="s">
        <v>102</v>
      </c>
      <c r="D21" s="71" t="s">
        <v>27</v>
      </c>
      <c r="E21" s="71" t="s">
        <v>102</v>
      </c>
      <c r="F21" s="25" t="s">
        <v>109</v>
      </c>
      <c r="G21" s="1" t="s">
        <v>35</v>
      </c>
      <c r="H21" s="25"/>
      <c r="I21" s="25"/>
      <c r="J21" s="25"/>
      <c r="K21" s="25">
        <f t="shared" si="2"/>
        <v>6</v>
      </c>
      <c r="L21" s="25" t="str">
        <f t="shared" si="8"/>
        <v>الابراهيم</v>
      </c>
      <c r="M21" s="25" t="str">
        <f t="shared" si="3"/>
        <v>خالد بن ناصر بن ابراهيم ناصر</v>
      </c>
      <c r="N21" s="25" t="str">
        <f t="shared" si="4"/>
        <v>خالد bin ناصر bin ابراهيم Al-ناصر</v>
      </c>
      <c r="O21" s="25" t="str">
        <f t="shared" si="5"/>
        <v/>
      </c>
      <c r="P21" s="25">
        <f t="shared" si="6"/>
        <v>0</v>
      </c>
      <c r="Q21" s="25"/>
      <c r="R21" s="25"/>
      <c r="S21" s="25" t="str">
        <f t="shared" si="7"/>
        <v>Living</v>
      </c>
    </row>
    <row r="22" ht="15.75" hidden="1" customHeight="1">
      <c r="A22" s="25" t="str">
        <f t="shared" si="1"/>
        <v>P021</v>
      </c>
      <c r="B22" s="71" t="s">
        <v>113</v>
      </c>
      <c r="C22" s="71" t="s">
        <v>102</v>
      </c>
      <c r="D22" s="71" t="s">
        <v>27</v>
      </c>
      <c r="E22" s="71" t="s">
        <v>102</v>
      </c>
      <c r="F22" s="25" t="s">
        <v>109</v>
      </c>
      <c r="G22" s="1" t="s">
        <v>35</v>
      </c>
      <c r="H22" s="25"/>
      <c r="I22" s="25"/>
      <c r="J22" s="25"/>
      <c r="K22" s="25">
        <f t="shared" si="2"/>
        <v>6</v>
      </c>
      <c r="L22" s="25" t="str">
        <f t="shared" si="8"/>
        <v>الابراهيم</v>
      </c>
      <c r="M22" s="25" t="str">
        <f t="shared" si="3"/>
        <v>شايع بن ناصر بن ابراهيم ناصر</v>
      </c>
      <c r="N22" s="25" t="str">
        <f t="shared" si="4"/>
        <v>شايع bin ناصر bin ابراهيم Al-ناصر</v>
      </c>
      <c r="O22" s="25" t="str">
        <f t="shared" si="5"/>
        <v/>
      </c>
      <c r="P22" s="25">
        <f t="shared" si="6"/>
        <v>0</v>
      </c>
      <c r="Q22" s="25"/>
      <c r="R22" s="25"/>
      <c r="S22" s="25" t="str">
        <f t="shared" si="7"/>
        <v>Living</v>
      </c>
    </row>
    <row r="23" ht="15.75" hidden="1" customHeight="1">
      <c r="A23" s="25" t="str">
        <f t="shared" si="1"/>
        <v>P022</v>
      </c>
      <c r="B23" s="71" t="s">
        <v>112</v>
      </c>
      <c r="C23" s="71" t="s">
        <v>100</v>
      </c>
      <c r="D23" s="71" t="s">
        <v>102</v>
      </c>
      <c r="E23" s="71" t="s">
        <v>27</v>
      </c>
      <c r="F23" s="25" t="s">
        <v>114</v>
      </c>
      <c r="G23" s="1" t="s">
        <v>35</v>
      </c>
      <c r="H23" s="25"/>
      <c r="I23" s="25"/>
      <c r="J23" s="25"/>
      <c r="K23" s="25">
        <f t="shared" si="2"/>
        <v>7</v>
      </c>
      <c r="L23" s="25" t="str">
        <f t="shared" si="8"/>
        <v>الابراهيم</v>
      </c>
      <c r="M23" s="25" t="str">
        <f t="shared" si="3"/>
        <v>خالد بن محمد بن ناصر ابراهيم</v>
      </c>
      <c r="N23" s="25" t="str">
        <f t="shared" si="4"/>
        <v>خالد bin محمد bin ناصر Al-ابراهيم</v>
      </c>
      <c r="O23" s="25" t="str">
        <f t="shared" si="5"/>
        <v/>
      </c>
      <c r="P23" s="25">
        <f t="shared" si="6"/>
        <v>0</v>
      </c>
      <c r="Q23" s="25"/>
      <c r="R23" s="25"/>
      <c r="S23" s="25" t="str">
        <f t="shared" si="7"/>
        <v>Living</v>
      </c>
    </row>
    <row r="24" ht="15.75" hidden="1" customHeight="1">
      <c r="A24" s="25" t="str">
        <f t="shared" si="1"/>
        <v>P023</v>
      </c>
      <c r="B24" s="71" t="s">
        <v>115</v>
      </c>
      <c r="C24" s="71" t="s">
        <v>100</v>
      </c>
      <c r="D24" s="71" t="s">
        <v>102</v>
      </c>
      <c r="E24" s="71" t="s">
        <v>27</v>
      </c>
      <c r="F24" s="25" t="s">
        <v>114</v>
      </c>
      <c r="G24" s="1" t="s">
        <v>35</v>
      </c>
      <c r="H24" s="25"/>
      <c r="I24" s="25"/>
      <c r="J24" s="25"/>
      <c r="K24" s="25">
        <f t="shared" si="2"/>
        <v>7</v>
      </c>
      <c r="L24" s="25" t="str">
        <f t="shared" si="8"/>
        <v>الابراهيم</v>
      </c>
      <c r="M24" s="25" t="str">
        <f t="shared" si="3"/>
        <v>وليد بن محمد بن ناصر ابراهيم</v>
      </c>
      <c r="N24" s="25" t="str">
        <f t="shared" si="4"/>
        <v>وليد bin محمد bin ناصر Al-ابراهيم</v>
      </c>
      <c r="O24" s="25" t="str">
        <f t="shared" si="5"/>
        <v/>
      </c>
      <c r="P24" s="25">
        <f t="shared" si="6"/>
        <v>0</v>
      </c>
      <c r="Q24" s="25"/>
      <c r="R24" s="25"/>
      <c r="S24" s="25" t="str">
        <f t="shared" si="7"/>
        <v>Living</v>
      </c>
    </row>
    <row r="25" ht="15.75" hidden="1" customHeight="1">
      <c r="A25" s="25" t="str">
        <f t="shared" si="1"/>
        <v>P024</v>
      </c>
      <c r="B25" s="71" t="s">
        <v>108</v>
      </c>
      <c r="C25" s="71" t="s">
        <v>100</v>
      </c>
      <c r="D25" s="71" t="s">
        <v>102</v>
      </c>
      <c r="E25" s="71" t="s">
        <v>27</v>
      </c>
      <c r="F25" s="25" t="s">
        <v>114</v>
      </c>
      <c r="G25" s="1" t="s">
        <v>35</v>
      </c>
      <c r="H25" s="25"/>
      <c r="I25" s="25"/>
      <c r="J25" s="25"/>
      <c r="K25" s="25">
        <f t="shared" si="2"/>
        <v>7</v>
      </c>
      <c r="L25" s="25" t="str">
        <f t="shared" si="8"/>
        <v>الابراهيم</v>
      </c>
      <c r="M25" s="25" t="str">
        <f t="shared" si="3"/>
        <v>عبدالعزيز بن محمد بن ناصر ابراهيم</v>
      </c>
      <c r="N25" s="25" t="str">
        <f t="shared" si="4"/>
        <v>عبدالعزيز bin محمد bin ناصر Al-ابراهيم</v>
      </c>
      <c r="O25" s="25" t="str">
        <f t="shared" si="5"/>
        <v/>
      </c>
      <c r="P25" s="25">
        <f t="shared" si="6"/>
        <v>0</v>
      </c>
      <c r="Q25" s="25"/>
      <c r="R25" s="25"/>
      <c r="S25" s="25" t="str">
        <f t="shared" si="7"/>
        <v>Living</v>
      </c>
    </row>
    <row r="26" ht="15.75" hidden="1" customHeight="1">
      <c r="A26" s="25" t="str">
        <f t="shared" si="1"/>
        <v>P025</v>
      </c>
      <c r="B26" s="71" t="s">
        <v>116</v>
      </c>
      <c r="C26" s="71" t="s">
        <v>100</v>
      </c>
      <c r="D26" s="71" t="s">
        <v>102</v>
      </c>
      <c r="E26" s="71" t="s">
        <v>27</v>
      </c>
      <c r="F26" s="25" t="s">
        <v>114</v>
      </c>
      <c r="G26" s="1" t="s">
        <v>35</v>
      </c>
      <c r="H26" s="25"/>
      <c r="I26" s="25"/>
      <c r="J26" s="25"/>
      <c r="K26" s="25">
        <f t="shared" si="2"/>
        <v>7</v>
      </c>
      <c r="L26" s="25" t="str">
        <f t="shared" si="8"/>
        <v>الابراهيم</v>
      </c>
      <c r="M26" s="25" t="str">
        <f t="shared" si="3"/>
        <v>فيصل بن محمد بن ناصر ابراهيم</v>
      </c>
      <c r="N26" s="25" t="str">
        <f t="shared" si="4"/>
        <v>فيصل bin محمد bin ناصر Al-ابراهيم</v>
      </c>
      <c r="O26" s="25" t="str">
        <f t="shared" si="5"/>
        <v/>
      </c>
      <c r="P26" s="25">
        <f t="shared" si="6"/>
        <v>0</v>
      </c>
      <c r="Q26" s="25"/>
      <c r="R26" s="25"/>
      <c r="S26" s="25" t="str">
        <f t="shared" si="7"/>
        <v>Living</v>
      </c>
    </row>
    <row r="27" ht="15.75" hidden="1" customHeight="1">
      <c r="A27" s="25" t="str">
        <f t="shared" si="1"/>
        <v>P026</v>
      </c>
      <c r="B27" s="71" t="s">
        <v>117</v>
      </c>
      <c r="C27" s="71" t="s">
        <v>27</v>
      </c>
      <c r="D27" s="71" t="s">
        <v>102</v>
      </c>
      <c r="E27" s="71" t="s">
        <v>27</v>
      </c>
      <c r="F27" s="25" t="s">
        <v>118</v>
      </c>
      <c r="G27" s="1" t="s">
        <v>35</v>
      </c>
      <c r="H27" s="25"/>
      <c r="I27" s="25"/>
      <c r="J27" s="25"/>
      <c r="K27" s="25">
        <f t="shared" si="2"/>
        <v>7</v>
      </c>
      <c r="L27" s="25" t="str">
        <f t="shared" si="8"/>
        <v>الابراهيم</v>
      </c>
      <c r="M27" s="25" t="str">
        <f t="shared" si="3"/>
        <v>يزيد بن ابراهيم بن ناصر ابراهيم</v>
      </c>
      <c r="N27" s="25" t="str">
        <f t="shared" si="4"/>
        <v>يزيد bin ابراهيم bin ناصر Al-ابراهيم</v>
      </c>
      <c r="O27" s="25" t="str">
        <f t="shared" si="5"/>
        <v/>
      </c>
      <c r="P27" s="25">
        <f t="shared" si="6"/>
        <v>0</v>
      </c>
      <c r="Q27" s="25"/>
      <c r="R27" s="25"/>
      <c r="S27" s="25" t="str">
        <f t="shared" si="7"/>
        <v>Living</v>
      </c>
    </row>
    <row r="28" ht="15.75" hidden="1" customHeight="1">
      <c r="A28" s="25" t="str">
        <f t="shared" si="1"/>
        <v>P027</v>
      </c>
      <c r="B28" s="71" t="s">
        <v>102</v>
      </c>
      <c r="C28" s="71" t="s">
        <v>27</v>
      </c>
      <c r="D28" s="71" t="s">
        <v>102</v>
      </c>
      <c r="E28" s="71" t="s">
        <v>27</v>
      </c>
      <c r="F28" s="25" t="s">
        <v>118</v>
      </c>
      <c r="G28" s="1" t="s">
        <v>35</v>
      </c>
      <c r="H28" s="25"/>
      <c r="I28" s="25"/>
      <c r="J28" s="25"/>
      <c r="K28" s="25">
        <f t="shared" si="2"/>
        <v>7</v>
      </c>
      <c r="L28" s="25" t="str">
        <f t="shared" si="8"/>
        <v>الابراهيم</v>
      </c>
      <c r="M28" s="25" t="str">
        <f t="shared" si="3"/>
        <v>ناصر بن ابراهيم بن ناصر ابراهيم</v>
      </c>
      <c r="N28" s="25" t="str">
        <f t="shared" si="4"/>
        <v>ناصر bin ابراهيم bin ناصر Al-ابراهيم</v>
      </c>
      <c r="O28" s="25" t="str">
        <f t="shared" si="5"/>
        <v/>
      </c>
      <c r="P28" s="25">
        <f t="shared" si="6"/>
        <v>0</v>
      </c>
      <c r="Q28" s="25"/>
      <c r="R28" s="25"/>
      <c r="S28" s="25" t="str">
        <f t="shared" si="7"/>
        <v>Living</v>
      </c>
    </row>
    <row r="29" ht="15.75" hidden="1" customHeight="1">
      <c r="A29" s="25" t="str">
        <f t="shared" si="1"/>
        <v>P028</v>
      </c>
      <c r="B29" s="71" t="s">
        <v>108</v>
      </c>
      <c r="C29" s="71" t="s">
        <v>27</v>
      </c>
      <c r="D29" s="71" t="s">
        <v>102</v>
      </c>
      <c r="E29" s="71" t="s">
        <v>27</v>
      </c>
      <c r="F29" s="25" t="s">
        <v>118</v>
      </c>
      <c r="G29" s="1" t="s">
        <v>35</v>
      </c>
      <c r="H29" s="25"/>
      <c r="I29" s="25"/>
      <c r="J29" s="25"/>
      <c r="K29" s="25">
        <f t="shared" si="2"/>
        <v>7</v>
      </c>
      <c r="L29" s="25" t="str">
        <f t="shared" si="8"/>
        <v>الابراهيم</v>
      </c>
      <c r="M29" s="25" t="str">
        <f t="shared" si="3"/>
        <v>عبدالعزيز بن ابراهيم بن ناصر ابراهيم</v>
      </c>
      <c r="N29" s="25" t="str">
        <f t="shared" si="4"/>
        <v>عبدالعزيز bin ابراهيم bin ناصر Al-ابراهيم</v>
      </c>
      <c r="O29" s="25" t="str">
        <f t="shared" si="5"/>
        <v/>
      </c>
      <c r="P29" s="25">
        <f t="shared" si="6"/>
        <v>0</v>
      </c>
      <c r="Q29" s="25"/>
      <c r="R29" s="25"/>
      <c r="S29" s="25" t="str">
        <f t="shared" si="7"/>
        <v>Living</v>
      </c>
    </row>
    <row r="30" ht="15.75" hidden="1" customHeight="1">
      <c r="A30" s="25" t="str">
        <f t="shared" si="1"/>
        <v>P029</v>
      </c>
      <c r="B30" s="71" t="s">
        <v>119</v>
      </c>
      <c r="C30" s="71" t="s">
        <v>27</v>
      </c>
      <c r="D30" s="71" t="s">
        <v>102</v>
      </c>
      <c r="E30" s="71" t="s">
        <v>27</v>
      </c>
      <c r="F30" s="25" t="s">
        <v>118</v>
      </c>
      <c r="G30" s="1" t="s">
        <v>35</v>
      </c>
      <c r="H30" s="25"/>
      <c r="I30" s="25"/>
      <c r="J30" s="25"/>
      <c r="K30" s="25">
        <f t="shared" si="2"/>
        <v>7</v>
      </c>
      <c r="L30" s="25" t="str">
        <f t="shared" si="8"/>
        <v>الابراهيم</v>
      </c>
      <c r="M30" s="25" t="str">
        <f t="shared" si="3"/>
        <v>عبدالله بن ابراهيم بن ناصر ابراهيم</v>
      </c>
      <c r="N30" s="25" t="str">
        <f t="shared" si="4"/>
        <v>عبدالله bin ابراهيم bin ناصر Al-ابراهيم</v>
      </c>
      <c r="O30" s="25" t="str">
        <f t="shared" si="5"/>
        <v/>
      </c>
      <c r="P30" s="25">
        <f t="shared" si="6"/>
        <v>0</v>
      </c>
      <c r="Q30" s="25"/>
      <c r="R30" s="25"/>
      <c r="S30" s="25" t="str">
        <f t="shared" si="7"/>
        <v>Living</v>
      </c>
    </row>
    <row r="31" ht="15.75" hidden="1" customHeight="1">
      <c r="A31" s="25" t="str">
        <f t="shared" si="1"/>
        <v>P030</v>
      </c>
      <c r="B31" s="71" t="s">
        <v>102</v>
      </c>
      <c r="C31" s="71" t="s">
        <v>110</v>
      </c>
      <c r="D31" s="71" t="s">
        <v>102</v>
      </c>
      <c r="E31" s="71" t="s">
        <v>27</v>
      </c>
      <c r="F31" s="25" t="s">
        <v>120</v>
      </c>
      <c r="G31" s="1" t="s">
        <v>35</v>
      </c>
      <c r="H31" s="25"/>
      <c r="I31" s="25"/>
      <c r="J31" s="25"/>
      <c r="K31" s="25">
        <f t="shared" si="2"/>
        <v>7</v>
      </c>
      <c r="L31" s="25" t="str">
        <f t="shared" si="8"/>
        <v>الابراهيم</v>
      </c>
      <c r="M31" s="25" t="str">
        <f t="shared" si="3"/>
        <v>ناصر بن سعد بن ناصر ابراهيم</v>
      </c>
      <c r="N31" s="25" t="str">
        <f t="shared" si="4"/>
        <v>ناصر bin سعد bin ناصر Al-ابراهيم</v>
      </c>
      <c r="O31" s="25" t="str">
        <f t="shared" si="5"/>
        <v/>
      </c>
      <c r="P31" s="25">
        <f t="shared" si="6"/>
        <v>0</v>
      </c>
      <c r="Q31" s="25"/>
      <c r="R31" s="25"/>
      <c r="S31" s="25" t="str">
        <f t="shared" si="7"/>
        <v>Living</v>
      </c>
    </row>
    <row r="32" ht="15.75" hidden="1" customHeight="1">
      <c r="A32" s="25" t="str">
        <f t="shared" si="1"/>
        <v>P031</v>
      </c>
      <c r="B32" s="71" t="s">
        <v>105</v>
      </c>
      <c r="C32" s="71" t="s">
        <v>110</v>
      </c>
      <c r="D32" s="71" t="s">
        <v>102</v>
      </c>
      <c r="E32" s="71" t="s">
        <v>27</v>
      </c>
      <c r="F32" s="25" t="s">
        <v>120</v>
      </c>
      <c r="G32" s="1" t="s">
        <v>35</v>
      </c>
      <c r="H32" s="25"/>
      <c r="I32" s="25"/>
      <c r="J32" s="25"/>
      <c r="K32" s="25">
        <f t="shared" si="2"/>
        <v>7</v>
      </c>
      <c r="L32" s="25" t="str">
        <f t="shared" si="8"/>
        <v>الابراهيم</v>
      </c>
      <c r="M32" s="25" t="str">
        <f t="shared" si="3"/>
        <v>عبدالرحمن بن سعد بن ناصر ابراهيم</v>
      </c>
      <c r="N32" s="25" t="str">
        <f t="shared" si="4"/>
        <v>عبدالرحمن bin سعد bin ناصر Al-ابراهيم</v>
      </c>
      <c r="O32" s="25" t="str">
        <f t="shared" si="5"/>
        <v/>
      </c>
      <c r="P32" s="25">
        <f t="shared" si="6"/>
        <v>0</v>
      </c>
      <c r="Q32" s="25"/>
      <c r="R32" s="25"/>
      <c r="S32" s="25" t="str">
        <f t="shared" si="7"/>
        <v>Living</v>
      </c>
    </row>
    <row r="33" ht="15.75" hidden="1" customHeight="1">
      <c r="A33" s="25" t="str">
        <f t="shared" si="1"/>
        <v>P032</v>
      </c>
      <c r="B33" s="71" t="s">
        <v>121</v>
      </c>
      <c r="C33" s="71" t="s">
        <v>110</v>
      </c>
      <c r="D33" s="71" t="s">
        <v>102</v>
      </c>
      <c r="E33" s="71" t="s">
        <v>27</v>
      </c>
      <c r="F33" s="25" t="s">
        <v>120</v>
      </c>
      <c r="G33" s="1" t="s">
        <v>35</v>
      </c>
      <c r="H33" s="25"/>
      <c r="I33" s="25"/>
      <c r="J33" s="25"/>
      <c r="K33" s="25">
        <f t="shared" si="2"/>
        <v>7</v>
      </c>
      <c r="L33" s="25" t="str">
        <f t="shared" si="8"/>
        <v>الابراهيم</v>
      </c>
      <c r="M33" s="25" t="str">
        <f t="shared" si="3"/>
        <v>عبدالاله بن سعد بن ناصر ابراهيم</v>
      </c>
      <c r="N33" s="25" t="str">
        <f t="shared" si="4"/>
        <v>عبدالاله bin سعد bin ناصر Al-ابراهيم</v>
      </c>
      <c r="O33" s="25" t="str">
        <f t="shared" si="5"/>
        <v/>
      </c>
      <c r="P33" s="25">
        <f t="shared" si="6"/>
        <v>0</v>
      </c>
      <c r="Q33" s="25"/>
      <c r="R33" s="25"/>
      <c r="S33" s="25" t="str">
        <f t="shared" si="7"/>
        <v>Living</v>
      </c>
    </row>
    <row r="34" ht="15.75" hidden="1" customHeight="1">
      <c r="A34" s="25" t="str">
        <f t="shared" si="1"/>
        <v>P033</v>
      </c>
      <c r="B34" s="71" t="s">
        <v>122</v>
      </c>
      <c r="C34" s="71" t="s">
        <v>111</v>
      </c>
      <c r="D34" s="71" t="s">
        <v>102</v>
      </c>
      <c r="E34" s="71" t="s">
        <v>27</v>
      </c>
      <c r="F34" s="25" t="s">
        <v>123</v>
      </c>
      <c r="G34" s="1" t="s">
        <v>35</v>
      </c>
      <c r="H34" s="25"/>
      <c r="I34" s="25"/>
      <c r="J34" s="25"/>
      <c r="K34" s="25">
        <f t="shared" si="2"/>
        <v>7</v>
      </c>
      <c r="L34" s="25" t="str">
        <f t="shared" si="8"/>
        <v>الابراهيم</v>
      </c>
      <c r="M34" s="25" t="str">
        <f t="shared" si="3"/>
        <v>ناصر  بن فهد بن ناصر ابراهيم</v>
      </c>
      <c r="N34" s="25" t="str">
        <f t="shared" si="4"/>
        <v>ناصر  bin فهد bin ناصر Al-ابراهيم</v>
      </c>
      <c r="O34" s="25" t="str">
        <f t="shared" si="5"/>
        <v/>
      </c>
      <c r="P34" s="25">
        <f t="shared" si="6"/>
        <v>0</v>
      </c>
      <c r="Q34" s="25"/>
      <c r="R34" s="25"/>
      <c r="S34" s="25" t="str">
        <f t="shared" si="7"/>
        <v>Living</v>
      </c>
    </row>
    <row r="35" ht="15.75" hidden="1" customHeight="1">
      <c r="A35" s="25" t="str">
        <f t="shared" si="1"/>
        <v>P034</v>
      </c>
      <c r="B35" s="71" t="s">
        <v>105</v>
      </c>
      <c r="C35" s="71" t="s">
        <v>111</v>
      </c>
      <c r="D35" s="71" t="s">
        <v>102</v>
      </c>
      <c r="E35" s="71" t="s">
        <v>27</v>
      </c>
      <c r="F35" s="25" t="s">
        <v>123</v>
      </c>
      <c r="G35" s="1" t="s">
        <v>35</v>
      </c>
      <c r="H35" s="25"/>
      <c r="I35" s="25"/>
      <c r="J35" s="25"/>
      <c r="K35" s="25">
        <f t="shared" si="2"/>
        <v>7</v>
      </c>
      <c r="L35" s="25" t="str">
        <f t="shared" si="8"/>
        <v>الابراهيم</v>
      </c>
      <c r="M35" s="25" t="str">
        <f t="shared" si="3"/>
        <v>عبدالرحمن بن فهد بن ناصر ابراهيم</v>
      </c>
      <c r="N35" s="25" t="str">
        <f t="shared" si="4"/>
        <v>عبدالرحمن bin فهد bin ناصر Al-ابراهيم</v>
      </c>
      <c r="O35" s="25" t="str">
        <f t="shared" si="5"/>
        <v/>
      </c>
      <c r="P35" s="25">
        <f t="shared" si="6"/>
        <v>0</v>
      </c>
      <c r="Q35" s="25"/>
      <c r="R35" s="25"/>
      <c r="S35" s="25" t="str">
        <f t="shared" si="7"/>
        <v>Living</v>
      </c>
    </row>
    <row r="36" ht="15.75" hidden="1" customHeight="1">
      <c r="A36" s="25" t="str">
        <f t="shared" si="1"/>
        <v>P035</v>
      </c>
      <c r="B36" s="71" t="s">
        <v>124</v>
      </c>
      <c r="C36" s="71" t="s">
        <v>111</v>
      </c>
      <c r="D36" s="71" t="s">
        <v>102</v>
      </c>
      <c r="E36" s="71" t="s">
        <v>27</v>
      </c>
      <c r="F36" s="25" t="s">
        <v>123</v>
      </c>
      <c r="G36" s="1" t="s">
        <v>35</v>
      </c>
      <c r="H36" s="25"/>
      <c r="I36" s="25"/>
      <c r="J36" s="25"/>
      <c r="K36" s="25">
        <f t="shared" si="2"/>
        <v>7</v>
      </c>
      <c r="L36" s="25" t="str">
        <f t="shared" si="8"/>
        <v>الابراهيم</v>
      </c>
      <c r="M36" s="25" t="str">
        <f t="shared" si="3"/>
        <v>البراء بن فهد بن ناصر ابراهيم</v>
      </c>
      <c r="N36" s="25" t="str">
        <f t="shared" si="4"/>
        <v>البراء bin فهد bin ناصر Al-ابراهيم</v>
      </c>
      <c r="O36" s="25" t="str">
        <f t="shared" si="5"/>
        <v/>
      </c>
      <c r="P36" s="25">
        <f t="shared" si="6"/>
        <v>0</v>
      </c>
      <c r="Q36" s="25"/>
      <c r="R36" s="25"/>
      <c r="S36" s="25" t="str">
        <f t="shared" si="7"/>
        <v>Living</v>
      </c>
    </row>
    <row r="37" ht="15.75" hidden="1" customHeight="1">
      <c r="A37" s="25" t="str">
        <f t="shared" si="1"/>
        <v>P036</v>
      </c>
      <c r="B37" s="71" t="s">
        <v>102</v>
      </c>
      <c r="C37" s="71" t="s">
        <v>112</v>
      </c>
      <c r="D37" s="71" t="s">
        <v>102</v>
      </c>
      <c r="E37" s="71" t="s">
        <v>27</v>
      </c>
      <c r="F37" s="25" t="s">
        <v>125</v>
      </c>
      <c r="G37" s="1" t="s">
        <v>35</v>
      </c>
      <c r="H37" s="25"/>
      <c r="I37" s="25"/>
      <c r="J37" s="25"/>
      <c r="K37" s="25">
        <f t="shared" si="2"/>
        <v>7</v>
      </c>
      <c r="L37" s="25" t="str">
        <f t="shared" si="8"/>
        <v>الابراهيم</v>
      </c>
      <c r="M37" s="25" t="str">
        <f t="shared" si="3"/>
        <v>ناصر بن خالد بن ناصر ابراهيم</v>
      </c>
      <c r="N37" s="25" t="str">
        <f t="shared" si="4"/>
        <v>ناصر bin خالد bin ناصر Al-ابراهيم</v>
      </c>
      <c r="O37" s="25" t="str">
        <f t="shared" si="5"/>
        <v/>
      </c>
      <c r="P37" s="25">
        <f t="shared" si="6"/>
        <v>0</v>
      </c>
      <c r="Q37" s="25"/>
      <c r="R37" s="25"/>
      <c r="S37" s="25" t="str">
        <f t="shared" si="7"/>
        <v>Living</v>
      </c>
    </row>
    <row r="38" ht="15.75" hidden="1" customHeight="1">
      <c r="A38" s="25" t="str">
        <f t="shared" si="1"/>
        <v>P037</v>
      </c>
      <c r="B38" s="71" t="s">
        <v>122</v>
      </c>
      <c r="C38" s="71" t="s">
        <v>113</v>
      </c>
      <c r="D38" s="71" t="s">
        <v>102</v>
      </c>
      <c r="E38" s="71" t="s">
        <v>27</v>
      </c>
      <c r="F38" s="25" t="s">
        <v>126</v>
      </c>
      <c r="G38" s="1" t="s">
        <v>35</v>
      </c>
      <c r="H38" s="25"/>
      <c r="I38" s="25"/>
      <c r="J38" s="25"/>
      <c r="K38" s="25">
        <f t="shared" si="2"/>
        <v>7</v>
      </c>
      <c r="L38" s="25" t="str">
        <f t="shared" si="8"/>
        <v>الابراهيم</v>
      </c>
      <c r="M38" s="25" t="str">
        <f t="shared" si="3"/>
        <v>ناصر  بن شايع بن ناصر ابراهيم</v>
      </c>
      <c r="N38" s="25" t="str">
        <f t="shared" si="4"/>
        <v>ناصر  bin شايع bin ناصر Al-ابراهيم</v>
      </c>
      <c r="O38" s="25" t="str">
        <f t="shared" si="5"/>
        <v/>
      </c>
      <c r="P38" s="25">
        <f t="shared" si="6"/>
        <v>0</v>
      </c>
      <c r="Q38" s="25"/>
      <c r="R38" s="25"/>
      <c r="S38" s="25" t="str">
        <f t="shared" si="7"/>
        <v>Living</v>
      </c>
    </row>
    <row r="39" ht="15.75" hidden="1" customHeight="1">
      <c r="A39" s="25" t="str">
        <f t="shared" si="1"/>
        <v>P038</v>
      </c>
      <c r="B39" s="71" t="s">
        <v>27</v>
      </c>
      <c r="C39" s="75" t="s">
        <v>105</v>
      </c>
      <c r="D39" s="75" t="s">
        <v>27</v>
      </c>
      <c r="E39" s="71" t="s">
        <v>102</v>
      </c>
      <c r="F39" s="25" t="s">
        <v>127</v>
      </c>
      <c r="G39" s="1" t="s">
        <v>35</v>
      </c>
      <c r="H39" s="25"/>
      <c r="I39" s="25"/>
      <c r="J39" s="25"/>
      <c r="K39" s="25">
        <f t="shared" si="2"/>
        <v>6</v>
      </c>
      <c r="L39" s="25" t="str">
        <f t="shared" si="8"/>
        <v>الابراهيم</v>
      </c>
      <c r="M39" s="25" t="str">
        <f t="shared" si="3"/>
        <v>ابراهيم بن عبدالرحمن بن ابراهيم ناصر</v>
      </c>
      <c r="N39" s="25" t="str">
        <f t="shared" si="4"/>
        <v>ابراهيم bin عبدالرحمن bin ابراهيم Al-ناصر</v>
      </c>
      <c r="O39" s="25" t="str">
        <f t="shared" si="5"/>
        <v/>
      </c>
      <c r="P39" s="25">
        <f t="shared" si="6"/>
        <v>0</v>
      </c>
      <c r="Q39" s="25"/>
      <c r="R39" s="25"/>
      <c r="S39" s="25" t="str">
        <f t="shared" si="7"/>
        <v>Living</v>
      </c>
    </row>
    <row r="40" ht="15.75" hidden="1" customHeight="1">
      <c r="A40" s="25" t="str">
        <f t="shared" si="1"/>
        <v>P039</v>
      </c>
      <c r="B40" s="71" t="s">
        <v>119</v>
      </c>
      <c r="C40" s="75" t="s">
        <v>105</v>
      </c>
      <c r="D40" s="75" t="s">
        <v>27</v>
      </c>
      <c r="E40" s="71" t="s">
        <v>102</v>
      </c>
      <c r="F40" s="25" t="s">
        <v>127</v>
      </c>
      <c r="G40" s="1" t="s">
        <v>35</v>
      </c>
      <c r="H40" s="25"/>
      <c r="I40" s="25"/>
      <c r="J40" s="25"/>
      <c r="K40" s="25">
        <f t="shared" si="2"/>
        <v>6</v>
      </c>
      <c r="L40" s="25" t="str">
        <f t="shared" si="8"/>
        <v>الابراهيم</v>
      </c>
      <c r="M40" s="25" t="str">
        <f t="shared" si="3"/>
        <v>عبدالله بن عبدالرحمن بن ابراهيم ناصر</v>
      </c>
      <c r="N40" s="25" t="str">
        <f t="shared" si="4"/>
        <v>عبدالله bin عبدالرحمن bin ابراهيم Al-ناصر</v>
      </c>
      <c r="O40" s="25" t="str">
        <f t="shared" si="5"/>
        <v/>
      </c>
      <c r="P40" s="25">
        <f t="shared" si="6"/>
        <v>0</v>
      </c>
      <c r="Q40" s="25"/>
      <c r="R40" s="25"/>
      <c r="S40" s="25" t="str">
        <f t="shared" si="7"/>
        <v>Living</v>
      </c>
    </row>
    <row r="41" ht="15.75" hidden="1" customHeight="1">
      <c r="A41" s="25" t="str">
        <f t="shared" si="1"/>
        <v>P040</v>
      </c>
      <c r="B41" s="71" t="s">
        <v>100</v>
      </c>
      <c r="C41" s="75" t="s">
        <v>105</v>
      </c>
      <c r="D41" s="75" t="s">
        <v>27</v>
      </c>
      <c r="E41" s="71" t="s">
        <v>102</v>
      </c>
      <c r="F41" s="25" t="s">
        <v>127</v>
      </c>
      <c r="G41" s="1" t="s">
        <v>35</v>
      </c>
      <c r="H41" s="25"/>
      <c r="I41" s="25"/>
      <c r="J41" s="25"/>
      <c r="K41" s="25">
        <f t="shared" si="2"/>
        <v>6</v>
      </c>
      <c r="L41" s="25" t="str">
        <f t="shared" si="8"/>
        <v>الابراهيم</v>
      </c>
      <c r="M41" s="25" t="str">
        <f t="shared" si="3"/>
        <v>محمد بن عبدالرحمن بن ابراهيم ناصر</v>
      </c>
      <c r="N41" s="25" t="str">
        <f t="shared" si="4"/>
        <v>محمد bin عبدالرحمن bin ابراهيم Al-ناصر</v>
      </c>
      <c r="O41" s="25" t="str">
        <f t="shared" si="5"/>
        <v/>
      </c>
      <c r="P41" s="25">
        <f t="shared" si="6"/>
        <v>0</v>
      </c>
      <c r="Q41" s="25"/>
      <c r="R41" s="25"/>
      <c r="S41" s="25" t="str">
        <f t="shared" si="7"/>
        <v>Living</v>
      </c>
    </row>
    <row r="42" ht="15.75" hidden="1" customHeight="1">
      <c r="A42" s="25" t="str">
        <f t="shared" si="1"/>
        <v>P041</v>
      </c>
      <c r="B42" s="71" t="s">
        <v>128</v>
      </c>
      <c r="C42" s="75" t="s">
        <v>105</v>
      </c>
      <c r="D42" s="75" t="s">
        <v>27</v>
      </c>
      <c r="E42" s="71" t="s">
        <v>102</v>
      </c>
      <c r="F42" s="25" t="s">
        <v>127</v>
      </c>
      <c r="G42" s="1" t="s">
        <v>35</v>
      </c>
      <c r="H42" s="25"/>
      <c r="I42" s="25"/>
      <c r="J42" s="25"/>
      <c r="K42" s="25">
        <f t="shared" si="2"/>
        <v>6</v>
      </c>
      <c r="L42" s="25" t="str">
        <f t="shared" si="8"/>
        <v>الابراهيم</v>
      </c>
      <c r="M42" s="25" t="str">
        <f t="shared" si="3"/>
        <v>أحمد بن عبدالرحمن بن ابراهيم ناصر</v>
      </c>
      <c r="N42" s="25" t="str">
        <f t="shared" si="4"/>
        <v>أحمد bin عبدالرحمن bin ابراهيم Al-ناصر</v>
      </c>
      <c r="O42" s="25" t="str">
        <f t="shared" si="5"/>
        <v/>
      </c>
      <c r="P42" s="25">
        <f t="shared" si="6"/>
        <v>0</v>
      </c>
      <c r="Q42" s="25"/>
      <c r="R42" s="25"/>
      <c r="S42" s="25" t="str">
        <f t="shared" si="7"/>
        <v>Living</v>
      </c>
    </row>
    <row r="43" ht="15.75" hidden="1" customHeight="1">
      <c r="A43" s="25" t="str">
        <f t="shared" si="1"/>
        <v>P042</v>
      </c>
      <c r="B43" s="71" t="s">
        <v>129</v>
      </c>
      <c r="C43" s="71" t="s">
        <v>27</v>
      </c>
      <c r="D43" s="75" t="s">
        <v>105</v>
      </c>
      <c r="E43" s="75" t="s">
        <v>27</v>
      </c>
      <c r="F43" s="25" t="s">
        <v>130</v>
      </c>
      <c r="G43" s="1" t="s">
        <v>35</v>
      </c>
      <c r="H43" s="25"/>
      <c r="I43" s="25"/>
      <c r="J43" s="25"/>
      <c r="K43" s="25">
        <f t="shared" si="2"/>
        <v>7</v>
      </c>
      <c r="L43" s="25" t="str">
        <f t="shared" si="8"/>
        <v>الابراهيم</v>
      </c>
      <c r="M43" s="25" t="str">
        <f t="shared" si="3"/>
        <v>عادل بن ابراهيم بن عبدالرحمن ابراهيم</v>
      </c>
      <c r="N43" s="25" t="str">
        <f t="shared" si="4"/>
        <v>عادل bin ابراهيم bin عبدالرحمن Al-ابراهيم</v>
      </c>
      <c r="O43" s="25" t="str">
        <f t="shared" si="5"/>
        <v/>
      </c>
      <c r="P43" s="25">
        <f t="shared" si="6"/>
        <v>0</v>
      </c>
      <c r="Q43" s="25"/>
      <c r="R43" s="25"/>
      <c r="S43" s="25" t="str">
        <f t="shared" si="7"/>
        <v>Living</v>
      </c>
    </row>
    <row r="44" ht="15.75" hidden="1" customHeight="1">
      <c r="A44" s="25" t="str">
        <f t="shared" si="1"/>
        <v>P043</v>
      </c>
      <c r="B44" s="71" t="s">
        <v>105</v>
      </c>
      <c r="C44" s="71" t="s">
        <v>27</v>
      </c>
      <c r="D44" s="75" t="s">
        <v>105</v>
      </c>
      <c r="E44" s="75" t="s">
        <v>27</v>
      </c>
      <c r="F44" s="25" t="s">
        <v>130</v>
      </c>
      <c r="G44" s="1" t="s">
        <v>35</v>
      </c>
      <c r="H44" s="25"/>
      <c r="I44" s="25"/>
      <c r="J44" s="25"/>
      <c r="K44" s="25">
        <f t="shared" si="2"/>
        <v>7</v>
      </c>
      <c r="L44" s="25" t="str">
        <f t="shared" si="8"/>
        <v>الابراهيم</v>
      </c>
      <c r="M44" s="25" t="str">
        <f t="shared" si="3"/>
        <v>عبدالرحمن بن ابراهيم بن عبدالرحمن ابراهيم</v>
      </c>
      <c r="N44" s="25" t="str">
        <f t="shared" si="4"/>
        <v>عبدالرحمن bin ابراهيم bin عبدالرحمن Al-ابراهيم</v>
      </c>
      <c r="O44" s="25" t="str">
        <f t="shared" si="5"/>
        <v/>
      </c>
      <c r="P44" s="25">
        <f t="shared" si="6"/>
        <v>0</v>
      </c>
      <c r="Q44" s="25"/>
      <c r="R44" s="25"/>
      <c r="S44" s="25" t="str">
        <f t="shared" si="7"/>
        <v>Living</v>
      </c>
    </row>
    <row r="45" ht="15.75" hidden="1" customHeight="1">
      <c r="A45" s="25" t="str">
        <f t="shared" si="1"/>
        <v>P044</v>
      </c>
      <c r="B45" s="71" t="s">
        <v>119</v>
      </c>
      <c r="C45" s="71" t="s">
        <v>27</v>
      </c>
      <c r="D45" s="75" t="s">
        <v>105</v>
      </c>
      <c r="E45" s="75" t="s">
        <v>27</v>
      </c>
      <c r="F45" s="25" t="s">
        <v>130</v>
      </c>
      <c r="G45" s="1" t="s">
        <v>35</v>
      </c>
      <c r="H45" s="25"/>
      <c r="I45" s="25"/>
      <c r="J45" s="25"/>
      <c r="K45" s="25">
        <f t="shared" si="2"/>
        <v>7</v>
      </c>
      <c r="L45" s="25" t="str">
        <f t="shared" si="8"/>
        <v>الابراهيم</v>
      </c>
      <c r="M45" s="25" t="str">
        <f t="shared" si="3"/>
        <v>عبدالله بن ابراهيم بن عبدالرحمن ابراهيم</v>
      </c>
      <c r="N45" s="25" t="str">
        <f t="shared" si="4"/>
        <v>عبدالله bin ابراهيم bin عبدالرحمن Al-ابراهيم</v>
      </c>
      <c r="O45" s="25" t="str">
        <f t="shared" si="5"/>
        <v/>
      </c>
      <c r="P45" s="25">
        <f t="shared" si="6"/>
        <v>0</v>
      </c>
      <c r="Q45" s="25"/>
      <c r="R45" s="25"/>
      <c r="S45" s="25" t="str">
        <f t="shared" si="7"/>
        <v>Living</v>
      </c>
    </row>
    <row r="46" ht="15.75" hidden="1" customHeight="1">
      <c r="A46" s="25" t="str">
        <f t="shared" si="1"/>
        <v>P045</v>
      </c>
      <c r="B46" s="71" t="s">
        <v>131</v>
      </c>
      <c r="C46" s="71" t="s">
        <v>27</v>
      </c>
      <c r="D46" s="75" t="s">
        <v>105</v>
      </c>
      <c r="E46" s="75" t="s">
        <v>27</v>
      </c>
      <c r="F46" s="25" t="s">
        <v>130</v>
      </c>
      <c r="G46" s="1" t="s">
        <v>132</v>
      </c>
      <c r="H46" s="25"/>
      <c r="I46" s="25"/>
      <c r="J46" s="25"/>
      <c r="K46" s="25">
        <f t="shared" si="2"/>
        <v>7</v>
      </c>
      <c r="L46" s="25" t="str">
        <f t="shared" si="8"/>
        <v>الابراهيم</v>
      </c>
      <c r="M46" s="25" t="str">
        <f t="shared" si="3"/>
        <v>حنان بن ابراهيم بن عبدالرحمن ابراهيم</v>
      </c>
      <c r="N46" s="25" t="str">
        <f t="shared" si="4"/>
        <v>حنان bin ابراهيم bin عبدالرحمن Al-ابراهيم</v>
      </c>
      <c r="O46" s="25" t="str">
        <f t="shared" si="5"/>
        <v/>
      </c>
      <c r="P46" s="25">
        <f t="shared" si="6"/>
        <v>0</v>
      </c>
      <c r="Q46" s="25"/>
      <c r="R46" s="25"/>
      <c r="S46" s="25" t="str">
        <f t="shared" si="7"/>
        <v>Living</v>
      </c>
    </row>
    <row r="47" ht="15.75" hidden="1" customHeight="1">
      <c r="A47" s="25" t="str">
        <f t="shared" si="1"/>
        <v>P046</v>
      </c>
      <c r="B47" s="71" t="s">
        <v>133</v>
      </c>
      <c r="C47" s="71" t="s">
        <v>27</v>
      </c>
      <c r="D47" s="75" t="s">
        <v>105</v>
      </c>
      <c r="E47" s="75" t="s">
        <v>27</v>
      </c>
      <c r="F47" s="25" t="s">
        <v>130</v>
      </c>
      <c r="G47" s="1" t="s">
        <v>132</v>
      </c>
      <c r="H47" s="25"/>
      <c r="I47" s="25"/>
      <c r="J47" s="25"/>
      <c r="K47" s="25">
        <f t="shared" si="2"/>
        <v>7</v>
      </c>
      <c r="L47" s="25" t="str">
        <f t="shared" si="8"/>
        <v>الابراهيم</v>
      </c>
      <c r="M47" s="25" t="str">
        <f t="shared" si="3"/>
        <v>هنا بن ابراهيم بن عبدالرحمن ابراهيم</v>
      </c>
      <c r="N47" s="25" t="str">
        <f t="shared" si="4"/>
        <v>هنا bin ابراهيم bin عبدالرحمن Al-ابراهيم</v>
      </c>
      <c r="O47" s="25" t="str">
        <f t="shared" si="5"/>
        <v/>
      </c>
      <c r="P47" s="25">
        <f t="shared" si="6"/>
        <v>0</v>
      </c>
      <c r="Q47" s="25"/>
      <c r="R47" s="25"/>
      <c r="S47" s="25" t="str">
        <f t="shared" si="7"/>
        <v>Living</v>
      </c>
    </row>
    <row r="48" ht="15.75" hidden="1" customHeight="1">
      <c r="A48" s="25" t="str">
        <f t="shared" si="1"/>
        <v>P047</v>
      </c>
      <c r="B48" s="71" t="s">
        <v>105</v>
      </c>
      <c r="C48" s="76" t="s">
        <v>119</v>
      </c>
      <c r="D48" s="75" t="s">
        <v>105</v>
      </c>
      <c r="E48" s="75" t="s">
        <v>27</v>
      </c>
      <c r="F48" s="25" t="s">
        <v>134</v>
      </c>
      <c r="G48" s="1" t="s">
        <v>35</v>
      </c>
      <c r="H48" s="25"/>
      <c r="I48" s="25"/>
      <c r="J48" s="25"/>
      <c r="K48" s="25">
        <f t="shared" si="2"/>
        <v>7</v>
      </c>
      <c r="L48" s="25" t="str">
        <f t="shared" si="8"/>
        <v>الابراهيم</v>
      </c>
      <c r="M48" s="25" t="str">
        <f t="shared" si="3"/>
        <v>عبدالرحمن بن عبدالله بن عبدالرحمن ابراهيم</v>
      </c>
      <c r="N48" s="25" t="str">
        <f t="shared" si="4"/>
        <v>عبدالرحمن bin عبدالله bin عبدالرحمن Al-ابراهيم</v>
      </c>
      <c r="O48" s="25" t="str">
        <f t="shared" si="5"/>
        <v/>
      </c>
      <c r="P48" s="25">
        <f t="shared" si="6"/>
        <v>0</v>
      </c>
      <c r="Q48" s="25"/>
      <c r="R48" s="25"/>
      <c r="S48" s="25" t="str">
        <f t="shared" si="7"/>
        <v>Living</v>
      </c>
    </row>
    <row r="49" ht="15.75" hidden="1" customHeight="1">
      <c r="A49" s="25" t="str">
        <f t="shared" si="1"/>
        <v>P048</v>
      </c>
      <c r="B49" s="71" t="s">
        <v>100</v>
      </c>
      <c r="C49" s="76" t="s">
        <v>119</v>
      </c>
      <c r="D49" s="75" t="s">
        <v>105</v>
      </c>
      <c r="E49" s="75" t="s">
        <v>27</v>
      </c>
      <c r="F49" s="25" t="s">
        <v>134</v>
      </c>
      <c r="G49" s="1" t="s">
        <v>35</v>
      </c>
      <c r="H49" s="25"/>
      <c r="I49" s="25"/>
      <c r="J49" s="25"/>
      <c r="K49" s="25">
        <f t="shared" si="2"/>
        <v>7</v>
      </c>
      <c r="L49" s="25" t="str">
        <f t="shared" si="8"/>
        <v>الابراهيم</v>
      </c>
      <c r="M49" s="25" t="str">
        <f t="shared" si="3"/>
        <v>محمد بن عبدالله بن عبدالرحمن ابراهيم</v>
      </c>
      <c r="N49" s="25" t="str">
        <f t="shared" si="4"/>
        <v>محمد bin عبدالله bin عبدالرحمن Al-ابراهيم</v>
      </c>
      <c r="O49" s="25" t="str">
        <f t="shared" si="5"/>
        <v/>
      </c>
      <c r="P49" s="25">
        <f t="shared" si="6"/>
        <v>0</v>
      </c>
      <c r="Q49" s="25"/>
      <c r="R49" s="25"/>
      <c r="S49" s="25" t="str">
        <f t="shared" si="7"/>
        <v>Living</v>
      </c>
    </row>
    <row r="50" ht="15.75" hidden="1" customHeight="1">
      <c r="A50" s="25" t="str">
        <f t="shared" si="1"/>
        <v>P049</v>
      </c>
      <c r="B50" s="71" t="s">
        <v>135</v>
      </c>
      <c r="C50" s="76" t="s">
        <v>119</v>
      </c>
      <c r="D50" s="75" t="s">
        <v>105</v>
      </c>
      <c r="E50" s="75" t="s">
        <v>27</v>
      </c>
      <c r="F50" s="25" t="s">
        <v>134</v>
      </c>
      <c r="G50" s="1" t="s">
        <v>35</v>
      </c>
      <c r="H50" s="25"/>
      <c r="I50" s="25"/>
      <c r="J50" s="25"/>
      <c r="K50" s="25">
        <f t="shared" si="2"/>
        <v>7</v>
      </c>
      <c r="L50" s="25" t="str">
        <f t="shared" si="8"/>
        <v>الابراهيم</v>
      </c>
      <c r="M50" s="25" t="str">
        <f t="shared" si="3"/>
        <v>مساعد بن عبدالله بن عبدالرحمن ابراهيم</v>
      </c>
      <c r="N50" s="25" t="str">
        <f t="shared" si="4"/>
        <v>مساعد bin عبدالله bin عبدالرحمن Al-ابراهيم</v>
      </c>
      <c r="O50" s="25" t="str">
        <f t="shared" si="5"/>
        <v/>
      </c>
      <c r="P50" s="25">
        <f t="shared" si="6"/>
        <v>0</v>
      </c>
      <c r="Q50" s="25"/>
      <c r="R50" s="25"/>
      <c r="S50" s="25" t="str">
        <f t="shared" si="7"/>
        <v>Living</v>
      </c>
    </row>
    <row r="51" ht="15.75" hidden="1" customHeight="1">
      <c r="A51" s="25" t="str">
        <f t="shared" si="1"/>
        <v>P050</v>
      </c>
      <c r="B51" s="71" t="s">
        <v>136</v>
      </c>
      <c r="C51" s="76" t="s">
        <v>119</v>
      </c>
      <c r="D51" s="75" t="s">
        <v>105</v>
      </c>
      <c r="E51" s="75" t="s">
        <v>27</v>
      </c>
      <c r="F51" s="25" t="s">
        <v>134</v>
      </c>
      <c r="G51" s="1" t="s">
        <v>132</v>
      </c>
      <c r="H51" s="25"/>
      <c r="I51" s="25"/>
      <c r="J51" s="25"/>
      <c r="K51" s="25">
        <f t="shared" si="2"/>
        <v>7</v>
      </c>
      <c r="L51" s="25" t="str">
        <f t="shared" si="8"/>
        <v>الابراهيم</v>
      </c>
      <c r="M51" s="25" t="str">
        <f t="shared" si="3"/>
        <v>نجد بن عبدالله بن عبدالرحمن ابراهيم</v>
      </c>
      <c r="N51" s="25" t="str">
        <f t="shared" si="4"/>
        <v>نجد bin عبدالله bin عبدالرحمن Al-ابراهيم</v>
      </c>
      <c r="O51" s="25" t="str">
        <f t="shared" si="5"/>
        <v/>
      </c>
      <c r="P51" s="25">
        <f t="shared" si="6"/>
        <v>0</v>
      </c>
      <c r="Q51" s="25"/>
      <c r="R51" s="25"/>
      <c r="S51" s="25" t="str">
        <f t="shared" si="7"/>
        <v>Living</v>
      </c>
    </row>
    <row r="52" ht="15.75" hidden="1" customHeight="1">
      <c r="A52" s="25" t="str">
        <f t="shared" si="1"/>
        <v>P051</v>
      </c>
      <c r="B52" s="71" t="s">
        <v>137</v>
      </c>
      <c r="C52" s="76" t="s">
        <v>119</v>
      </c>
      <c r="D52" s="75" t="s">
        <v>105</v>
      </c>
      <c r="E52" s="75" t="s">
        <v>27</v>
      </c>
      <c r="F52" s="25" t="s">
        <v>134</v>
      </c>
      <c r="G52" s="1" t="s">
        <v>132</v>
      </c>
      <c r="H52" s="25"/>
      <c r="I52" s="25"/>
      <c r="J52" s="25"/>
      <c r="K52" s="25">
        <f t="shared" si="2"/>
        <v>7</v>
      </c>
      <c r="L52" s="25" t="str">
        <f t="shared" si="8"/>
        <v>الابراهيم</v>
      </c>
      <c r="M52" s="25" t="str">
        <f t="shared" si="3"/>
        <v>نوف بن عبدالله بن عبدالرحمن ابراهيم</v>
      </c>
      <c r="N52" s="25" t="str">
        <f t="shared" si="4"/>
        <v>نوف bin عبدالله bin عبدالرحمن Al-ابراهيم</v>
      </c>
      <c r="O52" s="25" t="str">
        <f t="shared" si="5"/>
        <v/>
      </c>
      <c r="P52" s="25">
        <f t="shared" si="6"/>
        <v>0</v>
      </c>
      <c r="Q52" s="25"/>
      <c r="R52" s="25"/>
      <c r="S52" s="25" t="str">
        <f t="shared" si="7"/>
        <v>Living</v>
      </c>
    </row>
    <row r="53" ht="15.75" hidden="1" customHeight="1">
      <c r="A53" s="25" t="str">
        <f t="shared" si="1"/>
        <v>P052</v>
      </c>
      <c r="B53" s="71" t="s">
        <v>138</v>
      </c>
      <c r="C53" s="76" t="s">
        <v>100</v>
      </c>
      <c r="D53" s="75" t="s">
        <v>105</v>
      </c>
      <c r="E53" s="75" t="s">
        <v>27</v>
      </c>
      <c r="F53" s="25" t="s">
        <v>139</v>
      </c>
      <c r="G53" s="1" t="s">
        <v>35</v>
      </c>
      <c r="H53" s="25"/>
      <c r="I53" s="25"/>
      <c r="J53" s="25"/>
      <c r="K53" s="25">
        <f t="shared" si="2"/>
        <v>7</v>
      </c>
      <c r="L53" s="25" t="str">
        <f t="shared" si="8"/>
        <v>الابراهيم</v>
      </c>
      <c r="M53" s="25" t="str">
        <f t="shared" si="3"/>
        <v>أنس بن محمد بن عبدالرحمن ابراهيم</v>
      </c>
      <c r="N53" s="25" t="str">
        <f t="shared" si="4"/>
        <v>أنس bin محمد bin عبدالرحمن Al-ابراهيم</v>
      </c>
      <c r="O53" s="25" t="str">
        <f t="shared" si="5"/>
        <v/>
      </c>
      <c r="P53" s="25">
        <f t="shared" si="6"/>
        <v>0</v>
      </c>
      <c r="Q53" s="25"/>
      <c r="R53" s="25"/>
      <c r="S53" s="25" t="str">
        <f t="shared" si="7"/>
        <v>Living</v>
      </c>
    </row>
    <row r="54" ht="15.75" hidden="1" customHeight="1">
      <c r="A54" s="25" t="str">
        <f t="shared" si="1"/>
        <v>P053</v>
      </c>
      <c r="B54" s="71" t="s">
        <v>140</v>
      </c>
      <c r="C54" s="76" t="s">
        <v>100</v>
      </c>
      <c r="D54" s="75" t="s">
        <v>105</v>
      </c>
      <c r="E54" s="75" t="s">
        <v>27</v>
      </c>
      <c r="F54" s="25" t="s">
        <v>139</v>
      </c>
      <c r="G54" s="1" t="s">
        <v>35</v>
      </c>
      <c r="H54" s="25"/>
      <c r="I54" s="25"/>
      <c r="J54" s="25"/>
      <c r="K54" s="25">
        <f t="shared" si="2"/>
        <v>7</v>
      </c>
      <c r="L54" s="25" t="str">
        <f t="shared" si="8"/>
        <v>الابراهيم</v>
      </c>
      <c r="M54" s="25" t="str">
        <f t="shared" si="3"/>
        <v>عبدالمجيد بن محمد بن عبدالرحمن ابراهيم</v>
      </c>
      <c r="N54" s="25" t="str">
        <f t="shared" si="4"/>
        <v>عبدالمجيد bin محمد bin عبدالرحمن Al-ابراهيم</v>
      </c>
      <c r="O54" s="25" t="str">
        <f t="shared" si="5"/>
        <v/>
      </c>
      <c r="P54" s="25">
        <f t="shared" si="6"/>
        <v>0</v>
      </c>
      <c r="Q54" s="25"/>
      <c r="R54" s="25"/>
      <c r="S54" s="25" t="str">
        <f t="shared" si="7"/>
        <v>Living</v>
      </c>
    </row>
    <row r="55" ht="15.75" hidden="1" customHeight="1">
      <c r="A55" s="25" t="str">
        <f t="shared" si="1"/>
        <v>P054</v>
      </c>
      <c r="B55" s="71" t="s">
        <v>141</v>
      </c>
      <c r="C55" s="76" t="s">
        <v>100</v>
      </c>
      <c r="D55" s="75" t="s">
        <v>105</v>
      </c>
      <c r="E55" s="75" t="s">
        <v>27</v>
      </c>
      <c r="F55" s="25" t="s">
        <v>139</v>
      </c>
      <c r="G55" s="1" t="s">
        <v>35</v>
      </c>
      <c r="H55" s="25"/>
      <c r="I55" s="25"/>
      <c r="J55" s="25"/>
      <c r="K55" s="25">
        <f t="shared" si="2"/>
        <v>7</v>
      </c>
      <c r="L55" s="25" t="str">
        <f t="shared" si="8"/>
        <v>الابراهيم</v>
      </c>
      <c r="M55" s="25" t="str">
        <f t="shared" si="3"/>
        <v>معاذ بن محمد بن عبدالرحمن ابراهيم</v>
      </c>
      <c r="N55" s="25" t="str">
        <f t="shared" si="4"/>
        <v>معاذ bin محمد bin عبدالرحمن Al-ابراهيم</v>
      </c>
      <c r="O55" s="25" t="str">
        <f t="shared" si="5"/>
        <v/>
      </c>
      <c r="P55" s="25">
        <f t="shared" si="6"/>
        <v>0</v>
      </c>
      <c r="Q55" s="25"/>
      <c r="R55" s="25"/>
      <c r="S55" s="25" t="str">
        <f t="shared" si="7"/>
        <v>Living</v>
      </c>
    </row>
    <row r="56" ht="15.75" hidden="1" customHeight="1">
      <c r="A56" s="25" t="str">
        <f t="shared" si="1"/>
        <v>P055</v>
      </c>
      <c r="B56" s="71" t="s">
        <v>142</v>
      </c>
      <c r="C56" s="76" t="s">
        <v>100</v>
      </c>
      <c r="D56" s="75" t="s">
        <v>105</v>
      </c>
      <c r="E56" s="75" t="s">
        <v>27</v>
      </c>
      <c r="F56" s="25" t="s">
        <v>139</v>
      </c>
      <c r="G56" s="1" t="s">
        <v>35</v>
      </c>
      <c r="H56" s="25"/>
      <c r="I56" s="25"/>
      <c r="J56" s="25"/>
      <c r="K56" s="25">
        <f t="shared" si="2"/>
        <v>7</v>
      </c>
      <c r="L56" s="25" t="str">
        <f t="shared" si="8"/>
        <v>الابراهيم</v>
      </c>
      <c r="M56" s="25" t="str">
        <f t="shared" si="3"/>
        <v>تميم بن محمد بن عبدالرحمن ابراهيم</v>
      </c>
      <c r="N56" s="25" t="str">
        <f t="shared" si="4"/>
        <v>تميم bin محمد bin عبدالرحمن Al-ابراهيم</v>
      </c>
      <c r="O56" s="25" t="str">
        <f t="shared" si="5"/>
        <v/>
      </c>
      <c r="P56" s="25">
        <f t="shared" si="6"/>
        <v>0</v>
      </c>
      <c r="Q56" s="25"/>
      <c r="R56" s="25"/>
      <c r="S56" s="25" t="str">
        <f t="shared" si="7"/>
        <v>Living</v>
      </c>
    </row>
    <row r="57" ht="15.75" hidden="1" customHeight="1">
      <c r="A57" s="25" t="str">
        <f t="shared" si="1"/>
        <v>P056</v>
      </c>
      <c r="B57" s="71" t="s">
        <v>143</v>
      </c>
      <c r="C57" s="76" t="s">
        <v>100</v>
      </c>
      <c r="D57" s="75" t="s">
        <v>105</v>
      </c>
      <c r="E57" s="75" t="s">
        <v>27</v>
      </c>
      <c r="F57" s="25" t="s">
        <v>139</v>
      </c>
      <c r="G57" s="1" t="s">
        <v>132</v>
      </c>
      <c r="H57" s="25"/>
      <c r="I57" s="25"/>
      <c r="J57" s="25"/>
      <c r="K57" s="25">
        <f t="shared" si="2"/>
        <v>7</v>
      </c>
      <c r="L57" s="25" t="str">
        <f t="shared" si="8"/>
        <v>الابراهيم</v>
      </c>
      <c r="M57" s="25" t="str">
        <f t="shared" si="3"/>
        <v>بسمة بن محمد بن عبدالرحمن ابراهيم</v>
      </c>
      <c r="N57" s="25" t="str">
        <f t="shared" si="4"/>
        <v>بسمة bin محمد bin عبدالرحمن Al-ابراهيم</v>
      </c>
      <c r="O57" s="25" t="str">
        <f t="shared" si="5"/>
        <v/>
      </c>
      <c r="P57" s="25">
        <f t="shared" si="6"/>
        <v>0</v>
      </c>
      <c r="Q57" s="25"/>
      <c r="R57" s="25"/>
      <c r="S57" s="25" t="str">
        <f t="shared" si="7"/>
        <v>Living</v>
      </c>
    </row>
    <row r="58" ht="15.75" hidden="1" customHeight="1">
      <c r="A58" s="25" t="str">
        <f t="shared" si="1"/>
        <v>P057</v>
      </c>
      <c r="B58" s="71" t="s">
        <v>144</v>
      </c>
      <c r="C58" s="76" t="s">
        <v>100</v>
      </c>
      <c r="D58" s="75" t="s">
        <v>105</v>
      </c>
      <c r="E58" s="75" t="s">
        <v>27</v>
      </c>
      <c r="F58" s="25" t="s">
        <v>139</v>
      </c>
      <c r="G58" s="1" t="s">
        <v>132</v>
      </c>
      <c r="H58" s="25"/>
      <c r="I58" s="25"/>
      <c r="J58" s="25"/>
      <c r="K58" s="25">
        <f t="shared" si="2"/>
        <v>7</v>
      </c>
      <c r="L58" s="25" t="str">
        <f t="shared" si="8"/>
        <v>الابراهيم</v>
      </c>
      <c r="M58" s="25" t="str">
        <f t="shared" si="3"/>
        <v>ريم بن محمد بن عبدالرحمن ابراهيم</v>
      </c>
      <c r="N58" s="25" t="str">
        <f t="shared" si="4"/>
        <v>ريم bin محمد bin عبدالرحمن Al-ابراهيم</v>
      </c>
      <c r="O58" s="25" t="str">
        <f t="shared" si="5"/>
        <v/>
      </c>
      <c r="P58" s="25">
        <f t="shared" si="6"/>
        <v>0</v>
      </c>
      <c r="Q58" s="25"/>
      <c r="R58" s="25"/>
      <c r="S58" s="25" t="str">
        <f t="shared" si="7"/>
        <v>Living</v>
      </c>
    </row>
    <row r="59" ht="15.75" hidden="1" customHeight="1">
      <c r="A59" s="25" t="str">
        <f t="shared" si="1"/>
        <v>P058</v>
      </c>
      <c r="B59" s="71" t="s">
        <v>145</v>
      </c>
      <c r="C59" s="76" t="s">
        <v>100</v>
      </c>
      <c r="D59" s="75" t="s">
        <v>105</v>
      </c>
      <c r="E59" s="75" t="s">
        <v>27</v>
      </c>
      <c r="F59" s="25" t="s">
        <v>139</v>
      </c>
      <c r="G59" s="1" t="s">
        <v>132</v>
      </c>
      <c r="H59" s="25"/>
      <c r="I59" s="25"/>
      <c r="J59" s="25"/>
      <c r="K59" s="25">
        <f t="shared" si="2"/>
        <v>7</v>
      </c>
      <c r="L59" s="25" t="str">
        <f t="shared" si="8"/>
        <v>الابراهيم</v>
      </c>
      <c r="M59" s="25" t="str">
        <f t="shared" si="3"/>
        <v>كندا بن محمد بن عبدالرحمن ابراهيم</v>
      </c>
      <c r="N59" s="25" t="str">
        <f t="shared" si="4"/>
        <v>كندا bin محمد bin عبدالرحمن Al-ابراهيم</v>
      </c>
      <c r="O59" s="25" t="str">
        <f t="shared" si="5"/>
        <v/>
      </c>
      <c r="P59" s="25">
        <f t="shared" si="6"/>
        <v>0</v>
      </c>
      <c r="Q59" s="25"/>
      <c r="R59" s="25"/>
      <c r="S59" s="25" t="str">
        <f t="shared" si="7"/>
        <v>Living</v>
      </c>
    </row>
    <row r="60" ht="15.75" hidden="1" customHeight="1">
      <c r="A60" s="25" t="str">
        <f t="shared" si="1"/>
        <v>P059</v>
      </c>
      <c r="B60" s="71" t="s">
        <v>146</v>
      </c>
      <c r="C60" s="76" t="s">
        <v>128</v>
      </c>
      <c r="D60" s="75" t="s">
        <v>105</v>
      </c>
      <c r="E60" s="75" t="s">
        <v>27</v>
      </c>
      <c r="F60" s="25" t="s">
        <v>147</v>
      </c>
      <c r="G60" s="1" t="s">
        <v>35</v>
      </c>
      <c r="H60" s="25"/>
      <c r="I60" s="25"/>
      <c r="J60" s="25"/>
      <c r="K60" s="25">
        <f t="shared" si="2"/>
        <v>7</v>
      </c>
      <c r="L60" s="25" t="str">
        <f t="shared" si="8"/>
        <v>الابراهيم</v>
      </c>
      <c r="M60" s="25" t="str">
        <f t="shared" si="3"/>
        <v>بدر بن أحمد بن عبدالرحمن ابراهيم</v>
      </c>
      <c r="N60" s="25" t="str">
        <f t="shared" si="4"/>
        <v>بدر bin أحمد bin عبدالرحمن Al-ابراهيم</v>
      </c>
      <c r="O60" s="25" t="str">
        <f t="shared" si="5"/>
        <v/>
      </c>
      <c r="P60" s="25">
        <f t="shared" si="6"/>
        <v>0</v>
      </c>
      <c r="Q60" s="25"/>
      <c r="R60" s="25"/>
      <c r="S60" s="25" t="str">
        <f t="shared" si="7"/>
        <v>Living</v>
      </c>
    </row>
    <row r="61" ht="15.75" hidden="1" customHeight="1">
      <c r="A61" s="25" t="str">
        <f t="shared" si="1"/>
        <v>P060</v>
      </c>
      <c r="B61" s="71" t="s">
        <v>148</v>
      </c>
      <c r="C61" s="76" t="s">
        <v>128</v>
      </c>
      <c r="D61" s="75" t="s">
        <v>105</v>
      </c>
      <c r="E61" s="75" t="s">
        <v>27</v>
      </c>
      <c r="F61" s="25" t="s">
        <v>147</v>
      </c>
      <c r="G61" s="1" t="s">
        <v>35</v>
      </c>
      <c r="H61" s="25"/>
      <c r="I61" s="25"/>
      <c r="J61" s="25"/>
      <c r="K61" s="25">
        <f t="shared" si="2"/>
        <v>7</v>
      </c>
      <c r="L61" s="25" t="str">
        <f t="shared" si="8"/>
        <v>الابراهيم</v>
      </c>
      <c r="M61" s="25" t="str">
        <f t="shared" si="3"/>
        <v>زياد بن أحمد بن عبدالرحمن ابراهيم</v>
      </c>
      <c r="N61" s="25" t="str">
        <f t="shared" si="4"/>
        <v>زياد bin أحمد bin عبدالرحمن Al-ابراهيم</v>
      </c>
      <c r="O61" s="25" t="str">
        <f t="shared" si="5"/>
        <v/>
      </c>
      <c r="P61" s="25">
        <f t="shared" si="6"/>
        <v>0</v>
      </c>
      <c r="Q61" s="25"/>
      <c r="R61" s="25"/>
      <c r="S61" s="25" t="str">
        <f t="shared" si="7"/>
        <v>Living</v>
      </c>
    </row>
    <row r="62" ht="15.75" hidden="1" customHeight="1">
      <c r="A62" s="25" t="str">
        <f t="shared" si="1"/>
        <v>P061</v>
      </c>
      <c r="B62" s="71" t="s">
        <v>149</v>
      </c>
      <c r="C62" s="76" t="s">
        <v>128</v>
      </c>
      <c r="D62" s="75" t="s">
        <v>105</v>
      </c>
      <c r="E62" s="75" t="s">
        <v>27</v>
      </c>
      <c r="F62" s="25" t="s">
        <v>147</v>
      </c>
      <c r="G62" s="1" t="s">
        <v>35</v>
      </c>
      <c r="H62" s="25"/>
      <c r="I62" s="25"/>
      <c r="J62" s="25"/>
      <c r="K62" s="25">
        <f t="shared" si="2"/>
        <v>7</v>
      </c>
      <c r="L62" s="25" t="str">
        <f t="shared" si="8"/>
        <v>الابراهيم</v>
      </c>
      <c r="M62" s="25" t="str">
        <f t="shared" si="3"/>
        <v>ريان بن أحمد بن عبدالرحمن ابراهيم</v>
      </c>
      <c r="N62" s="25" t="str">
        <f t="shared" si="4"/>
        <v>ريان bin أحمد bin عبدالرحمن Al-ابراهيم</v>
      </c>
      <c r="O62" s="25" t="str">
        <f t="shared" si="5"/>
        <v/>
      </c>
      <c r="P62" s="25">
        <f t="shared" si="6"/>
        <v>0</v>
      </c>
      <c r="Q62" s="25"/>
      <c r="R62" s="25"/>
      <c r="S62" s="25" t="str">
        <f t="shared" si="7"/>
        <v>Living</v>
      </c>
    </row>
    <row r="63" ht="15.75" hidden="1" customHeight="1">
      <c r="A63" s="25" t="str">
        <f t="shared" si="1"/>
        <v>P062</v>
      </c>
      <c r="B63" s="71" t="s">
        <v>150</v>
      </c>
      <c r="C63" s="76" t="s">
        <v>128</v>
      </c>
      <c r="D63" s="75" t="s">
        <v>105</v>
      </c>
      <c r="E63" s="75" t="s">
        <v>27</v>
      </c>
      <c r="F63" s="25" t="s">
        <v>147</v>
      </c>
      <c r="G63" s="1" t="s">
        <v>35</v>
      </c>
      <c r="H63" s="25"/>
      <c r="I63" s="25"/>
      <c r="J63" s="25"/>
      <c r="K63" s="25">
        <f t="shared" si="2"/>
        <v>7</v>
      </c>
      <c r="L63" s="25" t="str">
        <f t="shared" si="8"/>
        <v>الابراهيم</v>
      </c>
      <c r="M63" s="25" t="str">
        <f t="shared" si="3"/>
        <v>مؤيد بن أحمد بن عبدالرحمن ابراهيم</v>
      </c>
      <c r="N63" s="25" t="str">
        <f t="shared" si="4"/>
        <v>مؤيد bin أحمد bin عبدالرحمن Al-ابراهيم</v>
      </c>
      <c r="O63" s="25" t="str">
        <f t="shared" si="5"/>
        <v/>
      </c>
      <c r="P63" s="25">
        <f t="shared" si="6"/>
        <v>0</v>
      </c>
      <c r="Q63" s="25"/>
      <c r="R63" s="25"/>
      <c r="S63" s="25" t="str">
        <f t="shared" si="7"/>
        <v>Living</v>
      </c>
    </row>
    <row r="64" ht="15.75" hidden="1" customHeight="1">
      <c r="A64" s="25" t="str">
        <f t="shared" si="1"/>
        <v>P063</v>
      </c>
      <c r="B64" s="71" t="s">
        <v>151</v>
      </c>
      <c r="C64" s="76" t="s">
        <v>128</v>
      </c>
      <c r="D64" s="75" t="s">
        <v>105</v>
      </c>
      <c r="E64" s="75" t="s">
        <v>27</v>
      </c>
      <c r="F64" s="25" t="s">
        <v>147</v>
      </c>
      <c r="G64" s="1" t="s">
        <v>35</v>
      </c>
      <c r="H64" s="25"/>
      <c r="I64" s="25"/>
      <c r="J64" s="25"/>
      <c r="K64" s="25">
        <f t="shared" si="2"/>
        <v>7</v>
      </c>
      <c r="L64" s="25" t="str">
        <f t="shared" si="8"/>
        <v>الابراهيم</v>
      </c>
      <c r="M64" s="25" t="str">
        <f t="shared" si="3"/>
        <v>عزام بن أحمد بن عبدالرحمن ابراهيم</v>
      </c>
      <c r="N64" s="25" t="str">
        <f t="shared" si="4"/>
        <v>عزام bin أحمد bin عبدالرحمن Al-ابراهيم</v>
      </c>
      <c r="O64" s="25" t="str">
        <f t="shared" si="5"/>
        <v/>
      </c>
      <c r="P64" s="25">
        <f t="shared" si="6"/>
        <v>0</v>
      </c>
      <c r="Q64" s="25"/>
      <c r="R64" s="25"/>
      <c r="S64" s="25" t="str">
        <f t="shared" si="7"/>
        <v>Living</v>
      </c>
    </row>
    <row r="65" ht="15.75" hidden="1" customHeight="1">
      <c r="A65" s="25" t="str">
        <f t="shared" si="1"/>
        <v>P064</v>
      </c>
      <c r="B65" s="71" t="s">
        <v>152</v>
      </c>
      <c r="C65" s="76" t="s">
        <v>128</v>
      </c>
      <c r="D65" s="75" t="s">
        <v>105</v>
      </c>
      <c r="E65" s="75" t="s">
        <v>27</v>
      </c>
      <c r="F65" s="25" t="s">
        <v>147</v>
      </c>
      <c r="G65" s="1" t="s">
        <v>35</v>
      </c>
      <c r="H65" s="25"/>
      <c r="I65" s="25"/>
      <c r="J65" s="25"/>
      <c r="K65" s="25">
        <f t="shared" si="2"/>
        <v>7</v>
      </c>
      <c r="L65" s="25" t="str">
        <f t="shared" si="8"/>
        <v>الابراهيم</v>
      </c>
      <c r="M65" s="25" t="str">
        <f t="shared" si="3"/>
        <v>بتال بن أحمد بن عبدالرحمن ابراهيم</v>
      </c>
      <c r="N65" s="25" t="str">
        <f t="shared" si="4"/>
        <v>بتال bin أحمد bin عبدالرحمن Al-ابراهيم</v>
      </c>
      <c r="O65" s="25" t="str">
        <f t="shared" si="5"/>
        <v/>
      </c>
      <c r="P65" s="25">
        <f t="shared" si="6"/>
        <v>0</v>
      </c>
      <c r="Q65" s="25"/>
      <c r="R65" s="25"/>
      <c r="S65" s="25" t="str">
        <f t="shared" si="7"/>
        <v>Living</v>
      </c>
    </row>
    <row r="66" ht="15.75" hidden="1" customHeight="1">
      <c r="A66" s="25" t="str">
        <f t="shared" si="1"/>
        <v>P065</v>
      </c>
      <c r="B66" s="71" t="s">
        <v>153</v>
      </c>
      <c r="C66" s="76" t="s">
        <v>128</v>
      </c>
      <c r="D66" s="75" t="s">
        <v>105</v>
      </c>
      <c r="E66" s="75" t="s">
        <v>27</v>
      </c>
      <c r="F66" s="25" t="s">
        <v>147</v>
      </c>
      <c r="G66" s="1" t="s">
        <v>132</v>
      </c>
      <c r="H66" s="25"/>
      <c r="I66" s="25"/>
      <c r="J66" s="25"/>
      <c r="K66" s="25">
        <f t="shared" si="2"/>
        <v>7</v>
      </c>
      <c r="L66" s="25" t="str">
        <f t="shared" si="8"/>
        <v>الابراهيم</v>
      </c>
      <c r="M66" s="25" t="str">
        <f t="shared" si="3"/>
        <v>شهد بن أحمد بن عبدالرحمن ابراهيم</v>
      </c>
      <c r="N66" s="25" t="str">
        <f t="shared" si="4"/>
        <v>شهد bin أحمد bin عبدالرحمن Al-ابراهيم</v>
      </c>
      <c r="O66" s="25" t="str">
        <f t="shared" si="5"/>
        <v/>
      </c>
      <c r="P66" s="25">
        <f t="shared" si="6"/>
        <v>0</v>
      </c>
      <c r="Q66" s="25"/>
      <c r="R66" s="25"/>
      <c r="S66" s="25" t="str">
        <f t="shared" si="7"/>
        <v>Living</v>
      </c>
    </row>
    <row r="67" ht="15.75" hidden="1" customHeight="1">
      <c r="A67" s="25" t="str">
        <f t="shared" si="1"/>
        <v>P066</v>
      </c>
      <c r="B67" s="71" t="s">
        <v>154</v>
      </c>
      <c r="C67" s="76" t="s">
        <v>105</v>
      </c>
      <c r="D67" s="76" t="s">
        <v>27</v>
      </c>
      <c r="E67" s="75" t="s">
        <v>105</v>
      </c>
      <c r="F67" s="25" t="s">
        <v>155</v>
      </c>
      <c r="G67" s="1" t="s">
        <v>132</v>
      </c>
      <c r="H67" s="25"/>
      <c r="I67" s="25"/>
      <c r="J67" s="25"/>
      <c r="K67" s="25">
        <f t="shared" si="2"/>
        <v>8</v>
      </c>
      <c r="L67" s="25" t="str">
        <f t="shared" si="8"/>
        <v>الابراهيم</v>
      </c>
      <c r="M67" s="25" t="str">
        <f t="shared" si="3"/>
        <v>ريما بن عبدالرحمن بن ابراهيم عبدالرحمن</v>
      </c>
      <c r="N67" s="25" t="str">
        <f t="shared" si="4"/>
        <v>ريما bin عبدالرحمن bin ابراهيم Al-عبدالرحمن</v>
      </c>
      <c r="O67" s="25" t="str">
        <f t="shared" si="5"/>
        <v/>
      </c>
      <c r="P67" s="25">
        <f t="shared" si="6"/>
        <v>0</v>
      </c>
      <c r="Q67" s="25"/>
      <c r="R67" s="25"/>
      <c r="S67" s="25" t="str">
        <f t="shared" si="7"/>
        <v>Living</v>
      </c>
    </row>
    <row r="68" ht="15.75" hidden="1" customHeight="1">
      <c r="A68" s="25" t="str">
        <f t="shared" si="1"/>
        <v>P067</v>
      </c>
      <c r="B68" s="71" t="s">
        <v>156</v>
      </c>
      <c r="C68" s="76" t="s">
        <v>100</v>
      </c>
      <c r="D68" s="76" t="s">
        <v>102</v>
      </c>
      <c r="E68" s="76" t="s">
        <v>27</v>
      </c>
      <c r="F68" s="25" t="s">
        <v>114</v>
      </c>
      <c r="G68" s="1" t="s">
        <v>132</v>
      </c>
      <c r="H68" s="25"/>
      <c r="I68" s="25"/>
      <c r="J68" s="25"/>
      <c r="K68" s="25">
        <f t="shared" si="2"/>
        <v>7</v>
      </c>
      <c r="L68" s="25" t="str">
        <f t="shared" si="8"/>
        <v>الابراهيم</v>
      </c>
      <c r="M68" s="25" t="str">
        <f t="shared" si="3"/>
        <v>خلود بن محمد بن ناصر ابراهيم</v>
      </c>
      <c r="N68" s="25" t="str">
        <f t="shared" si="4"/>
        <v>خلود bin محمد bin ناصر Al-ابراهيم</v>
      </c>
      <c r="O68" s="25" t="str">
        <f t="shared" si="5"/>
        <v/>
      </c>
      <c r="P68" s="25">
        <f t="shared" si="6"/>
        <v>0</v>
      </c>
      <c r="Q68" s="25"/>
      <c r="R68" s="25"/>
      <c r="S68" s="25" t="str">
        <f t="shared" si="7"/>
        <v>Living</v>
      </c>
    </row>
    <row r="69" ht="15.75" hidden="1" customHeight="1">
      <c r="A69" s="25" t="str">
        <f t="shared" si="1"/>
        <v>P068</v>
      </c>
      <c r="B69" s="71" t="s">
        <v>157</v>
      </c>
      <c r="C69" s="76" t="s">
        <v>100</v>
      </c>
      <c r="D69" s="76" t="s">
        <v>102</v>
      </c>
      <c r="E69" s="76" t="s">
        <v>27</v>
      </c>
      <c r="F69" s="25" t="s">
        <v>114</v>
      </c>
      <c r="G69" s="1" t="s">
        <v>132</v>
      </c>
      <c r="H69" s="25"/>
      <c r="I69" s="25"/>
      <c r="J69" s="25"/>
      <c r="K69" s="25">
        <f t="shared" si="2"/>
        <v>7</v>
      </c>
      <c r="L69" s="25" t="str">
        <f t="shared" si="8"/>
        <v>الابراهيم</v>
      </c>
      <c r="M69" s="25" t="str">
        <f t="shared" si="3"/>
        <v>عبير بن محمد بن ناصر ابراهيم</v>
      </c>
      <c r="N69" s="25" t="str">
        <f t="shared" si="4"/>
        <v>عبير bin محمد bin ناصر Al-ابراهيم</v>
      </c>
      <c r="O69" s="25" t="str">
        <f t="shared" si="5"/>
        <v/>
      </c>
      <c r="P69" s="25">
        <f t="shared" si="6"/>
        <v>0</v>
      </c>
      <c r="Q69" s="25"/>
      <c r="R69" s="25"/>
      <c r="S69" s="25" t="str">
        <f t="shared" si="7"/>
        <v>Living</v>
      </c>
    </row>
    <row r="70" ht="15.75" hidden="1" customHeight="1">
      <c r="A70" s="25" t="str">
        <f t="shared" si="1"/>
        <v>P069</v>
      </c>
      <c r="B70" s="71" t="s">
        <v>158</v>
      </c>
      <c r="C70" s="76" t="s">
        <v>100</v>
      </c>
      <c r="D70" s="76" t="s">
        <v>102</v>
      </c>
      <c r="E70" s="76" t="s">
        <v>27</v>
      </c>
      <c r="F70" s="25" t="s">
        <v>114</v>
      </c>
      <c r="G70" s="1" t="s">
        <v>132</v>
      </c>
      <c r="H70" s="25"/>
      <c r="I70" s="25"/>
      <c r="J70" s="25"/>
      <c r="K70" s="25">
        <f t="shared" si="2"/>
        <v>7</v>
      </c>
      <c r="L70" s="25" t="str">
        <f t="shared" si="8"/>
        <v>الابراهيم</v>
      </c>
      <c r="M70" s="25" t="str">
        <f t="shared" si="3"/>
        <v>أمل بن محمد بن ناصر ابراهيم</v>
      </c>
      <c r="N70" s="25" t="str">
        <f t="shared" si="4"/>
        <v>أمل bin محمد bin ناصر Al-ابراهيم</v>
      </c>
      <c r="O70" s="25" t="str">
        <f t="shared" si="5"/>
        <v/>
      </c>
      <c r="P70" s="25">
        <f t="shared" si="6"/>
        <v>0</v>
      </c>
      <c r="Q70" s="25"/>
      <c r="R70" s="25"/>
      <c r="S70" s="25" t="str">
        <f t="shared" si="7"/>
        <v>Living</v>
      </c>
    </row>
    <row r="71" ht="15.75" hidden="1" customHeight="1">
      <c r="A71" s="25" t="str">
        <f t="shared" si="1"/>
        <v>P070</v>
      </c>
      <c r="B71" s="71" t="s">
        <v>159</v>
      </c>
      <c r="C71" s="76" t="s">
        <v>100</v>
      </c>
      <c r="D71" s="76" t="s">
        <v>102</v>
      </c>
      <c r="E71" s="76" t="s">
        <v>27</v>
      </c>
      <c r="F71" s="25" t="s">
        <v>114</v>
      </c>
      <c r="G71" s="1" t="s">
        <v>132</v>
      </c>
      <c r="H71" s="25"/>
      <c r="I71" s="25"/>
      <c r="J71" s="25"/>
      <c r="K71" s="25">
        <f t="shared" si="2"/>
        <v>7</v>
      </c>
      <c r="L71" s="25" t="str">
        <f t="shared" si="8"/>
        <v>الابراهيم</v>
      </c>
      <c r="M71" s="25" t="str">
        <f t="shared" si="3"/>
        <v>شروق بن محمد بن ناصر ابراهيم</v>
      </c>
      <c r="N71" s="25" t="str">
        <f t="shared" si="4"/>
        <v>شروق bin محمد bin ناصر Al-ابراهيم</v>
      </c>
      <c r="O71" s="25" t="str">
        <f t="shared" si="5"/>
        <v/>
      </c>
      <c r="P71" s="25">
        <f t="shared" si="6"/>
        <v>0</v>
      </c>
      <c r="Q71" s="25"/>
      <c r="R71" s="25"/>
      <c r="S71" s="25" t="str">
        <f t="shared" si="7"/>
        <v>Living</v>
      </c>
    </row>
    <row r="72" ht="15.75" hidden="1" customHeight="1">
      <c r="A72" s="25" t="str">
        <f t="shared" si="1"/>
        <v>P071</v>
      </c>
      <c r="B72" s="71" t="s">
        <v>160</v>
      </c>
      <c r="C72" s="76" t="s">
        <v>100</v>
      </c>
      <c r="D72" s="76" t="s">
        <v>102</v>
      </c>
      <c r="E72" s="76" t="s">
        <v>27</v>
      </c>
      <c r="F72" s="25" t="s">
        <v>114</v>
      </c>
      <c r="G72" s="1" t="s">
        <v>132</v>
      </c>
      <c r="H72" s="25"/>
      <c r="I72" s="25"/>
      <c r="J72" s="25"/>
      <c r="K72" s="25">
        <f t="shared" si="2"/>
        <v>7</v>
      </c>
      <c r="L72" s="25" t="str">
        <f t="shared" si="8"/>
        <v>الابراهيم</v>
      </c>
      <c r="M72" s="25" t="str">
        <f t="shared" si="3"/>
        <v>فاتن بن محمد بن ناصر ابراهيم</v>
      </c>
      <c r="N72" s="25" t="str">
        <f t="shared" si="4"/>
        <v>فاتن bin محمد bin ناصر Al-ابراهيم</v>
      </c>
      <c r="O72" s="25" t="str">
        <f t="shared" si="5"/>
        <v/>
      </c>
      <c r="P72" s="25">
        <f t="shared" si="6"/>
        <v>0</v>
      </c>
      <c r="Q72" s="25"/>
      <c r="R72" s="25"/>
      <c r="S72" s="25" t="str">
        <f t="shared" si="7"/>
        <v>Living</v>
      </c>
    </row>
    <row r="73" ht="15.75" hidden="1" customHeight="1">
      <c r="A73" s="25" t="str">
        <f t="shared" si="1"/>
        <v>P072</v>
      </c>
      <c r="B73" s="71" t="s">
        <v>161</v>
      </c>
      <c r="C73" s="76" t="s">
        <v>100</v>
      </c>
      <c r="D73" s="76" t="s">
        <v>102</v>
      </c>
      <c r="E73" s="76" t="s">
        <v>27</v>
      </c>
      <c r="F73" s="25" t="s">
        <v>114</v>
      </c>
      <c r="G73" s="1" t="s">
        <v>132</v>
      </c>
      <c r="H73" s="25"/>
      <c r="I73" s="25"/>
      <c r="J73" s="25"/>
      <c r="K73" s="25">
        <f t="shared" si="2"/>
        <v>7</v>
      </c>
      <c r="L73" s="25" t="str">
        <f t="shared" si="8"/>
        <v>الابراهيم</v>
      </c>
      <c r="M73" s="25" t="str">
        <f t="shared" si="3"/>
        <v>لمياء بن محمد بن ناصر ابراهيم</v>
      </c>
      <c r="N73" s="25" t="str">
        <f t="shared" si="4"/>
        <v>لمياء bin محمد bin ناصر Al-ابراهيم</v>
      </c>
      <c r="O73" s="25" t="str">
        <f t="shared" si="5"/>
        <v/>
      </c>
      <c r="P73" s="25">
        <f t="shared" si="6"/>
        <v>0</v>
      </c>
      <c r="Q73" s="25"/>
      <c r="R73" s="25"/>
      <c r="S73" s="25" t="str">
        <f t="shared" si="7"/>
        <v>Living</v>
      </c>
    </row>
    <row r="74" ht="15.75" hidden="1" customHeight="1">
      <c r="A74" s="25" t="str">
        <f t="shared" si="1"/>
        <v>P073</v>
      </c>
      <c r="B74" s="71" t="s">
        <v>162</v>
      </c>
      <c r="C74" s="76" t="s">
        <v>27</v>
      </c>
      <c r="D74" s="76" t="s">
        <v>102</v>
      </c>
      <c r="E74" s="76" t="s">
        <v>27</v>
      </c>
      <c r="F74" s="25" t="s">
        <v>118</v>
      </c>
      <c r="G74" s="1" t="s">
        <v>132</v>
      </c>
      <c r="H74" s="25"/>
      <c r="I74" s="25"/>
      <c r="J74" s="25"/>
      <c r="K74" s="25">
        <f t="shared" si="2"/>
        <v>7</v>
      </c>
      <c r="L74" s="25" t="str">
        <f t="shared" si="8"/>
        <v>الابراهيم</v>
      </c>
      <c r="M74" s="25" t="str">
        <f t="shared" si="3"/>
        <v>تغريد بن ابراهيم بن ناصر ابراهيم</v>
      </c>
      <c r="N74" s="25" t="str">
        <f t="shared" si="4"/>
        <v>تغريد bin ابراهيم bin ناصر Al-ابراهيم</v>
      </c>
      <c r="O74" s="25" t="str">
        <f t="shared" si="5"/>
        <v/>
      </c>
      <c r="P74" s="25">
        <f t="shared" si="6"/>
        <v>0</v>
      </c>
      <c r="Q74" s="25"/>
      <c r="R74" s="25"/>
      <c r="S74" s="25" t="str">
        <f t="shared" si="7"/>
        <v>Living</v>
      </c>
    </row>
    <row r="75" ht="15.75" hidden="1" customHeight="1">
      <c r="A75" s="25" t="str">
        <f t="shared" si="1"/>
        <v>P074</v>
      </c>
      <c r="B75" s="71" t="s">
        <v>163</v>
      </c>
      <c r="C75" s="76" t="s">
        <v>27</v>
      </c>
      <c r="D75" s="76" t="s">
        <v>102</v>
      </c>
      <c r="E75" s="76" t="s">
        <v>27</v>
      </c>
      <c r="F75" s="25" t="s">
        <v>118</v>
      </c>
      <c r="G75" s="1" t="s">
        <v>132</v>
      </c>
      <c r="H75" s="25"/>
      <c r="I75" s="25"/>
      <c r="J75" s="25"/>
      <c r="K75" s="25">
        <f t="shared" si="2"/>
        <v>7</v>
      </c>
      <c r="L75" s="25" t="str">
        <f t="shared" si="8"/>
        <v>الابراهيم</v>
      </c>
      <c r="M75" s="25" t="str">
        <f t="shared" si="3"/>
        <v>العنود بن ابراهيم بن ناصر ابراهيم</v>
      </c>
      <c r="N75" s="25" t="str">
        <f t="shared" si="4"/>
        <v>العنود bin ابراهيم bin ناصر Al-ابراهيم</v>
      </c>
      <c r="O75" s="25" t="str">
        <f t="shared" si="5"/>
        <v/>
      </c>
      <c r="P75" s="25">
        <f t="shared" si="6"/>
        <v>0</v>
      </c>
      <c r="Q75" s="25"/>
      <c r="R75" s="25"/>
      <c r="S75" s="25" t="str">
        <f t="shared" si="7"/>
        <v>Living</v>
      </c>
    </row>
    <row r="76" ht="15.75" hidden="1" customHeight="1">
      <c r="A76" s="25" t="str">
        <f t="shared" si="1"/>
        <v>P075</v>
      </c>
      <c r="B76" s="71" t="s">
        <v>164</v>
      </c>
      <c r="C76" s="76" t="s">
        <v>27</v>
      </c>
      <c r="D76" s="76" t="s">
        <v>102</v>
      </c>
      <c r="E76" s="76" t="s">
        <v>27</v>
      </c>
      <c r="F76" s="25" t="s">
        <v>118</v>
      </c>
      <c r="G76" s="1" t="s">
        <v>132</v>
      </c>
      <c r="H76" s="25"/>
      <c r="I76" s="25"/>
      <c r="J76" s="25"/>
      <c r="K76" s="25">
        <f t="shared" si="2"/>
        <v>7</v>
      </c>
      <c r="L76" s="25" t="str">
        <f t="shared" si="8"/>
        <v>الابراهيم</v>
      </c>
      <c r="M76" s="25" t="str">
        <f t="shared" si="3"/>
        <v>أسماء بن ابراهيم بن ناصر ابراهيم</v>
      </c>
      <c r="N76" s="25" t="str">
        <f t="shared" si="4"/>
        <v>أسماء bin ابراهيم bin ناصر Al-ابراهيم</v>
      </c>
      <c r="O76" s="25" t="str">
        <f t="shared" si="5"/>
        <v/>
      </c>
      <c r="P76" s="25">
        <f t="shared" si="6"/>
        <v>0</v>
      </c>
      <c r="Q76" s="25"/>
      <c r="R76" s="25"/>
      <c r="S76" s="25" t="str">
        <f t="shared" si="7"/>
        <v>Living</v>
      </c>
    </row>
    <row r="77" ht="15.75" hidden="1" customHeight="1">
      <c r="A77" s="25" t="str">
        <f t="shared" si="1"/>
        <v>P076</v>
      </c>
      <c r="B77" s="71" t="s">
        <v>165</v>
      </c>
      <c r="C77" s="76" t="s">
        <v>27</v>
      </c>
      <c r="D77" s="76" t="s">
        <v>102</v>
      </c>
      <c r="E77" s="76" t="s">
        <v>27</v>
      </c>
      <c r="F77" s="25" t="s">
        <v>118</v>
      </c>
      <c r="G77" s="1" t="s">
        <v>132</v>
      </c>
      <c r="H77" s="25"/>
      <c r="I77" s="25"/>
      <c r="J77" s="25"/>
      <c r="K77" s="25">
        <f t="shared" si="2"/>
        <v>7</v>
      </c>
      <c r="L77" s="25" t="str">
        <f t="shared" si="8"/>
        <v>الابراهيم</v>
      </c>
      <c r="M77" s="25" t="str">
        <f t="shared" si="3"/>
        <v>أروى بن ابراهيم بن ناصر ابراهيم</v>
      </c>
      <c r="N77" s="25" t="str">
        <f t="shared" si="4"/>
        <v>أروى bin ابراهيم bin ناصر Al-ابراهيم</v>
      </c>
      <c r="O77" s="25" t="str">
        <f t="shared" si="5"/>
        <v/>
      </c>
      <c r="P77" s="25">
        <f t="shared" si="6"/>
        <v>0</v>
      </c>
      <c r="Q77" s="25"/>
      <c r="R77" s="25"/>
      <c r="S77" s="25" t="str">
        <f t="shared" si="7"/>
        <v>Living</v>
      </c>
    </row>
    <row r="78" ht="15.75" hidden="1" customHeight="1">
      <c r="A78" s="25" t="str">
        <f t="shared" si="1"/>
        <v>P077</v>
      </c>
      <c r="B78" s="71" t="s">
        <v>166</v>
      </c>
      <c r="C78" s="76" t="s">
        <v>27</v>
      </c>
      <c r="D78" s="76" t="s">
        <v>102</v>
      </c>
      <c r="E78" s="76" t="s">
        <v>27</v>
      </c>
      <c r="F78" s="25" t="s">
        <v>118</v>
      </c>
      <c r="G78" s="1" t="s">
        <v>132</v>
      </c>
      <c r="H78" s="25"/>
      <c r="I78" s="25"/>
      <c r="J78" s="25"/>
      <c r="K78" s="25">
        <f t="shared" si="2"/>
        <v>7</v>
      </c>
      <c r="L78" s="25" t="str">
        <f t="shared" si="8"/>
        <v>الابراهيم</v>
      </c>
      <c r="M78" s="25" t="str">
        <f t="shared" si="3"/>
        <v>موضي بن ابراهيم بن ناصر ابراهيم</v>
      </c>
      <c r="N78" s="25" t="str">
        <f t="shared" si="4"/>
        <v>موضي bin ابراهيم bin ناصر Al-ابراهيم</v>
      </c>
      <c r="O78" s="25" t="str">
        <f t="shared" si="5"/>
        <v/>
      </c>
      <c r="P78" s="25">
        <f t="shared" si="6"/>
        <v>0</v>
      </c>
      <c r="Q78" s="25"/>
      <c r="R78" s="25"/>
      <c r="S78" s="25" t="str">
        <f t="shared" si="7"/>
        <v>Living</v>
      </c>
    </row>
    <row r="79" ht="15.75" hidden="1" customHeight="1">
      <c r="A79" s="25" t="str">
        <f t="shared" si="1"/>
        <v>P078</v>
      </c>
      <c r="B79" s="71" t="s">
        <v>167</v>
      </c>
      <c r="C79" s="71" t="s">
        <v>110</v>
      </c>
      <c r="D79" s="71" t="s">
        <v>102</v>
      </c>
      <c r="E79" s="71" t="s">
        <v>27</v>
      </c>
      <c r="F79" s="25" t="s">
        <v>120</v>
      </c>
      <c r="G79" s="1" t="s">
        <v>132</v>
      </c>
      <c r="H79" s="25"/>
      <c r="I79" s="25"/>
      <c r="J79" s="25"/>
      <c r="K79" s="25">
        <f t="shared" si="2"/>
        <v>7</v>
      </c>
      <c r="L79" s="25" t="str">
        <f t="shared" si="8"/>
        <v>الابراهيم</v>
      </c>
      <c r="M79" s="25" t="str">
        <f t="shared" si="3"/>
        <v>مدى بن سعد بن ناصر ابراهيم</v>
      </c>
      <c r="N79" s="25" t="str">
        <f t="shared" si="4"/>
        <v>مدى bin سعد bin ناصر Al-ابراهيم</v>
      </c>
      <c r="O79" s="25" t="str">
        <f t="shared" si="5"/>
        <v/>
      </c>
      <c r="P79" s="25">
        <f t="shared" si="6"/>
        <v>0</v>
      </c>
      <c r="Q79" s="25"/>
      <c r="R79" s="25"/>
      <c r="S79" s="25" t="str">
        <f t="shared" si="7"/>
        <v>Living</v>
      </c>
    </row>
    <row r="80" ht="15.75" hidden="1" customHeight="1">
      <c r="A80" s="25" t="str">
        <f t="shared" si="1"/>
        <v>P079</v>
      </c>
      <c r="B80" s="71" t="s">
        <v>168</v>
      </c>
      <c r="C80" s="71" t="s">
        <v>110</v>
      </c>
      <c r="D80" s="71" t="s">
        <v>102</v>
      </c>
      <c r="E80" s="71" t="s">
        <v>27</v>
      </c>
      <c r="F80" s="25" t="s">
        <v>120</v>
      </c>
      <c r="G80" s="1" t="s">
        <v>132</v>
      </c>
      <c r="H80" s="25"/>
      <c r="I80" s="25"/>
      <c r="J80" s="25"/>
      <c r="K80" s="25">
        <f t="shared" si="2"/>
        <v>7</v>
      </c>
      <c r="L80" s="25" t="str">
        <f t="shared" si="8"/>
        <v>الابراهيم</v>
      </c>
      <c r="M80" s="25" t="str">
        <f t="shared" si="3"/>
        <v>مشاعل بن سعد بن ناصر ابراهيم</v>
      </c>
      <c r="N80" s="25" t="str">
        <f t="shared" si="4"/>
        <v>مشاعل bin سعد bin ناصر Al-ابراهيم</v>
      </c>
      <c r="O80" s="25" t="str">
        <f t="shared" si="5"/>
        <v/>
      </c>
      <c r="P80" s="25">
        <f t="shared" si="6"/>
        <v>0</v>
      </c>
      <c r="Q80" s="25"/>
      <c r="R80" s="25"/>
      <c r="S80" s="25" t="str">
        <f t="shared" si="7"/>
        <v>Living</v>
      </c>
    </row>
    <row r="81" ht="15.75" hidden="1" customHeight="1">
      <c r="A81" s="25" t="str">
        <f t="shared" si="1"/>
        <v>P080</v>
      </c>
      <c r="B81" s="71" t="s">
        <v>169</v>
      </c>
      <c r="C81" s="71" t="s">
        <v>110</v>
      </c>
      <c r="D81" s="71" t="s">
        <v>102</v>
      </c>
      <c r="E81" s="71" t="s">
        <v>27</v>
      </c>
      <c r="F81" s="25" t="s">
        <v>120</v>
      </c>
      <c r="G81" s="1" t="s">
        <v>132</v>
      </c>
      <c r="H81" s="25"/>
      <c r="I81" s="25"/>
      <c r="J81" s="25"/>
      <c r="K81" s="25">
        <f t="shared" si="2"/>
        <v>7</v>
      </c>
      <c r="L81" s="25" t="str">
        <f t="shared" si="8"/>
        <v>الابراهيم</v>
      </c>
      <c r="M81" s="25" t="str">
        <f t="shared" si="3"/>
        <v>حصة بن سعد بن ناصر ابراهيم</v>
      </c>
      <c r="N81" s="25" t="str">
        <f t="shared" si="4"/>
        <v>حصة bin سعد bin ناصر Al-ابراهيم</v>
      </c>
      <c r="O81" s="25" t="str">
        <f t="shared" si="5"/>
        <v/>
      </c>
      <c r="P81" s="25">
        <f t="shared" si="6"/>
        <v>0</v>
      </c>
      <c r="Q81" s="25"/>
      <c r="R81" s="25"/>
      <c r="S81" s="25" t="str">
        <f t="shared" si="7"/>
        <v>Living</v>
      </c>
    </row>
    <row r="82" ht="15.75" hidden="1" customHeight="1">
      <c r="A82" s="25" t="str">
        <f t="shared" si="1"/>
        <v>P081</v>
      </c>
      <c r="B82" s="71" t="s">
        <v>170</v>
      </c>
      <c r="C82" s="71" t="s">
        <v>110</v>
      </c>
      <c r="D82" s="71" t="s">
        <v>102</v>
      </c>
      <c r="E82" s="71" t="s">
        <v>27</v>
      </c>
      <c r="F82" s="25" t="s">
        <v>120</v>
      </c>
      <c r="G82" s="1" t="s">
        <v>132</v>
      </c>
      <c r="H82" s="25"/>
      <c r="I82" s="25"/>
      <c r="J82" s="25"/>
      <c r="K82" s="25">
        <f t="shared" si="2"/>
        <v>7</v>
      </c>
      <c r="L82" s="25" t="str">
        <f t="shared" si="8"/>
        <v>الابراهيم</v>
      </c>
      <c r="M82" s="25" t="str">
        <f t="shared" si="3"/>
        <v>نورة بن سعد بن ناصر ابراهيم</v>
      </c>
      <c r="N82" s="25" t="str">
        <f t="shared" si="4"/>
        <v>نورة bin سعد bin ناصر Al-ابراهيم</v>
      </c>
      <c r="O82" s="25" t="str">
        <f t="shared" si="5"/>
        <v/>
      </c>
      <c r="P82" s="25">
        <f t="shared" si="6"/>
        <v>0</v>
      </c>
      <c r="Q82" s="25"/>
      <c r="R82" s="25"/>
      <c r="S82" s="25" t="str">
        <f t="shared" si="7"/>
        <v>Living</v>
      </c>
    </row>
    <row r="83" ht="15.75" hidden="1" customHeight="1">
      <c r="A83" s="25" t="str">
        <f t="shared" si="1"/>
        <v>P082</v>
      </c>
      <c r="B83" s="71" t="s">
        <v>171</v>
      </c>
      <c r="C83" s="71" t="s">
        <v>111</v>
      </c>
      <c r="D83" s="71" t="s">
        <v>102</v>
      </c>
      <c r="E83" s="71" t="s">
        <v>27</v>
      </c>
      <c r="F83" s="25" t="s">
        <v>123</v>
      </c>
      <c r="G83" s="1" t="s">
        <v>132</v>
      </c>
      <c r="H83" s="25"/>
      <c r="I83" s="25"/>
      <c r="J83" s="25"/>
      <c r="K83" s="25">
        <f t="shared" si="2"/>
        <v>7</v>
      </c>
      <c r="L83" s="25" t="str">
        <f t="shared" si="8"/>
        <v>الابراهيم</v>
      </c>
      <c r="M83" s="25" t="str">
        <f t="shared" si="3"/>
        <v>مها بن فهد بن ناصر ابراهيم</v>
      </c>
      <c r="N83" s="25" t="str">
        <f t="shared" si="4"/>
        <v>مها bin فهد bin ناصر Al-ابراهيم</v>
      </c>
      <c r="O83" s="25" t="str">
        <f t="shared" si="5"/>
        <v/>
      </c>
      <c r="P83" s="25">
        <f t="shared" si="6"/>
        <v>0</v>
      </c>
      <c r="Q83" s="25"/>
      <c r="R83" s="25"/>
      <c r="S83" s="25" t="str">
        <f t="shared" si="7"/>
        <v>Living</v>
      </c>
    </row>
    <row r="84" ht="15.75" hidden="1" customHeight="1">
      <c r="A84" s="25" t="str">
        <f t="shared" si="1"/>
        <v>P083</v>
      </c>
      <c r="B84" s="71" t="s">
        <v>169</v>
      </c>
      <c r="C84" s="71" t="s">
        <v>111</v>
      </c>
      <c r="D84" s="71" t="s">
        <v>102</v>
      </c>
      <c r="E84" s="71" t="s">
        <v>27</v>
      </c>
      <c r="F84" s="25" t="s">
        <v>123</v>
      </c>
      <c r="G84" s="1" t="s">
        <v>132</v>
      </c>
      <c r="H84" s="25"/>
      <c r="I84" s="25"/>
      <c r="J84" s="25"/>
      <c r="K84" s="25">
        <f t="shared" si="2"/>
        <v>7</v>
      </c>
      <c r="L84" s="25" t="str">
        <f t="shared" si="8"/>
        <v>الابراهيم</v>
      </c>
      <c r="M84" s="25" t="str">
        <f t="shared" si="3"/>
        <v>حصة بن فهد بن ناصر ابراهيم</v>
      </c>
      <c r="N84" s="25" t="str">
        <f t="shared" si="4"/>
        <v>حصة bin فهد bin ناصر Al-ابراهيم</v>
      </c>
      <c r="O84" s="25" t="str">
        <f t="shared" si="5"/>
        <v/>
      </c>
      <c r="P84" s="25">
        <f t="shared" si="6"/>
        <v>0</v>
      </c>
      <c r="Q84" s="25"/>
      <c r="R84" s="25"/>
      <c r="S84" s="25" t="str">
        <f t="shared" si="7"/>
        <v>Living</v>
      </c>
    </row>
    <row r="85" ht="15.75" hidden="1" customHeight="1">
      <c r="A85" s="25" t="str">
        <f t="shared" si="1"/>
        <v>P084</v>
      </c>
      <c r="B85" s="71" t="s">
        <v>172</v>
      </c>
      <c r="C85" s="71" t="s">
        <v>112</v>
      </c>
      <c r="D85" s="71" t="s">
        <v>102</v>
      </c>
      <c r="E85" s="71" t="s">
        <v>27</v>
      </c>
      <c r="F85" s="25" t="s">
        <v>125</v>
      </c>
      <c r="G85" s="1" t="s">
        <v>132</v>
      </c>
      <c r="H85" s="25"/>
      <c r="I85" s="25"/>
      <c r="J85" s="25"/>
      <c r="K85" s="25">
        <f t="shared" si="2"/>
        <v>7</v>
      </c>
      <c r="L85" s="25" t="str">
        <f t="shared" si="8"/>
        <v>الابراهيم</v>
      </c>
      <c r="M85" s="25" t="str">
        <f t="shared" si="3"/>
        <v>نجلاء بن خالد بن ناصر ابراهيم</v>
      </c>
      <c r="N85" s="25" t="str">
        <f t="shared" si="4"/>
        <v>نجلاء bin خالد bin ناصر Al-ابراهيم</v>
      </c>
      <c r="O85" s="25" t="str">
        <f t="shared" si="5"/>
        <v/>
      </c>
      <c r="P85" s="25">
        <f t="shared" si="6"/>
        <v>0</v>
      </c>
      <c r="Q85" s="25"/>
      <c r="R85" s="25"/>
      <c r="S85" s="25" t="str">
        <f t="shared" si="7"/>
        <v>Living</v>
      </c>
    </row>
    <row r="86" ht="15.75" hidden="1" customHeight="1">
      <c r="A86" s="25" t="str">
        <f t="shared" si="1"/>
        <v>P085</v>
      </c>
      <c r="B86" s="71" t="s">
        <v>173</v>
      </c>
      <c r="C86" s="71" t="s">
        <v>112</v>
      </c>
      <c r="D86" s="71" t="s">
        <v>102</v>
      </c>
      <c r="E86" s="71" t="s">
        <v>27</v>
      </c>
      <c r="F86" s="25" t="s">
        <v>125</v>
      </c>
      <c r="G86" s="1" t="s">
        <v>132</v>
      </c>
      <c r="H86" s="25"/>
      <c r="I86" s="25"/>
      <c r="J86" s="25"/>
      <c r="K86" s="25">
        <f t="shared" si="2"/>
        <v>7</v>
      </c>
      <c r="L86" s="25" t="str">
        <f t="shared" si="8"/>
        <v>الابراهيم</v>
      </c>
      <c r="M86" s="25" t="str">
        <f t="shared" si="3"/>
        <v>دانة بن خالد بن ناصر ابراهيم</v>
      </c>
      <c r="N86" s="25" t="str">
        <f t="shared" si="4"/>
        <v>دانة bin خالد bin ناصر Al-ابراهيم</v>
      </c>
      <c r="O86" s="25" t="str">
        <f t="shared" si="5"/>
        <v/>
      </c>
      <c r="P86" s="25">
        <f t="shared" si="6"/>
        <v>0</v>
      </c>
      <c r="Q86" s="25"/>
      <c r="R86" s="25"/>
      <c r="S86" s="25" t="str">
        <f t="shared" si="7"/>
        <v>Living</v>
      </c>
    </row>
    <row r="87" ht="15.75" hidden="1" customHeight="1">
      <c r="A87" s="25" t="str">
        <f t="shared" si="1"/>
        <v>P086</v>
      </c>
      <c r="B87" s="71" t="s">
        <v>174</v>
      </c>
      <c r="C87" s="71" t="s">
        <v>112</v>
      </c>
      <c r="D87" s="71" t="s">
        <v>102</v>
      </c>
      <c r="E87" s="71" t="s">
        <v>27</v>
      </c>
      <c r="F87" s="25" t="s">
        <v>125</v>
      </c>
      <c r="G87" s="1" t="s">
        <v>132</v>
      </c>
      <c r="H87" s="25"/>
      <c r="I87" s="25"/>
      <c r="J87" s="25"/>
      <c r="K87" s="25">
        <f t="shared" si="2"/>
        <v>7</v>
      </c>
      <c r="L87" s="25" t="str">
        <f t="shared" si="8"/>
        <v>الابراهيم</v>
      </c>
      <c r="M87" s="25" t="str">
        <f t="shared" si="3"/>
        <v>ديمة بن خالد بن ناصر ابراهيم</v>
      </c>
      <c r="N87" s="25" t="str">
        <f t="shared" si="4"/>
        <v>ديمة bin خالد bin ناصر Al-ابراهيم</v>
      </c>
      <c r="O87" s="25" t="str">
        <f t="shared" si="5"/>
        <v/>
      </c>
      <c r="P87" s="25">
        <f t="shared" si="6"/>
        <v>0</v>
      </c>
      <c r="Q87" s="25"/>
      <c r="R87" s="25"/>
      <c r="S87" s="25" t="str">
        <f t="shared" si="7"/>
        <v>Living</v>
      </c>
    </row>
    <row r="88" ht="15.75" hidden="1" customHeight="1">
      <c r="A88" s="25" t="str">
        <f t="shared" si="1"/>
        <v>P087</v>
      </c>
      <c r="B88" s="71" t="s">
        <v>175</v>
      </c>
      <c r="C88" s="71" t="s">
        <v>112</v>
      </c>
      <c r="D88" s="71" t="s">
        <v>102</v>
      </c>
      <c r="E88" s="71" t="s">
        <v>27</v>
      </c>
      <c r="F88" s="25" t="s">
        <v>125</v>
      </c>
      <c r="G88" s="1" t="s">
        <v>132</v>
      </c>
      <c r="H88" s="25"/>
      <c r="I88" s="25"/>
      <c r="J88" s="25"/>
      <c r="K88" s="25">
        <f t="shared" si="2"/>
        <v>7</v>
      </c>
      <c r="L88" s="25" t="str">
        <f t="shared" si="8"/>
        <v>الابراهيم</v>
      </c>
      <c r="M88" s="25" t="str">
        <f t="shared" si="3"/>
        <v>في بن خالد بن ناصر ابراهيم</v>
      </c>
      <c r="N88" s="25" t="str">
        <f t="shared" si="4"/>
        <v>في bin خالد bin ناصر Al-ابراهيم</v>
      </c>
      <c r="O88" s="25" t="str">
        <f t="shared" si="5"/>
        <v/>
      </c>
      <c r="P88" s="25">
        <f t="shared" si="6"/>
        <v>0</v>
      </c>
      <c r="Q88" s="25"/>
      <c r="R88" s="25"/>
      <c r="S88" s="25" t="str">
        <f t="shared" si="7"/>
        <v>Living</v>
      </c>
    </row>
    <row r="89" ht="15.75" hidden="1" customHeight="1">
      <c r="A89" s="25" t="str">
        <f t="shared" si="1"/>
        <v>P088</v>
      </c>
      <c r="B89" s="71" t="s">
        <v>176</v>
      </c>
      <c r="C89" s="71" t="s">
        <v>112</v>
      </c>
      <c r="D89" s="71" t="s">
        <v>102</v>
      </c>
      <c r="E89" s="71" t="s">
        <v>27</v>
      </c>
      <c r="F89" s="25" t="s">
        <v>125</v>
      </c>
      <c r="G89" s="1" t="s">
        <v>132</v>
      </c>
      <c r="H89" s="25"/>
      <c r="I89" s="25"/>
      <c r="J89" s="25"/>
      <c r="K89" s="25">
        <f t="shared" si="2"/>
        <v>7</v>
      </c>
      <c r="L89" s="25" t="str">
        <f t="shared" si="8"/>
        <v>الابراهيم</v>
      </c>
      <c r="M89" s="25" t="str">
        <f t="shared" si="3"/>
        <v>هيا بن خالد بن ناصر ابراهيم</v>
      </c>
      <c r="N89" s="25" t="str">
        <f t="shared" si="4"/>
        <v>هيا bin خالد bin ناصر Al-ابراهيم</v>
      </c>
      <c r="O89" s="25" t="str">
        <f t="shared" si="5"/>
        <v/>
      </c>
      <c r="P89" s="25">
        <f t="shared" si="6"/>
        <v>0</v>
      </c>
      <c r="Q89" s="25"/>
      <c r="R89" s="25"/>
      <c r="S89" s="25" t="str">
        <f t="shared" si="7"/>
        <v>Living</v>
      </c>
    </row>
    <row r="90" ht="15.75" hidden="1" customHeight="1">
      <c r="A90" s="25" t="str">
        <f t="shared" si="1"/>
        <v>P089</v>
      </c>
      <c r="B90" s="71" t="s">
        <v>169</v>
      </c>
      <c r="C90" s="71" t="s">
        <v>112</v>
      </c>
      <c r="D90" s="71" t="s">
        <v>102</v>
      </c>
      <c r="E90" s="71" t="s">
        <v>27</v>
      </c>
      <c r="F90" s="25" t="s">
        <v>125</v>
      </c>
      <c r="G90" s="1" t="s">
        <v>132</v>
      </c>
      <c r="H90" s="25"/>
      <c r="I90" s="25"/>
      <c r="J90" s="25"/>
      <c r="K90" s="25">
        <f t="shared" si="2"/>
        <v>7</v>
      </c>
      <c r="L90" s="25" t="str">
        <f t="shared" si="8"/>
        <v>الابراهيم</v>
      </c>
      <c r="M90" s="25" t="str">
        <f t="shared" si="3"/>
        <v>حصة بن خالد بن ناصر ابراهيم</v>
      </c>
      <c r="N90" s="25" t="str">
        <f t="shared" si="4"/>
        <v>حصة bin خالد bin ناصر Al-ابراهيم</v>
      </c>
      <c r="O90" s="25" t="str">
        <f t="shared" si="5"/>
        <v/>
      </c>
      <c r="P90" s="25">
        <f t="shared" si="6"/>
        <v>0</v>
      </c>
      <c r="Q90" s="25"/>
      <c r="R90" s="25"/>
      <c r="S90" s="25" t="str">
        <f t="shared" si="7"/>
        <v>Living</v>
      </c>
    </row>
    <row r="91" ht="15.75" hidden="1" customHeight="1">
      <c r="A91" s="25" t="str">
        <f t="shared" si="1"/>
        <v>P090</v>
      </c>
      <c r="B91" s="71" t="s">
        <v>170</v>
      </c>
      <c r="C91" s="71" t="s">
        <v>102</v>
      </c>
      <c r="D91" s="71" t="s">
        <v>27</v>
      </c>
      <c r="E91" s="71" t="s">
        <v>102</v>
      </c>
      <c r="F91" s="1" t="s">
        <v>109</v>
      </c>
      <c r="G91" s="1" t="s">
        <v>132</v>
      </c>
      <c r="H91" s="25"/>
      <c r="I91" s="25"/>
      <c r="J91" s="25"/>
      <c r="K91" s="25">
        <f t="shared" si="2"/>
        <v>6</v>
      </c>
      <c r="L91" s="25" t="str">
        <f t="shared" si="8"/>
        <v>الابراهيم</v>
      </c>
      <c r="M91" s="25" t="str">
        <f t="shared" si="3"/>
        <v>نورة بن ناصر بن ابراهيم ناصر</v>
      </c>
      <c r="N91" s="25" t="str">
        <f t="shared" si="4"/>
        <v>نورة bin ناصر bin ابراهيم Al-ناصر</v>
      </c>
      <c r="O91" s="25" t="str">
        <f t="shared" si="5"/>
        <v/>
      </c>
      <c r="P91" s="25">
        <f t="shared" si="6"/>
        <v>0</v>
      </c>
      <c r="Q91" s="25"/>
      <c r="R91" s="25"/>
      <c r="S91" s="25" t="str">
        <f t="shared" si="7"/>
        <v>Living</v>
      </c>
    </row>
    <row r="92" ht="15.75" hidden="1" customHeight="1">
      <c r="A92" s="25" t="str">
        <f t="shared" si="1"/>
        <v>P091</v>
      </c>
      <c r="B92" s="71" t="s">
        <v>177</v>
      </c>
      <c r="C92" s="71" t="s">
        <v>102</v>
      </c>
      <c r="D92" s="71" t="s">
        <v>27</v>
      </c>
      <c r="E92" s="71" t="s">
        <v>102</v>
      </c>
      <c r="F92" s="1" t="s">
        <v>109</v>
      </c>
      <c r="G92" s="1" t="s">
        <v>132</v>
      </c>
      <c r="H92" s="25"/>
      <c r="I92" s="25"/>
      <c r="J92" s="25"/>
      <c r="K92" s="25">
        <f t="shared" si="2"/>
        <v>6</v>
      </c>
      <c r="L92" s="25" t="str">
        <f t="shared" si="8"/>
        <v>الابراهيم</v>
      </c>
      <c r="M92" s="25" t="str">
        <f t="shared" si="3"/>
        <v>جواهر بن ناصر بن ابراهيم ناصر</v>
      </c>
      <c r="N92" s="25" t="str">
        <f t="shared" si="4"/>
        <v>جواهر bin ناصر bin ابراهيم Al-ناصر</v>
      </c>
      <c r="O92" s="25" t="str">
        <f t="shared" si="5"/>
        <v/>
      </c>
      <c r="P92" s="25">
        <f t="shared" si="6"/>
        <v>0</v>
      </c>
      <c r="Q92" s="25"/>
      <c r="R92" s="25"/>
      <c r="S92" s="25" t="str">
        <f t="shared" si="7"/>
        <v>Living</v>
      </c>
    </row>
    <row r="93" ht="15.75" hidden="1" customHeight="1">
      <c r="A93" s="25" t="str">
        <f t="shared" si="1"/>
        <v>P092</v>
      </c>
      <c r="B93" s="71" t="s">
        <v>169</v>
      </c>
      <c r="C93" s="71" t="s">
        <v>113</v>
      </c>
      <c r="D93" s="71" t="s">
        <v>102</v>
      </c>
      <c r="E93" s="71" t="s">
        <v>27</v>
      </c>
      <c r="F93" s="25" t="s">
        <v>126</v>
      </c>
      <c r="G93" s="1" t="s">
        <v>132</v>
      </c>
      <c r="H93" s="25"/>
      <c r="I93" s="25"/>
      <c r="J93" s="25"/>
      <c r="K93" s="25">
        <f t="shared" si="2"/>
        <v>7</v>
      </c>
      <c r="L93" s="25" t="str">
        <f t="shared" si="8"/>
        <v>الابراهيم</v>
      </c>
      <c r="M93" s="25" t="str">
        <f t="shared" si="3"/>
        <v>حصة بن شايع بن ناصر ابراهيم</v>
      </c>
      <c r="N93" s="25" t="str">
        <f t="shared" si="4"/>
        <v>حصة bin شايع bin ناصر Al-ابراهيم</v>
      </c>
      <c r="O93" s="25" t="str">
        <f t="shared" si="5"/>
        <v/>
      </c>
      <c r="P93" s="25">
        <f t="shared" si="6"/>
        <v>0</v>
      </c>
      <c r="Q93" s="25"/>
      <c r="R93" s="25"/>
      <c r="S93" s="25" t="str">
        <f t="shared" si="7"/>
        <v>Living</v>
      </c>
    </row>
    <row r="94" ht="15.75" hidden="1" customHeight="1">
      <c r="A94" s="25" t="str">
        <f t="shared" si="1"/>
        <v>P093</v>
      </c>
      <c r="B94" s="71" t="s">
        <v>178</v>
      </c>
      <c r="C94" s="71" t="s">
        <v>113</v>
      </c>
      <c r="D94" s="71" t="s">
        <v>102</v>
      </c>
      <c r="E94" s="71" t="s">
        <v>27</v>
      </c>
      <c r="F94" s="25" t="s">
        <v>126</v>
      </c>
      <c r="G94" s="1" t="s">
        <v>132</v>
      </c>
      <c r="H94" s="25"/>
      <c r="I94" s="25"/>
      <c r="J94" s="25"/>
      <c r="K94" s="25">
        <f t="shared" si="2"/>
        <v>7</v>
      </c>
      <c r="L94" s="25" t="str">
        <f t="shared" si="8"/>
        <v>الابراهيم</v>
      </c>
      <c r="M94" s="25" t="str">
        <f t="shared" si="3"/>
        <v>جمانه بن شايع بن ناصر ابراهيم</v>
      </c>
      <c r="N94" s="25" t="str">
        <f t="shared" si="4"/>
        <v>جمانه bin شايع bin ناصر Al-ابراهيم</v>
      </c>
      <c r="O94" s="25" t="str">
        <f t="shared" si="5"/>
        <v/>
      </c>
      <c r="P94" s="25">
        <f t="shared" si="6"/>
        <v>0</v>
      </c>
      <c r="Q94" s="25"/>
      <c r="R94" s="25"/>
      <c r="S94" s="25" t="str">
        <f t="shared" si="7"/>
        <v>Living</v>
      </c>
    </row>
    <row r="95" ht="15.75" hidden="1" customHeight="1">
      <c r="A95" s="25" t="str">
        <f t="shared" si="1"/>
        <v>P094</v>
      </c>
      <c r="B95" s="71" t="s">
        <v>179</v>
      </c>
      <c r="C95" s="71" t="s">
        <v>113</v>
      </c>
      <c r="D95" s="71" t="s">
        <v>102</v>
      </c>
      <c r="E95" s="71" t="s">
        <v>27</v>
      </c>
      <c r="F95" s="25" t="s">
        <v>126</v>
      </c>
      <c r="G95" s="1" t="s">
        <v>132</v>
      </c>
      <c r="H95" s="25"/>
      <c r="I95" s="25"/>
      <c r="J95" s="25"/>
      <c r="K95" s="25">
        <f t="shared" si="2"/>
        <v>7</v>
      </c>
      <c r="L95" s="25" t="str">
        <f t="shared" si="8"/>
        <v>الابراهيم</v>
      </c>
      <c r="M95" s="25" t="str">
        <f t="shared" si="3"/>
        <v>سفانة بن شايع بن ناصر ابراهيم</v>
      </c>
      <c r="N95" s="25" t="str">
        <f t="shared" si="4"/>
        <v>سفانة bin شايع bin ناصر Al-ابراهيم</v>
      </c>
      <c r="O95" s="25" t="str">
        <f t="shared" si="5"/>
        <v/>
      </c>
      <c r="P95" s="25">
        <f t="shared" si="6"/>
        <v>0</v>
      </c>
      <c r="Q95" s="25"/>
      <c r="R95" s="25"/>
      <c r="S95" s="25" t="str">
        <f t="shared" si="7"/>
        <v>Living</v>
      </c>
    </row>
    <row r="96" ht="15.75" hidden="1" customHeight="1">
      <c r="A96" s="25" t="str">
        <f t="shared" si="1"/>
        <v>P095</v>
      </c>
      <c r="B96" s="71" t="s">
        <v>180</v>
      </c>
      <c r="C96" s="71" t="s">
        <v>113</v>
      </c>
      <c r="D96" s="71" t="s">
        <v>102</v>
      </c>
      <c r="E96" s="71" t="s">
        <v>27</v>
      </c>
      <c r="F96" s="25" t="s">
        <v>126</v>
      </c>
      <c r="G96" s="1" t="s">
        <v>132</v>
      </c>
      <c r="H96" s="25"/>
      <c r="I96" s="25"/>
      <c r="J96" s="25"/>
      <c r="K96" s="25">
        <f t="shared" si="2"/>
        <v>7</v>
      </c>
      <c r="L96" s="25" t="str">
        <f t="shared" si="8"/>
        <v>الابراهيم</v>
      </c>
      <c r="M96" s="25" t="str">
        <f t="shared" si="3"/>
        <v>سلاف بن شايع بن ناصر ابراهيم</v>
      </c>
      <c r="N96" s="25" t="str">
        <f t="shared" si="4"/>
        <v>سلاف bin شايع bin ناصر Al-ابراهيم</v>
      </c>
      <c r="O96" s="25" t="str">
        <f t="shared" si="5"/>
        <v/>
      </c>
      <c r="P96" s="25">
        <f t="shared" si="6"/>
        <v>0</v>
      </c>
      <c r="Q96" s="25"/>
      <c r="R96" s="25"/>
      <c r="S96" s="25" t="str">
        <f t="shared" si="7"/>
        <v>Living</v>
      </c>
    </row>
    <row r="97" ht="15.75" hidden="1" customHeight="1">
      <c r="A97" s="25" t="str">
        <f t="shared" si="1"/>
        <v>P096</v>
      </c>
      <c r="B97" s="71" t="s">
        <v>181</v>
      </c>
      <c r="C97" s="71" t="s">
        <v>113</v>
      </c>
      <c r="D97" s="71" t="s">
        <v>102</v>
      </c>
      <c r="E97" s="71" t="s">
        <v>27</v>
      </c>
      <c r="F97" s="25" t="s">
        <v>126</v>
      </c>
      <c r="G97" s="1" t="s">
        <v>132</v>
      </c>
      <c r="H97" s="25"/>
      <c r="I97" s="25"/>
      <c r="J97" s="25"/>
      <c r="K97" s="25">
        <f t="shared" si="2"/>
        <v>7</v>
      </c>
      <c r="L97" s="25" t="str">
        <f t="shared" si="8"/>
        <v>الابراهيم</v>
      </c>
      <c r="M97" s="25" t="str">
        <f t="shared" si="3"/>
        <v>شموخ بن شايع بن ناصر ابراهيم</v>
      </c>
      <c r="N97" s="25" t="str">
        <f t="shared" si="4"/>
        <v>شموخ bin شايع bin ناصر Al-ابراهيم</v>
      </c>
      <c r="O97" s="25" t="str">
        <f t="shared" si="5"/>
        <v/>
      </c>
      <c r="P97" s="25">
        <f t="shared" si="6"/>
        <v>0</v>
      </c>
      <c r="Q97" s="25"/>
      <c r="R97" s="25"/>
      <c r="S97" s="25" t="str">
        <f t="shared" si="7"/>
        <v>Living</v>
      </c>
    </row>
    <row r="98" ht="15.75" hidden="1" customHeight="1">
      <c r="A98" s="25" t="str">
        <f t="shared" si="1"/>
        <v>P097</v>
      </c>
      <c r="B98" s="71" t="s">
        <v>182</v>
      </c>
      <c r="C98" s="71" t="s">
        <v>117</v>
      </c>
      <c r="D98" s="71" t="s">
        <v>27</v>
      </c>
      <c r="E98" s="71" t="s">
        <v>102</v>
      </c>
      <c r="F98" s="1" t="s">
        <v>183</v>
      </c>
      <c r="G98" s="1" t="s">
        <v>132</v>
      </c>
      <c r="H98" s="25"/>
      <c r="I98" s="25"/>
      <c r="J98" s="25"/>
      <c r="K98" s="25">
        <f t="shared" si="2"/>
        <v>8</v>
      </c>
      <c r="L98" s="25" t="str">
        <f t="shared" si="8"/>
        <v>الابراهيم</v>
      </c>
      <c r="M98" s="25" t="str">
        <f t="shared" si="3"/>
        <v>أضواء بن يزيد بن ابراهيم ناصر</v>
      </c>
      <c r="N98" s="25" t="str">
        <f t="shared" si="4"/>
        <v>أضواء bin يزيد bin ابراهيم Al-ناصر</v>
      </c>
      <c r="O98" s="25" t="str">
        <f t="shared" si="5"/>
        <v/>
      </c>
      <c r="P98" s="25">
        <f t="shared" si="6"/>
        <v>0</v>
      </c>
      <c r="Q98" s="25"/>
      <c r="R98" s="25"/>
      <c r="S98" s="25" t="str">
        <f t="shared" si="7"/>
        <v>Living</v>
      </c>
    </row>
    <row r="99" ht="15.75" hidden="1" customHeight="1">
      <c r="A99" s="25" t="str">
        <f t="shared" si="1"/>
        <v>P098</v>
      </c>
      <c r="B99" s="71" t="s">
        <v>27</v>
      </c>
      <c r="C99" s="71" t="s">
        <v>117</v>
      </c>
      <c r="D99" s="71" t="s">
        <v>27</v>
      </c>
      <c r="E99" s="71" t="s">
        <v>102</v>
      </c>
      <c r="F99" s="1" t="s">
        <v>183</v>
      </c>
      <c r="G99" s="1" t="s">
        <v>35</v>
      </c>
      <c r="H99" s="25"/>
      <c r="I99" s="25"/>
      <c r="J99" s="25"/>
      <c r="K99" s="25">
        <f t="shared" si="2"/>
        <v>8</v>
      </c>
      <c r="L99" s="25" t="str">
        <f t="shared" si="8"/>
        <v>الابراهيم</v>
      </c>
      <c r="M99" s="25" t="str">
        <f t="shared" si="3"/>
        <v>ابراهيم بن يزيد بن ابراهيم ناصر</v>
      </c>
      <c r="N99" s="25" t="str">
        <f t="shared" si="4"/>
        <v>ابراهيم bin يزيد bin ابراهيم Al-ناصر</v>
      </c>
      <c r="O99" s="25" t="str">
        <f t="shared" si="5"/>
        <v/>
      </c>
      <c r="P99" s="25">
        <f t="shared" si="6"/>
        <v>0</v>
      </c>
      <c r="Q99" s="25"/>
      <c r="R99" s="25"/>
      <c r="S99" s="25" t="str">
        <f t="shared" si="7"/>
        <v>Living</v>
      </c>
    </row>
    <row r="100" ht="15.75" hidden="1" customHeight="1">
      <c r="A100" s="25" t="str">
        <f t="shared" si="1"/>
        <v>P099</v>
      </c>
      <c r="B100" s="71" t="s">
        <v>105</v>
      </c>
      <c r="C100" s="71" t="s">
        <v>117</v>
      </c>
      <c r="D100" s="71" t="s">
        <v>27</v>
      </c>
      <c r="E100" s="71" t="s">
        <v>102</v>
      </c>
      <c r="F100" s="1" t="s">
        <v>183</v>
      </c>
      <c r="G100" s="1" t="s">
        <v>35</v>
      </c>
      <c r="H100" s="25"/>
      <c r="I100" s="25"/>
      <c r="J100" s="25"/>
      <c r="K100" s="25">
        <f t="shared" si="2"/>
        <v>8</v>
      </c>
      <c r="L100" s="25" t="str">
        <f t="shared" si="8"/>
        <v>الابراهيم</v>
      </c>
      <c r="M100" s="25" t="str">
        <f t="shared" si="3"/>
        <v>عبدالرحمن بن يزيد بن ابراهيم ناصر</v>
      </c>
      <c r="N100" s="25" t="str">
        <f t="shared" si="4"/>
        <v>عبدالرحمن bin يزيد bin ابراهيم Al-ناصر</v>
      </c>
      <c r="O100" s="25" t="str">
        <f t="shared" si="5"/>
        <v/>
      </c>
      <c r="P100" s="25">
        <f t="shared" si="6"/>
        <v>0</v>
      </c>
      <c r="Q100" s="25"/>
      <c r="R100" s="25"/>
      <c r="S100" s="25" t="str">
        <f t="shared" si="7"/>
        <v>Living</v>
      </c>
    </row>
    <row r="101" ht="15.75" hidden="1" customHeight="1">
      <c r="A101" s="25" t="str">
        <f t="shared" si="1"/>
        <v>P100</v>
      </c>
      <c r="B101" s="71" t="s">
        <v>184</v>
      </c>
      <c r="C101" s="71" t="s">
        <v>117</v>
      </c>
      <c r="D101" s="71" t="s">
        <v>27</v>
      </c>
      <c r="E101" s="71" t="s">
        <v>102</v>
      </c>
      <c r="F101" s="1" t="s">
        <v>183</v>
      </c>
      <c r="G101" s="1" t="s">
        <v>132</v>
      </c>
      <c r="H101" s="25"/>
      <c r="I101" s="25"/>
      <c r="J101" s="25"/>
      <c r="K101" s="25">
        <f t="shared" si="2"/>
        <v>8</v>
      </c>
      <c r="L101" s="25" t="str">
        <f t="shared" si="8"/>
        <v>الابراهيم</v>
      </c>
      <c r="M101" s="25" t="str">
        <f t="shared" si="3"/>
        <v>صبا بن يزيد بن ابراهيم ناصر</v>
      </c>
      <c r="N101" s="25" t="str">
        <f t="shared" si="4"/>
        <v>صبا bin يزيد bin ابراهيم Al-ناصر</v>
      </c>
      <c r="O101" s="25" t="str">
        <f t="shared" si="5"/>
        <v/>
      </c>
      <c r="P101" s="25">
        <f t="shared" si="6"/>
        <v>0</v>
      </c>
      <c r="Q101" s="25"/>
      <c r="R101" s="25"/>
      <c r="S101" s="25" t="str">
        <f t="shared" si="7"/>
        <v>Living</v>
      </c>
    </row>
    <row r="102" ht="15.75" hidden="1" customHeight="1">
      <c r="A102" s="25" t="str">
        <f t="shared" si="1"/>
        <v>P101</v>
      </c>
      <c r="B102" s="71" t="s">
        <v>185</v>
      </c>
      <c r="C102" s="71" t="s">
        <v>102</v>
      </c>
      <c r="D102" s="71" t="s">
        <v>27</v>
      </c>
      <c r="E102" s="71" t="s">
        <v>102</v>
      </c>
      <c r="F102" s="1" t="s">
        <v>186</v>
      </c>
      <c r="G102" s="1" t="s">
        <v>132</v>
      </c>
      <c r="H102" s="25"/>
      <c r="I102" s="25"/>
      <c r="J102" s="25"/>
      <c r="K102" s="25">
        <f t="shared" si="2"/>
        <v>8</v>
      </c>
      <c r="L102" s="25" t="str">
        <f t="shared" si="8"/>
        <v>الابراهيم</v>
      </c>
      <c r="M102" s="25" t="str">
        <f t="shared" si="3"/>
        <v>فرح بن ناصر بن ابراهيم ناصر</v>
      </c>
      <c r="N102" s="25" t="str">
        <f t="shared" si="4"/>
        <v>فرح bin ناصر bin ابراهيم Al-ناصر</v>
      </c>
      <c r="O102" s="25" t="str">
        <f t="shared" si="5"/>
        <v/>
      </c>
      <c r="P102" s="25">
        <f t="shared" si="6"/>
        <v>0</v>
      </c>
      <c r="Q102" s="25"/>
      <c r="R102" s="25"/>
      <c r="S102" s="25" t="str">
        <f t="shared" si="7"/>
        <v>Living</v>
      </c>
    </row>
    <row r="103" ht="15.75" hidden="1" customHeight="1">
      <c r="A103" s="25" t="str">
        <f t="shared" si="1"/>
        <v>P102</v>
      </c>
      <c r="B103" s="71" t="s">
        <v>27</v>
      </c>
      <c r="C103" s="71" t="s">
        <v>102</v>
      </c>
      <c r="D103" s="71" t="s">
        <v>27</v>
      </c>
      <c r="E103" s="71" t="s">
        <v>102</v>
      </c>
      <c r="F103" s="1" t="s">
        <v>186</v>
      </c>
      <c r="G103" s="1" t="s">
        <v>35</v>
      </c>
      <c r="H103" s="25"/>
      <c r="I103" s="25"/>
      <c r="J103" s="25"/>
      <c r="K103" s="25">
        <f t="shared" si="2"/>
        <v>8</v>
      </c>
      <c r="L103" s="25" t="str">
        <f t="shared" si="8"/>
        <v>الابراهيم</v>
      </c>
      <c r="M103" s="25" t="str">
        <f t="shared" si="3"/>
        <v>ابراهيم بن ناصر بن ابراهيم ناصر</v>
      </c>
      <c r="N103" s="25" t="str">
        <f t="shared" si="4"/>
        <v>ابراهيم bin ناصر bin ابراهيم Al-ناصر</v>
      </c>
      <c r="O103" s="25" t="str">
        <f t="shared" si="5"/>
        <v/>
      </c>
      <c r="P103" s="25">
        <f t="shared" si="6"/>
        <v>0</v>
      </c>
      <c r="Q103" s="25"/>
      <c r="R103" s="25"/>
      <c r="S103" s="25" t="str">
        <f t="shared" si="7"/>
        <v>Living</v>
      </c>
    </row>
    <row r="104" ht="15.75" hidden="1" customHeight="1">
      <c r="A104" s="25" t="str">
        <f t="shared" si="1"/>
        <v>P103</v>
      </c>
      <c r="B104" s="71" t="s">
        <v>187</v>
      </c>
      <c r="C104" s="71" t="s">
        <v>108</v>
      </c>
      <c r="D104" s="71" t="s">
        <v>27</v>
      </c>
      <c r="E104" s="71" t="s">
        <v>102</v>
      </c>
      <c r="F104" s="1" t="s">
        <v>188</v>
      </c>
      <c r="G104" s="1" t="s">
        <v>132</v>
      </c>
      <c r="H104" s="25"/>
      <c r="I104" s="25"/>
      <c r="J104" s="25"/>
      <c r="K104" s="25">
        <f t="shared" si="2"/>
        <v>8</v>
      </c>
      <c r="L104" s="25" t="str">
        <f t="shared" si="8"/>
        <v>الابراهيم</v>
      </c>
      <c r="M104" s="25" t="str">
        <f t="shared" si="3"/>
        <v>لمى بن عبدالعزيز بن ابراهيم ناصر</v>
      </c>
      <c r="N104" s="25" t="str">
        <f t="shared" si="4"/>
        <v>لمى bin عبدالعزيز bin ابراهيم Al-ناصر</v>
      </c>
      <c r="O104" s="25" t="str">
        <f t="shared" si="5"/>
        <v/>
      </c>
      <c r="P104" s="25">
        <f t="shared" si="6"/>
        <v>0</v>
      </c>
      <c r="Q104" s="25"/>
      <c r="R104" s="25"/>
      <c r="S104" s="25" t="str">
        <f t="shared" si="7"/>
        <v>Living</v>
      </c>
    </row>
    <row r="105" ht="15.75" hidden="1" customHeight="1">
      <c r="A105" s="25" t="str">
        <f t="shared" si="1"/>
        <v>P104</v>
      </c>
      <c r="B105" s="71" t="s">
        <v>27</v>
      </c>
      <c r="C105" s="71" t="s">
        <v>108</v>
      </c>
      <c r="D105" s="71" t="s">
        <v>27</v>
      </c>
      <c r="E105" s="71" t="s">
        <v>102</v>
      </c>
      <c r="F105" s="1" t="s">
        <v>188</v>
      </c>
      <c r="G105" s="1" t="s">
        <v>35</v>
      </c>
      <c r="H105" s="25"/>
      <c r="I105" s="25"/>
      <c r="J105" s="25"/>
      <c r="K105" s="25">
        <f t="shared" si="2"/>
        <v>8</v>
      </c>
      <c r="L105" s="25" t="str">
        <f t="shared" si="8"/>
        <v>الابراهيم</v>
      </c>
      <c r="M105" s="25" t="str">
        <f t="shared" si="3"/>
        <v>ابراهيم بن عبدالعزيز بن ابراهيم ناصر</v>
      </c>
      <c r="N105" s="25" t="str">
        <f t="shared" si="4"/>
        <v>ابراهيم bin عبدالعزيز bin ابراهيم Al-ناصر</v>
      </c>
      <c r="O105" s="25" t="str">
        <f t="shared" si="5"/>
        <v/>
      </c>
      <c r="P105" s="25">
        <f t="shared" si="6"/>
        <v>0</v>
      </c>
      <c r="Q105" s="25"/>
      <c r="R105" s="25"/>
      <c r="S105" s="25" t="str">
        <f t="shared" si="7"/>
        <v>Living</v>
      </c>
    </row>
    <row r="106" ht="15.75" hidden="1" customHeight="1">
      <c r="A106" s="25" t="str">
        <f t="shared" si="1"/>
        <v>P105</v>
      </c>
      <c r="B106" s="71" t="s">
        <v>174</v>
      </c>
      <c r="C106" s="71" t="s">
        <v>108</v>
      </c>
      <c r="D106" s="71" t="s">
        <v>27</v>
      </c>
      <c r="E106" s="71" t="s">
        <v>102</v>
      </c>
      <c r="F106" s="1" t="s">
        <v>188</v>
      </c>
      <c r="G106" s="1" t="s">
        <v>132</v>
      </c>
      <c r="H106" s="25"/>
      <c r="I106" s="25"/>
      <c r="J106" s="25"/>
      <c r="K106" s="25">
        <f t="shared" si="2"/>
        <v>8</v>
      </c>
      <c r="L106" s="25" t="str">
        <f t="shared" si="8"/>
        <v>الابراهيم</v>
      </c>
      <c r="M106" s="25" t="str">
        <f t="shared" si="3"/>
        <v>ديمة بن عبدالعزيز بن ابراهيم ناصر</v>
      </c>
      <c r="N106" s="25" t="str">
        <f t="shared" si="4"/>
        <v>ديمة bin عبدالعزيز bin ابراهيم Al-ناصر</v>
      </c>
      <c r="O106" s="25" t="str">
        <f t="shared" si="5"/>
        <v/>
      </c>
      <c r="P106" s="25">
        <f t="shared" si="6"/>
        <v>0</v>
      </c>
      <c r="Q106" s="25"/>
      <c r="R106" s="25"/>
      <c r="S106" s="25" t="str">
        <f t="shared" si="7"/>
        <v>Living</v>
      </c>
    </row>
    <row r="107" ht="15.75" hidden="1" customHeight="1">
      <c r="A107" s="25" t="str">
        <f t="shared" si="1"/>
        <v>P106</v>
      </c>
      <c r="B107" s="71" t="s">
        <v>119</v>
      </c>
      <c r="C107" s="71" t="s">
        <v>112</v>
      </c>
      <c r="D107" s="71" t="s">
        <v>100</v>
      </c>
      <c r="E107" s="71" t="s">
        <v>102</v>
      </c>
      <c r="F107" s="1" t="s">
        <v>189</v>
      </c>
      <c r="G107" s="1" t="s">
        <v>35</v>
      </c>
      <c r="H107" s="25"/>
      <c r="I107" s="25"/>
      <c r="J107" s="25"/>
      <c r="K107" s="25">
        <f t="shared" si="2"/>
        <v>8</v>
      </c>
      <c r="L107" s="25" t="str">
        <f t="shared" si="8"/>
        <v>الابراهيم</v>
      </c>
      <c r="M107" s="25" t="str">
        <f t="shared" si="3"/>
        <v>عبدالله بن خالد بن محمد ناصر</v>
      </c>
      <c r="N107" s="25" t="str">
        <f t="shared" si="4"/>
        <v>عبدالله bin خالد bin محمد Al-ناصر</v>
      </c>
      <c r="O107" s="25" t="str">
        <f t="shared" si="5"/>
        <v/>
      </c>
      <c r="P107" s="25">
        <f t="shared" si="6"/>
        <v>0</v>
      </c>
      <c r="Q107" s="25"/>
      <c r="R107" s="25"/>
      <c r="S107" s="25" t="str">
        <f t="shared" si="7"/>
        <v>Living</v>
      </c>
    </row>
    <row r="108" ht="15.75" hidden="1" customHeight="1">
      <c r="A108" s="25" t="str">
        <f t="shared" si="1"/>
        <v>P107</v>
      </c>
      <c r="B108" s="77" t="s">
        <v>190</v>
      </c>
      <c r="C108" s="71" t="s">
        <v>112</v>
      </c>
      <c r="D108" s="71" t="s">
        <v>100</v>
      </c>
      <c r="E108" s="71" t="s">
        <v>102</v>
      </c>
      <c r="F108" s="1" t="s">
        <v>189</v>
      </c>
      <c r="G108" s="1" t="s">
        <v>132</v>
      </c>
      <c r="H108" s="25"/>
      <c r="I108" s="25"/>
      <c r="J108" s="25"/>
      <c r="K108" s="25">
        <f t="shared" si="2"/>
        <v>8</v>
      </c>
      <c r="L108" s="25" t="str">
        <f t="shared" si="8"/>
        <v>الابراهيم</v>
      </c>
      <c r="M108" s="25" t="str">
        <f t="shared" si="3"/>
        <v>الجوهرة بن خالد بن محمد ناصر</v>
      </c>
      <c r="N108" s="25" t="str">
        <f t="shared" si="4"/>
        <v>الجوهرة bin خالد bin محمد Al-ناصر</v>
      </c>
      <c r="O108" s="25" t="str">
        <f t="shared" si="5"/>
        <v/>
      </c>
      <c r="P108" s="25">
        <f t="shared" si="6"/>
        <v>0</v>
      </c>
      <c r="Q108" s="25"/>
      <c r="R108" s="25"/>
      <c r="S108" s="25" t="str">
        <f t="shared" si="7"/>
        <v>Living</v>
      </c>
    </row>
    <row r="109" ht="15.75" hidden="1" customHeight="1">
      <c r="A109" s="25" t="str">
        <f t="shared" si="1"/>
        <v>P108</v>
      </c>
      <c r="B109" s="71" t="s">
        <v>100</v>
      </c>
      <c r="C109" s="71" t="s">
        <v>112</v>
      </c>
      <c r="D109" s="71" t="s">
        <v>100</v>
      </c>
      <c r="E109" s="71" t="s">
        <v>102</v>
      </c>
      <c r="F109" s="1" t="s">
        <v>189</v>
      </c>
      <c r="G109" s="1" t="s">
        <v>35</v>
      </c>
      <c r="H109" s="25"/>
      <c r="I109" s="25"/>
      <c r="J109" s="25"/>
      <c r="K109" s="25">
        <f t="shared" si="2"/>
        <v>8</v>
      </c>
      <c r="L109" s="25" t="str">
        <f t="shared" si="8"/>
        <v>الابراهيم</v>
      </c>
      <c r="M109" s="25" t="str">
        <f t="shared" si="3"/>
        <v>محمد بن خالد بن محمد ناصر</v>
      </c>
      <c r="N109" s="25" t="str">
        <f t="shared" si="4"/>
        <v>محمد bin خالد bin محمد Al-ناصر</v>
      </c>
      <c r="O109" s="25" t="str">
        <f t="shared" si="5"/>
        <v/>
      </c>
      <c r="P109" s="25">
        <f t="shared" si="6"/>
        <v>0</v>
      </c>
      <c r="Q109" s="25"/>
      <c r="R109" s="25"/>
      <c r="S109" s="25" t="str">
        <f t="shared" si="7"/>
        <v>Living</v>
      </c>
    </row>
    <row r="110" ht="15.75" hidden="1" customHeight="1">
      <c r="A110" s="25" t="str">
        <f t="shared" si="1"/>
        <v>P109</v>
      </c>
      <c r="B110" s="71" t="s">
        <v>110</v>
      </c>
      <c r="C110" s="71" t="s">
        <v>102</v>
      </c>
      <c r="D110" s="71" t="s">
        <v>110</v>
      </c>
      <c r="E110" s="71" t="s">
        <v>102</v>
      </c>
      <c r="F110" s="1" t="s">
        <v>191</v>
      </c>
      <c r="G110" s="1" t="s">
        <v>35</v>
      </c>
      <c r="H110" s="25"/>
      <c r="I110" s="25"/>
      <c r="J110" s="25"/>
      <c r="K110" s="25">
        <f t="shared" si="2"/>
        <v>8</v>
      </c>
      <c r="L110" s="25" t="str">
        <f t="shared" si="8"/>
        <v>الابراهيم</v>
      </c>
      <c r="M110" s="25" t="str">
        <f t="shared" si="3"/>
        <v>سعد بن ناصر بن سعد ناصر</v>
      </c>
      <c r="N110" s="25" t="str">
        <f t="shared" si="4"/>
        <v>سعد bin ناصر bin سعد Al-ناصر</v>
      </c>
      <c r="O110" s="25" t="str">
        <f t="shared" si="5"/>
        <v/>
      </c>
      <c r="P110" s="25">
        <f t="shared" si="6"/>
        <v>0</v>
      </c>
      <c r="Q110" s="25"/>
      <c r="R110" s="25"/>
      <c r="S110" s="25" t="str">
        <f t="shared" si="7"/>
        <v>Living</v>
      </c>
    </row>
    <row r="111" ht="15.75" hidden="1" customHeight="1">
      <c r="A111" s="78" t="str">
        <f t="shared" si="1"/>
        <v>P110</v>
      </c>
      <c r="B111" s="79" t="s">
        <v>192</v>
      </c>
      <c r="C111" s="79" t="s">
        <v>102</v>
      </c>
      <c r="D111" s="79" t="s">
        <v>110</v>
      </c>
      <c r="E111" s="79" t="s">
        <v>102</v>
      </c>
      <c r="F111" s="80" t="s">
        <v>191</v>
      </c>
      <c r="G111" s="1" t="s">
        <v>35</v>
      </c>
      <c r="H111" s="78"/>
      <c r="I111" s="78"/>
      <c r="J111" s="78"/>
      <c r="K111" s="78">
        <f t="shared" si="2"/>
        <v>8</v>
      </c>
      <c r="L111" s="78" t="str">
        <f t="shared" si="8"/>
        <v>الابراهيم</v>
      </c>
      <c r="M111" s="78" t="str">
        <f t="shared" si="3"/>
        <v>سلطان بن ناصر بن سعد ناصر</v>
      </c>
      <c r="N111" s="78" t="str">
        <f t="shared" si="4"/>
        <v>سلطان bin ناصر bin سعد Al-ناصر</v>
      </c>
      <c r="O111" s="78" t="str">
        <f t="shared" si="5"/>
        <v/>
      </c>
      <c r="P111" s="78">
        <f t="shared" si="6"/>
        <v>0</v>
      </c>
      <c r="Q111" s="78"/>
      <c r="R111" s="78"/>
      <c r="S111" s="78" t="str">
        <f t="shared" si="7"/>
        <v>Living</v>
      </c>
      <c r="T111" s="78"/>
      <c r="U111" s="78"/>
      <c r="V111" s="78"/>
      <c r="W111" s="78"/>
      <c r="X111" s="78"/>
      <c r="Y111" s="78"/>
      <c r="Z111" s="78"/>
    </row>
    <row r="112" ht="15.75" hidden="1" customHeight="1">
      <c r="A112" s="25" t="str">
        <f t="shared" si="1"/>
        <v>P111</v>
      </c>
      <c r="B112" s="71" t="s">
        <v>193</v>
      </c>
      <c r="C112" s="71" t="s">
        <v>102</v>
      </c>
      <c r="D112" s="71" t="s">
        <v>112</v>
      </c>
      <c r="E112" s="71" t="s">
        <v>102</v>
      </c>
      <c r="F112" s="25" t="s">
        <v>194</v>
      </c>
      <c r="G112" s="1" t="s">
        <v>132</v>
      </c>
      <c r="H112" s="25"/>
      <c r="I112" s="25"/>
      <c r="J112" s="25"/>
      <c r="K112" s="25">
        <f t="shared" si="2"/>
        <v>8</v>
      </c>
      <c r="L112" s="25" t="str">
        <f t="shared" si="8"/>
        <v>الابراهيم</v>
      </c>
      <c r="M112" s="25" t="str">
        <f t="shared" si="3"/>
        <v>ديم بن ناصر بن خالد ناصر</v>
      </c>
      <c r="N112" s="25" t="str">
        <f t="shared" si="4"/>
        <v>ديم bin ناصر bin خالد Al-ناصر</v>
      </c>
      <c r="O112" s="25" t="str">
        <f t="shared" si="5"/>
        <v/>
      </c>
      <c r="P112" s="25">
        <f t="shared" si="6"/>
        <v>0</v>
      </c>
      <c r="Q112" s="25"/>
      <c r="R112" s="25"/>
      <c r="S112" s="25" t="str">
        <f t="shared" si="7"/>
        <v>Living</v>
      </c>
    </row>
    <row r="113" ht="15.75" hidden="1" customHeight="1">
      <c r="A113" s="25" t="str">
        <f t="shared" si="1"/>
        <v>P112</v>
      </c>
      <c r="B113" s="71" t="s">
        <v>27</v>
      </c>
      <c r="C113" s="71" t="s">
        <v>96</v>
      </c>
      <c r="D113" s="71" t="s">
        <v>27</v>
      </c>
      <c r="E113" s="71" t="s">
        <v>102</v>
      </c>
      <c r="F113" s="25" t="s">
        <v>195</v>
      </c>
      <c r="G113" s="1" t="s">
        <v>35</v>
      </c>
      <c r="H113" s="25"/>
      <c r="I113" s="25"/>
      <c r="J113" s="25"/>
      <c r="K113" s="25">
        <f t="shared" si="2"/>
        <v>6</v>
      </c>
      <c r="L113" s="25" t="str">
        <f t="shared" si="8"/>
        <v>الابراهيم</v>
      </c>
      <c r="M113" s="25" t="str">
        <f t="shared" si="3"/>
        <v>ابراهيم بن عبدالكريم بن ابراهيم ناصر</v>
      </c>
      <c r="N113" s="25" t="str">
        <f t="shared" si="4"/>
        <v>ابراهيم bin عبدالكريم bin ابراهيم Al-ناصر</v>
      </c>
      <c r="O113" s="25" t="str">
        <f t="shared" si="5"/>
        <v/>
      </c>
      <c r="P113" s="25">
        <f t="shared" si="6"/>
        <v>0</v>
      </c>
      <c r="Q113" s="25"/>
      <c r="R113" s="25"/>
      <c r="S113" s="25" t="str">
        <f t="shared" si="7"/>
        <v>Living</v>
      </c>
    </row>
    <row r="114" ht="15.75" hidden="1" customHeight="1">
      <c r="A114" s="25" t="str">
        <f t="shared" si="1"/>
        <v>P113</v>
      </c>
      <c r="B114" s="71" t="s">
        <v>112</v>
      </c>
      <c r="C114" s="71" t="s">
        <v>96</v>
      </c>
      <c r="D114" s="71" t="s">
        <v>27</v>
      </c>
      <c r="E114" s="71" t="s">
        <v>102</v>
      </c>
      <c r="F114" s="25" t="s">
        <v>195</v>
      </c>
      <c r="G114" s="1" t="s">
        <v>35</v>
      </c>
      <c r="H114" s="25"/>
      <c r="I114" s="25"/>
      <c r="J114" s="25"/>
      <c r="K114" s="25">
        <f t="shared" si="2"/>
        <v>6</v>
      </c>
      <c r="L114" s="25" t="str">
        <f t="shared" si="8"/>
        <v>الابراهيم</v>
      </c>
      <c r="M114" s="25" t="str">
        <f t="shared" si="3"/>
        <v>خالد بن عبدالكريم بن ابراهيم ناصر</v>
      </c>
      <c r="N114" s="25" t="str">
        <f t="shared" si="4"/>
        <v>خالد bin عبدالكريم bin ابراهيم Al-ناصر</v>
      </c>
      <c r="O114" s="25" t="str">
        <f t="shared" si="5"/>
        <v/>
      </c>
      <c r="P114" s="25">
        <f t="shared" si="6"/>
        <v>0</v>
      </c>
      <c r="Q114" s="25"/>
      <c r="R114" s="25"/>
      <c r="S114" s="25" t="str">
        <f t="shared" si="7"/>
        <v>Living</v>
      </c>
    </row>
    <row r="115" ht="15.75" hidden="1" customHeight="1">
      <c r="A115" s="25" t="str">
        <f t="shared" si="1"/>
        <v>P114</v>
      </c>
      <c r="B115" s="71" t="s">
        <v>100</v>
      </c>
      <c r="C115" s="71" t="s">
        <v>96</v>
      </c>
      <c r="D115" s="71" t="s">
        <v>27</v>
      </c>
      <c r="E115" s="71" t="s">
        <v>102</v>
      </c>
      <c r="F115" s="25" t="s">
        <v>195</v>
      </c>
      <c r="G115" s="1" t="s">
        <v>35</v>
      </c>
      <c r="H115" s="25"/>
      <c r="I115" s="25"/>
      <c r="J115" s="25"/>
      <c r="K115" s="25">
        <f t="shared" si="2"/>
        <v>6</v>
      </c>
      <c r="L115" s="25" t="str">
        <f t="shared" si="8"/>
        <v>الابراهيم</v>
      </c>
      <c r="M115" s="25" t="str">
        <f t="shared" si="3"/>
        <v>محمد بن عبدالكريم بن ابراهيم ناصر</v>
      </c>
      <c r="N115" s="25" t="str">
        <f t="shared" si="4"/>
        <v>محمد bin عبدالكريم bin ابراهيم Al-ناصر</v>
      </c>
      <c r="O115" s="25" t="str">
        <f t="shared" si="5"/>
        <v/>
      </c>
      <c r="P115" s="25">
        <f t="shared" si="6"/>
        <v>0</v>
      </c>
      <c r="Q115" s="25"/>
      <c r="R115" s="25"/>
      <c r="S115" s="25" t="str">
        <f t="shared" si="7"/>
        <v>Living</v>
      </c>
    </row>
    <row r="116" ht="15.75" hidden="1" customHeight="1">
      <c r="A116" s="25" t="str">
        <f t="shared" si="1"/>
        <v>P115</v>
      </c>
      <c r="B116" s="71" t="s">
        <v>105</v>
      </c>
      <c r="C116" s="71" t="s">
        <v>96</v>
      </c>
      <c r="D116" s="71" t="s">
        <v>27</v>
      </c>
      <c r="E116" s="71" t="s">
        <v>102</v>
      </c>
      <c r="F116" s="25" t="s">
        <v>195</v>
      </c>
      <c r="G116" s="1" t="s">
        <v>35</v>
      </c>
      <c r="H116" s="25"/>
      <c r="I116" s="25"/>
      <c r="J116" s="25"/>
      <c r="K116" s="25">
        <f t="shared" si="2"/>
        <v>6</v>
      </c>
      <c r="L116" s="25" t="str">
        <f t="shared" si="8"/>
        <v>الابراهيم</v>
      </c>
      <c r="M116" s="25" t="str">
        <f t="shared" si="3"/>
        <v>عبدالرحمن بن عبدالكريم بن ابراهيم ناصر</v>
      </c>
      <c r="N116" s="25" t="str">
        <f t="shared" si="4"/>
        <v>عبدالرحمن bin عبدالكريم bin ابراهيم Al-ناصر</v>
      </c>
      <c r="O116" s="25" t="str">
        <f t="shared" si="5"/>
        <v/>
      </c>
      <c r="P116" s="25">
        <f t="shared" si="6"/>
        <v>0</v>
      </c>
      <c r="Q116" s="25"/>
      <c r="R116" s="25"/>
      <c r="S116" s="25" t="str">
        <f t="shared" si="7"/>
        <v>Living</v>
      </c>
    </row>
    <row r="117" ht="15.75" hidden="1" customHeight="1">
      <c r="A117" s="25" t="str">
        <f t="shared" si="1"/>
        <v>P116</v>
      </c>
      <c r="B117" s="71" t="s">
        <v>119</v>
      </c>
      <c r="C117" s="71" t="s">
        <v>96</v>
      </c>
      <c r="D117" s="71" t="s">
        <v>27</v>
      </c>
      <c r="E117" s="71" t="s">
        <v>102</v>
      </c>
      <c r="F117" s="25" t="s">
        <v>195</v>
      </c>
      <c r="G117" s="1" t="s">
        <v>35</v>
      </c>
      <c r="H117" s="25"/>
      <c r="I117" s="25"/>
      <c r="J117" s="25"/>
      <c r="K117" s="25">
        <f t="shared" si="2"/>
        <v>6</v>
      </c>
      <c r="L117" s="25" t="str">
        <f t="shared" si="8"/>
        <v>الابراهيم</v>
      </c>
      <c r="M117" s="25" t="str">
        <f t="shared" si="3"/>
        <v>عبدالله بن عبدالكريم بن ابراهيم ناصر</v>
      </c>
      <c r="N117" s="25" t="str">
        <f t="shared" si="4"/>
        <v>عبدالله bin عبدالكريم bin ابراهيم Al-ناصر</v>
      </c>
      <c r="O117" s="25" t="str">
        <f t="shared" si="5"/>
        <v/>
      </c>
      <c r="P117" s="25">
        <f t="shared" si="6"/>
        <v>0</v>
      </c>
      <c r="Q117" s="25"/>
      <c r="R117" s="25"/>
      <c r="S117" s="25" t="str">
        <f t="shared" si="7"/>
        <v>Living</v>
      </c>
    </row>
    <row r="118" ht="15.75" hidden="1" customHeight="1">
      <c r="A118" s="25" t="str">
        <f t="shared" si="1"/>
        <v>P117</v>
      </c>
      <c r="B118" s="71" t="s">
        <v>108</v>
      </c>
      <c r="C118" s="71" t="s">
        <v>96</v>
      </c>
      <c r="D118" s="71" t="s">
        <v>27</v>
      </c>
      <c r="E118" s="71" t="s">
        <v>102</v>
      </c>
      <c r="F118" s="25" t="s">
        <v>195</v>
      </c>
      <c r="G118" s="1" t="s">
        <v>35</v>
      </c>
      <c r="H118" s="25"/>
      <c r="I118" s="25"/>
      <c r="J118" s="25"/>
      <c r="K118" s="25">
        <f t="shared" si="2"/>
        <v>6</v>
      </c>
      <c r="L118" s="25" t="str">
        <f t="shared" si="8"/>
        <v>الابراهيم</v>
      </c>
      <c r="M118" s="25" t="str">
        <f t="shared" si="3"/>
        <v>عبدالعزيز بن عبدالكريم بن ابراهيم ناصر</v>
      </c>
      <c r="N118" s="25" t="str">
        <f t="shared" si="4"/>
        <v>عبدالعزيز bin عبدالكريم bin ابراهيم Al-ناصر</v>
      </c>
      <c r="O118" s="25" t="str">
        <f t="shared" si="5"/>
        <v/>
      </c>
      <c r="P118" s="25">
        <f t="shared" si="6"/>
        <v>0</v>
      </c>
      <c r="Q118" s="25"/>
      <c r="R118" s="25"/>
      <c r="S118" s="25" t="str">
        <f t="shared" si="7"/>
        <v>Living</v>
      </c>
    </row>
    <row r="119" ht="15.75" hidden="1" customHeight="1">
      <c r="A119" s="25" t="str">
        <f t="shared" si="1"/>
        <v>P118</v>
      </c>
      <c r="B119" s="71" t="s">
        <v>112</v>
      </c>
      <c r="C119" s="71" t="s">
        <v>27</v>
      </c>
      <c r="D119" s="71" t="s">
        <v>96</v>
      </c>
      <c r="E119" s="71" t="s">
        <v>27</v>
      </c>
      <c r="F119" s="25" t="s">
        <v>196</v>
      </c>
      <c r="G119" s="1" t="s">
        <v>35</v>
      </c>
      <c r="H119" s="25"/>
      <c r="I119" s="25"/>
      <c r="J119" s="25"/>
      <c r="K119" s="25">
        <f t="shared" si="2"/>
        <v>7</v>
      </c>
      <c r="L119" s="25" t="str">
        <f t="shared" si="8"/>
        <v>الابراهيم</v>
      </c>
      <c r="M119" s="25" t="str">
        <f t="shared" si="3"/>
        <v>خالد بن ابراهيم بن عبدالكريم ابراهيم</v>
      </c>
      <c r="N119" s="25" t="str">
        <f t="shared" si="4"/>
        <v>خالد bin ابراهيم bin عبدالكريم Al-ابراهيم</v>
      </c>
      <c r="O119" s="25" t="str">
        <f t="shared" si="5"/>
        <v/>
      </c>
      <c r="P119" s="25">
        <f t="shared" si="6"/>
        <v>0</v>
      </c>
      <c r="Q119" s="25"/>
      <c r="R119" s="25"/>
      <c r="S119" s="25" t="str">
        <f t="shared" si="7"/>
        <v>Living</v>
      </c>
    </row>
    <row r="120" ht="15.75" hidden="1" customHeight="1">
      <c r="A120" s="25" t="str">
        <f t="shared" si="1"/>
        <v>P119</v>
      </c>
      <c r="B120" s="71" t="s">
        <v>197</v>
      </c>
      <c r="C120" s="71" t="s">
        <v>27</v>
      </c>
      <c r="D120" s="71" t="s">
        <v>96</v>
      </c>
      <c r="E120" s="71" t="s">
        <v>27</v>
      </c>
      <c r="F120" s="25" t="s">
        <v>196</v>
      </c>
      <c r="G120" s="1" t="s">
        <v>35</v>
      </c>
      <c r="H120" s="25"/>
      <c r="I120" s="25"/>
      <c r="J120" s="25"/>
      <c r="K120" s="25">
        <f t="shared" si="2"/>
        <v>7</v>
      </c>
      <c r="L120" s="25" t="str">
        <f t="shared" si="8"/>
        <v>الابراهيم</v>
      </c>
      <c r="M120" s="25" t="str">
        <f t="shared" si="3"/>
        <v>عبدالملك بن ابراهيم بن عبدالكريم ابراهيم</v>
      </c>
      <c r="N120" s="25" t="str">
        <f t="shared" si="4"/>
        <v>عبدالملك bin ابراهيم bin عبدالكريم Al-ابراهيم</v>
      </c>
      <c r="O120" s="25" t="str">
        <f t="shared" si="5"/>
        <v/>
      </c>
      <c r="P120" s="25">
        <f t="shared" si="6"/>
        <v>0</v>
      </c>
      <c r="Q120" s="25"/>
      <c r="R120" s="25"/>
      <c r="S120" s="25" t="str">
        <f t="shared" si="7"/>
        <v>Living</v>
      </c>
    </row>
    <row r="121" ht="15.75" hidden="1" customHeight="1">
      <c r="A121" s="25" t="str">
        <f t="shared" si="1"/>
        <v>P120</v>
      </c>
      <c r="B121" s="71" t="s">
        <v>96</v>
      </c>
      <c r="C121" s="71" t="s">
        <v>27</v>
      </c>
      <c r="D121" s="71" t="s">
        <v>96</v>
      </c>
      <c r="E121" s="71" t="s">
        <v>27</v>
      </c>
      <c r="F121" s="25" t="s">
        <v>196</v>
      </c>
      <c r="G121" s="1" t="s">
        <v>35</v>
      </c>
      <c r="H121" s="25"/>
      <c r="I121" s="25"/>
      <c r="J121" s="25"/>
      <c r="K121" s="25">
        <f t="shared" si="2"/>
        <v>7</v>
      </c>
      <c r="L121" s="25" t="str">
        <f t="shared" si="8"/>
        <v>الابراهيم</v>
      </c>
      <c r="M121" s="25" t="str">
        <f t="shared" si="3"/>
        <v>عبدالكريم بن ابراهيم بن عبدالكريم ابراهيم</v>
      </c>
      <c r="N121" s="25" t="str">
        <f t="shared" si="4"/>
        <v>عبدالكريم bin ابراهيم bin عبدالكريم Al-ابراهيم</v>
      </c>
      <c r="O121" s="25" t="str">
        <f t="shared" si="5"/>
        <v/>
      </c>
      <c r="P121" s="25">
        <f t="shared" si="6"/>
        <v>0</v>
      </c>
      <c r="Q121" s="25"/>
      <c r="R121" s="25"/>
      <c r="S121" s="25" t="str">
        <f t="shared" si="7"/>
        <v>Living</v>
      </c>
    </row>
    <row r="122" ht="15.75" hidden="1" customHeight="1">
      <c r="A122" s="25" t="str">
        <f t="shared" si="1"/>
        <v>P121</v>
      </c>
      <c r="B122" s="71" t="s">
        <v>198</v>
      </c>
      <c r="C122" s="71" t="s">
        <v>27</v>
      </c>
      <c r="D122" s="71" t="s">
        <v>96</v>
      </c>
      <c r="E122" s="71" t="s">
        <v>27</v>
      </c>
      <c r="F122" s="25" t="s">
        <v>196</v>
      </c>
      <c r="G122" s="1" t="s">
        <v>132</v>
      </c>
      <c r="H122" s="25"/>
      <c r="I122" s="25"/>
      <c r="J122" s="25"/>
      <c r="K122" s="25">
        <f t="shared" si="2"/>
        <v>7</v>
      </c>
      <c r="L122" s="25" t="str">
        <f t="shared" si="8"/>
        <v>الابراهيم</v>
      </c>
      <c r="M122" s="25" t="str">
        <f t="shared" si="3"/>
        <v>ليلى بن ابراهيم بن عبدالكريم ابراهيم</v>
      </c>
      <c r="N122" s="25" t="str">
        <f t="shared" si="4"/>
        <v>ليلى bin ابراهيم bin عبدالكريم Al-ابراهيم</v>
      </c>
      <c r="O122" s="25" t="str">
        <f t="shared" si="5"/>
        <v/>
      </c>
      <c r="P122" s="25">
        <f t="shared" si="6"/>
        <v>0</v>
      </c>
      <c r="Q122" s="25"/>
      <c r="R122" s="25"/>
      <c r="S122" s="25" t="str">
        <f t="shared" si="7"/>
        <v>Living</v>
      </c>
    </row>
    <row r="123" ht="15.75" hidden="1" customHeight="1">
      <c r="A123" s="25" t="str">
        <f t="shared" si="1"/>
        <v>P122</v>
      </c>
      <c r="B123" s="71" t="s">
        <v>199</v>
      </c>
      <c r="C123" s="71" t="s">
        <v>27</v>
      </c>
      <c r="D123" s="71" t="s">
        <v>96</v>
      </c>
      <c r="E123" s="71" t="s">
        <v>27</v>
      </c>
      <c r="F123" s="25" t="s">
        <v>196</v>
      </c>
      <c r="G123" s="1" t="s">
        <v>132</v>
      </c>
      <c r="H123" s="25"/>
      <c r="I123" s="25"/>
      <c r="J123" s="25"/>
      <c r="K123" s="25">
        <f t="shared" si="2"/>
        <v>7</v>
      </c>
      <c r="L123" s="25" t="str">
        <f t="shared" si="8"/>
        <v>الابراهيم</v>
      </c>
      <c r="M123" s="25" t="str">
        <f t="shared" si="3"/>
        <v>منار بن ابراهيم بن عبدالكريم ابراهيم</v>
      </c>
      <c r="N123" s="25" t="str">
        <f t="shared" si="4"/>
        <v>منار bin ابراهيم bin عبدالكريم Al-ابراهيم</v>
      </c>
      <c r="O123" s="25" t="str">
        <f t="shared" si="5"/>
        <v/>
      </c>
      <c r="P123" s="25">
        <f t="shared" si="6"/>
        <v>0</v>
      </c>
      <c r="Q123" s="25"/>
      <c r="R123" s="25"/>
      <c r="S123" s="25" t="str">
        <f t="shared" si="7"/>
        <v>Living</v>
      </c>
    </row>
    <row r="124" ht="15.75" hidden="1" customHeight="1">
      <c r="A124" s="25" t="str">
        <f t="shared" si="1"/>
        <v>P123</v>
      </c>
      <c r="B124" s="71" t="s">
        <v>153</v>
      </c>
      <c r="C124" s="71" t="s">
        <v>27</v>
      </c>
      <c r="D124" s="71" t="s">
        <v>96</v>
      </c>
      <c r="E124" s="71" t="s">
        <v>27</v>
      </c>
      <c r="F124" s="25" t="s">
        <v>196</v>
      </c>
      <c r="G124" s="1" t="s">
        <v>132</v>
      </c>
      <c r="H124" s="25"/>
      <c r="I124" s="25"/>
      <c r="J124" s="25"/>
      <c r="K124" s="25">
        <f t="shared" si="2"/>
        <v>7</v>
      </c>
      <c r="L124" s="25" t="str">
        <f t="shared" si="8"/>
        <v>الابراهيم</v>
      </c>
      <c r="M124" s="25" t="str">
        <f t="shared" si="3"/>
        <v>شهد بن ابراهيم بن عبدالكريم ابراهيم</v>
      </c>
      <c r="N124" s="25" t="str">
        <f t="shared" si="4"/>
        <v>شهد bin ابراهيم bin عبدالكريم Al-ابراهيم</v>
      </c>
      <c r="O124" s="25" t="str">
        <f t="shared" si="5"/>
        <v/>
      </c>
      <c r="P124" s="25">
        <f t="shared" si="6"/>
        <v>0</v>
      </c>
      <c r="Q124" s="25"/>
      <c r="R124" s="25"/>
      <c r="S124" s="25" t="str">
        <f t="shared" si="7"/>
        <v>Living</v>
      </c>
    </row>
    <row r="125" ht="15.75" hidden="1" customHeight="1">
      <c r="A125" s="25" t="str">
        <f t="shared" si="1"/>
        <v>P124</v>
      </c>
      <c r="B125" s="71" t="s">
        <v>187</v>
      </c>
      <c r="C125" s="71" t="s">
        <v>27</v>
      </c>
      <c r="D125" s="71" t="s">
        <v>96</v>
      </c>
      <c r="E125" s="71" t="s">
        <v>27</v>
      </c>
      <c r="F125" s="25" t="s">
        <v>196</v>
      </c>
      <c r="G125" s="1" t="s">
        <v>132</v>
      </c>
      <c r="H125" s="25"/>
      <c r="I125" s="25"/>
      <c r="J125" s="25"/>
      <c r="K125" s="25">
        <f t="shared" si="2"/>
        <v>7</v>
      </c>
      <c r="L125" s="25" t="str">
        <f t="shared" si="8"/>
        <v>الابراهيم</v>
      </c>
      <c r="M125" s="25" t="str">
        <f t="shared" si="3"/>
        <v>لمى بن ابراهيم بن عبدالكريم ابراهيم</v>
      </c>
      <c r="N125" s="25" t="str">
        <f t="shared" si="4"/>
        <v>لمى bin ابراهيم bin عبدالكريم Al-ابراهيم</v>
      </c>
      <c r="O125" s="25" t="str">
        <f t="shared" si="5"/>
        <v/>
      </c>
      <c r="P125" s="25">
        <f t="shared" si="6"/>
        <v>0</v>
      </c>
      <c r="Q125" s="25"/>
      <c r="R125" s="25"/>
      <c r="S125" s="25" t="str">
        <f t="shared" si="7"/>
        <v>Living</v>
      </c>
    </row>
    <row r="126" ht="15.75" hidden="1" customHeight="1">
      <c r="A126" s="25" t="str">
        <f t="shared" si="1"/>
        <v>P125</v>
      </c>
      <c r="B126" s="71" t="s">
        <v>149</v>
      </c>
      <c r="C126" s="71" t="s">
        <v>112</v>
      </c>
      <c r="D126" s="71" t="s">
        <v>27</v>
      </c>
      <c r="E126" s="71" t="s">
        <v>96</v>
      </c>
      <c r="F126" s="25" t="s">
        <v>200</v>
      </c>
      <c r="G126" s="1" t="s">
        <v>35</v>
      </c>
      <c r="H126" s="25"/>
      <c r="I126" s="25"/>
      <c r="J126" s="25"/>
      <c r="K126" s="25">
        <f t="shared" si="2"/>
        <v>8</v>
      </c>
      <c r="L126" s="25" t="str">
        <f t="shared" si="8"/>
        <v>الابراهيم</v>
      </c>
      <c r="M126" s="25" t="str">
        <f t="shared" si="3"/>
        <v>ريان بن خالد بن ابراهيم عبدالكريم</v>
      </c>
      <c r="N126" s="25" t="str">
        <f t="shared" si="4"/>
        <v>ريان bin خالد bin ابراهيم Al-عبدالكريم</v>
      </c>
      <c r="O126" s="25" t="str">
        <f t="shared" si="5"/>
        <v/>
      </c>
      <c r="P126" s="25">
        <f t="shared" si="6"/>
        <v>0</v>
      </c>
      <c r="Q126" s="25"/>
      <c r="R126" s="25"/>
      <c r="S126" s="25" t="str">
        <f t="shared" si="7"/>
        <v>Living</v>
      </c>
    </row>
    <row r="127" ht="15.75" hidden="1" customHeight="1">
      <c r="A127" s="25" t="str">
        <f t="shared" si="1"/>
        <v>P126</v>
      </c>
      <c r="B127" s="71" t="s">
        <v>96</v>
      </c>
      <c r="C127" s="71" t="s">
        <v>112</v>
      </c>
      <c r="D127" s="71" t="s">
        <v>27</v>
      </c>
      <c r="E127" s="71" t="s">
        <v>96</v>
      </c>
      <c r="F127" s="25" t="s">
        <v>200</v>
      </c>
      <c r="G127" s="1" t="s">
        <v>35</v>
      </c>
      <c r="H127" s="25"/>
      <c r="I127" s="25"/>
      <c r="J127" s="25"/>
      <c r="K127" s="25">
        <f t="shared" si="2"/>
        <v>8</v>
      </c>
      <c r="L127" s="25" t="str">
        <f t="shared" si="8"/>
        <v>الابراهيم</v>
      </c>
      <c r="M127" s="25" t="str">
        <f t="shared" si="3"/>
        <v>عبدالكريم بن خالد بن ابراهيم عبدالكريم</v>
      </c>
      <c r="N127" s="25" t="str">
        <f t="shared" si="4"/>
        <v>عبدالكريم bin خالد bin ابراهيم Al-عبدالكريم</v>
      </c>
      <c r="O127" s="25" t="str">
        <f t="shared" si="5"/>
        <v/>
      </c>
      <c r="P127" s="25">
        <f t="shared" si="6"/>
        <v>0</v>
      </c>
      <c r="Q127" s="25"/>
      <c r="R127" s="25"/>
      <c r="S127" s="25" t="str">
        <f t="shared" si="7"/>
        <v>Living</v>
      </c>
    </row>
    <row r="128" ht="15.75" hidden="1" customHeight="1">
      <c r="A128" s="25" t="str">
        <f t="shared" si="1"/>
        <v>P127</v>
      </c>
      <c r="B128" s="71" t="s">
        <v>105</v>
      </c>
      <c r="C128" s="71" t="s">
        <v>112</v>
      </c>
      <c r="D128" s="71" t="s">
        <v>27</v>
      </c>
      <c r="E128" s="71" t="s">
        <v>96</v>
      </c>
      <c r="F128" s="25" t="s">
        <v>200</v>
      </c>
      <c r="G128" s="1" t="s">
        <v>35</v>
      </c>
      <c r="H128" s="25"/>
      <c r="I128" s="25"/>
      <c r="J128" s="25"/>
      <c r="K128" s="25">
        <f t="shared" si="2"/>
        <v>8</v>
      </c>
      <c r="L128" s="25" t="str">
        <f t="shared" si="8"/>
        <v>الابراهيم</v>
      </c>
      <c r="M128" s="25" t="str">
        <f t="shared" si="3"/>
        <v>عبدالرحمن بن خالد بن ابراهيم عبدالكريم</v>
      </c>
      <c r="N128" s="25" t="str">
        <f t="shared" si="4"/>
        <v>عبدالرحمن bin خالد bin ابراهيم Al-عبدالكريم</v>
      </c>
      <c r="O128" s="25" t="str">
        <f t="shared" si="5"/>
        <v/>
      </c>
      <c r="P128" s="25">
        <f t="shared" si="6"/>
        <v>0</v>
      </c>
      <c r="Q128" s="25"/>
      <c r="R128" s="25"/>
      <c r="S128" s="25" t="str">
        <f t="shared" si="7"/>
        <v>Living</v>
      </c>
    </row>
    <row r="129" ht="15.75" hidden="1" customHeight="1">
      <c r="A129" s="25" t="str">
        <f t="shared" si="1"/>
        <v>P128</v>
      </c>
      <c r="B129" s="71" t="s">
        <v>201</v>
      </c>
      <c r="C129" s="71" t="s">
        <v>112</v>
      </c>
      <c r="D129" s="71" t="s">
        <v>27</v>
      </c>
      <c r="E129" s="71" t="s">
        <v>96</v>
      </c>
      <c r="F129" s="25" t="s">
        <v>200</v>
      </c>
      <c r="G129" s="1" t="s">
        <v>132</v>
      </c>
      <c r="H129" s="25"/>
      <c r="I129" s="25"/>
      <c r="J129" s="25"/>
      <c r="K129" s="25">
        <f t="shared" si="2"/>
        <v>8</v>
      </c>
      <c r="L129" s="25" t="str">
        <f t="shared" si="8"/>
        <v>الابراهيم</v>
      </c>
      <c r="M129" s="25" t="str">
        <f t="shared" si="3"/>
        <v>تالا بن خالد بن ابراهيم عبدالكريم</v>
      </c>
      <c r="N129" s="25" t="str">
        <f t="shared" si="4"/>
        <v>تالا bin خالد bin ابراهيم Al-عبدالكريم</v>
      </c>
      <c r="O129" s="25" t="str">
        <f t="shared" si="5"/>
        <v/>
      </c>
      <c r="P129" s="25">
        <f t="shared" si="6"/>
        <v>0</v>
      </c>
      <c r="Q129" s="25"/>
      <c r="R129" s="25"/>
      <c r="S129" s="25" t="str">
        <f t="shared" si="7"/>
        <v>Living</v>
      </c>
    </row>
    <row r="130" ht="15.75" hidden="1" customHeight="1">
      <c r="A130" s="25" t="str">
        <f t="shared" si="1"/>
        <v>P129</v>
      </c>
      <c r="B130" s="71" t="s">
        <v>141</v>
      </c>
      <c r="C130" s="71" t="s">
        <v>100</v>
      </c>
      <c r="D130" s="71" t="s">
        <v>96</v>
      </c>
      <c r="E130" s="71" t="s">
        <v>27</v>
      </c>
      <c r="F130" s="25" t="s">
        <v>202</v>
      </c>
      <c r="G130" s="1" t="s">
        <v>35</v>
      </c>
      <c r="H130" s="25"/>
      <c r="I130" s="25"/>
      <c r="J130" s="25"/>
      <c r="K130" s="25">
        <f t="shared" si="2"/>
        <v>7</v>
      </c>
      <c r="L130" s="25" t="str">
        <f t="shared" si="8"/>
        <v>الابراهيم</v>
      </c>
      <c r="M130" s="25" t="str">
        <f t="shared" si="3"/>
        <v>معاذ بن محمد بن عبدالكريم ابراهيم</v>
      </c>
      <c r="N130" s="25" t="str">
        <f t="shared" si="4"/>
        <v>معاذ bin محمد bin عبدالكريم Al-ابراهيم</v>
      </c>
      <c r="O130" s="25" t="str">
        <f t="shared" si="5"/>
        <v/>
      </c>
      <c r="P130" s="25">
        <f t="shared" si="6"/>
        <v>0</v>
      </c>
      <c r="Q130" s="25"/>
      <c r="R130" s="25"/>
      <c r="S130" s="25" t="str">
        <f t="shared" si="7"/>
        <v>Living</v>
      </c>
    </row>
    <row r="131" ht="15.75" hidden="1" customHeight="1">
      <c r="A131" s="25" t="str">
        <f t="shared" si="1"/>
        <v>P130</v>
      </c>
      <c r="B131" s="71" t="s">
        <v>121</v>
      </c>
      <c r="C131" s="71" t="s">
        <v>100</v>
      </c>
      <c r="D131" s="71" t="s">
        <v>96</v>
      </c>
      <c r="E131" s="71" t="s">
        <v>27</v>
      </c>
      <c r="F131" s="25" t="s">
        <v>202</v>
      </c>
      <c r="G131" s="1" t="s">
        <v>35</v>
      </c>
      <c r="H131" s="25"/>
      <c r="I131" s="25"/>
      <c r="J131" s="25"/>
      <c r="K131" s="25">
        <f t="shared" si="2"/>
        <v>7</v>
      </c>
      <c r="L131" s="25" t="str">
        <f t="shared" si="8"/>
        <v>الابراهيم</v>
      </c>
      <c r="M131" s="25" t="str">
        <f t="shared" si="3"/>
        <v>عبدالاله بن محمد بن عبدالكريم ابراهيم</v>
      </c>
      <c r="N131" s="25" t="str">
        <f t="shared" si="4"/>
        <v>عبدالاله bin محمد bin عبدالكريم Al-ابراهيم</v>
      </c>
      <c r="O131" s="25" t="str">
        <f t="shared" si="5"/>
        <v/>
      </c>
      <c r="P131" s="25">
        <f t="shared" si="6"/>
        <v>0</v>
      </c>
      <c r="Q131" s="25"/>
      <c r="R131" s="25"/>
      <c r="S131" s="25" t="str">
        <f t="shared" si="7"/>
        <v>Living</v>
      </c>
    </row>
    <row r="132" ht="15.75" hidden="1" customHeight="1">
      <c r="A132" s="25" t="str">
        <f t="shared" si="1"/>
        <v>P131</v>
      </c>
      <c r="B132" s="71" t="s">
        <v>203</v>
      </c>
      <c r="C132" s="71" t="s">
        <v>100</v>
      </c>
      <c r="D132" s="71" t="s">
        <v>96</v>
      </c>
      <c r="E132" s="71" t="s">
        <v>27</v>
      </c>
      <c r="F132" s="25" t="s">
        <v>202</v>
      </c>
      <c r="G132" s="1" t="s">
        <v>132</v>
      </c>
      <c r="H132" s="25"/>
      <c r="I132" s="25"/>
      <c r="J132" s="25"/>
      <c r="K132" s="25">
        <f t="shared" si="2"/>
        <v>7</v>
      </c>
      <c r="L132" s="25" t="str">
        <f t="shared" si="8"/>
        <v>الابراهيم</v>
      </c>
      <c r="M132" s="25" t="str">
        <f t="shared" si="3"/>
        <v>رنا بن محمد بن عبدالكريم ابراهيم</v>
      </c>
      <c r="N132" s="25" t="str">
        <f t="shared" si="4"/>
        <v>رنا bin محمد bin عبدالكريم Al-ابراهيم</v>
      </c>
      <c r="O132" s="25" t="str">
        <f t="shared" si="5"/>
        <v/>
      </c>
      <c r="P132" s="25">
        <f t="shared" si="6"/>
        <v>0</v>
      </c>
      <c r="Q132" s="25"/>
      <c r="R132" s="25"/>
      <c r="S132" s="25" t="str">
        <f t="shared" si="7"/>
        <v>Living</v>
      </c>
    </row>
    <row r="133" ht="15.75" hidden="1" customHeight="1">
      <c r="A133" s="25" t="str">
        <f t="shared" si="1"/>
        <v>P132</v>
      </c>
      <c r="B133" s="71" t="s">
        <v>204</v>
      </c>
      <c r="C133" s="71" t="s">
        <v>100</v>
      </c>
      <c r="D133" s="71" t="s">
        <v>96</v>
      </c>
      <c r="E133" s="71" t="s">
        <v>27</v>
      </c>
      <c r="F133" s="25" t="s">
        <v>202</v>
      </c>
      <c r="G133" s="1" t="s">
        <v>132</v>
      </c>
      <c r="H133" s="25"/>
      <c r="I133" s="25"/>
      <c r="J133" s="25"/>
      <c r="K133" s="25">
        <f t="shared" si="2"/>
        <v>7</v>
      </c>
      <c r="L133" s="25" t="str">
        <f t="shared" si="8"/>
        <v>الابراهيم</v>
      </c>
      <c r="M133" s="25" t="str">
        <f t="shared" si="3"/>
        <v>جدى بن محمد بن عبدالكريم ابراهيم</v>
      </c>
      <c r="N133" s="25" t="str">
        <f t="shared" si="4"/>
        <v>جدى bin محمد bin عبدالكريم Al-ابراهيم</v>
      </c>
      <c r="O133" s="25" t="str">
        <f t="shared" si="5"/>
        <v/>
      </c>
      <c r="P133" s="25">
        <f t="shared" si="6"/>
        <v>0</v>
      </c>
      <c r="Q133" s="25"/>
      <c r="R133" s="25"/>
      <c r="S133" s="25" t="str">
        <f t="shared" si="7"/>
        <v>Living</v>
      </c>
    </row>
    <row r="134" ht="15.75" hidden="1" customHeight="1">
      <c r="A134" s="25" t="str">
        <f t="shared" si="1"/>
        <v>P133</v>
      </c>
      <c r="B134" s="71" t="s">
        <v>205</v>
      </c>
      <c r="C134" s="71" t="s">
        <v>100</v>
      </c>
      <c r="D134" s="71" t="s">
        <v>96</v>
      </c>
      <c r="E134" s="71" t="s">
        <v>27</v>
      </c>
      <c r="F134" s="25" t="s">
        <v>202</v>
      </c>
      <c r="G134" s="1" t="s">
        <v>132</v>
      </c>
      <c r="H134" s="25"/>
      <c r="I134" s="25"/>
      <c r="J134" s="25"/>
      <c r="K134" s="25">
        <f t="shared" si="2"/>
        <v>7</v>
      </c>
      <c r="L134" s="25" t="str">
        <f t="shared" si="8"/>
        <v>الابراهيم</v>
      </c>
      <c r="M134" s="25" t="str">
        <f t="shared" si="3"/>
        <v>حور بن محمد بن عبدالكريم ابراهيم</v>
      </c>
      <c r="N134" s="25" t="str">
        <f t="shared" si="4"/>
        <v>حور bin محمد bin عبدالكريم Al-ابراهيم</v>
      </c>
      <c r="O134" s="25" t="str">
        <f t="shared" si="5"/>
        <v/>
      </c>
      <c r="P134" s="25">
        <f t="shared" si="6"/>
        <v>0</v>
      </c>
      <c r="Q134" s="25"/>
      <c r="R134" s="25"/>
      <c r="S134" s="25" t="str">
        <f t="shared" si="7"/>
        <v>Living</v>
      </c>
    </row>
    <row r="135" ht="15.75" hidden="1" customHeight="1">
      <c r="A135" s="25" t="str">
        <f t="shared" si="1"/>
        <v>P134</v>
      </c>
      <c r="B135" s="71" t="s">
        <v>206</v>
      </c>
      <c r="C135" s="71" t="s">
        <v>100</v>
      </c>
      <c r="D135" s="71" t="s">
        <v>96</v>
      </c>
      <c r="E135" s="71" t="s">
        <v>27</v>
      </c>
      <c r="F135" s="25" t="s">
        <v>202</v>
      </c>
      <c r="G135" s="1" t="s">
        <v>132</v>
      </c>
      <c r="H135" s="25"/>
      <c r="I135" s="25"/>
      <c r="J135" s="25"/>
      <c r="K135" s="25">
        <f t="shared" si="2"/>
        <v>7</v>
      </c>
      <c r="L135" s="25" t="str">
        <f t="shared" si="8"/>
        <v>الابراهيم</v>
      </c>
      <c r="M135" s="25" t="str">
        <f t="shared" si="3"/>
        <v>جود بن محمد بن عبدالكريم ابراهيم</v>
      </c>
      <c r="N135" s="25" t="str">
        <f t="shared" si="4"/>
        <v>جود bin محمد bin عبدالكريم Al-ابراهيم</v>
      </c>
      <c r="O135" s="25" t="str">
        <f t="shared" si="5"/>
        <v/>
      </c>
      <c r="P135" s="25">
        <f t="shared" si="6"/>
        <v>0</v>
      </c>
      <c r="Q135" s="25"/>
      <c r="R135" s="25"/>
      <c r="S135" s="25" t="str">
        <f t="shared" si="7"/>
        <v>Living</v>
      </c>
    </row>
    <row r="136" ht="15.75" hidden="1" customHeight="1">
      <c r="A136" s="25" t="str">
        <f t="shared" si="1"/>
        <v>P135</v>
      </c>
      <c r="B136" s="71" t="s">
        <v>140</v>
      </c>
      <c r="C136" s="71" t="s">
        <v>105</v>
      </c>
      <c r="D136" s="71" t="s">
        <v>96</v>
      </c>
      <c r="E136" s="71" t="s">
        <v>27</v>
      </c>
      <c r="F136" s="25" t="s">
        <v>207</v>
      </c>
      <c r="G136" s="1" t="s">
        <v>35</v>
      </c>
      <c r="H136" s="25"/>
      <c r="I136" s="25"/>
      <c r="J136" s="25"/>
      <c r="K136" s="25">
        <f t="shared" si="2"/>
        <v>7</v>
      </c>
      <c r="L136" s="25" t="str">
        <f t="shared" si="8"/>
        <v>الابراهيم</v>
      </c>
      <c r="M136" s="25" t="str">
        <f t="shared" si="3"/>
        <v>عبدالمجيد بن عبدالرحمن بن عبدالكريم ابراهيم</v>
      </c>
      <c r="N136" s="25" t="str">
        <f t="shared" si="4"/>
        <v>عبدالمجيد bin عبدالرحمن bin عبدالكريم Al-ابراهيم</v>
      </c>
      <c r="O136" s="25" t="str">
        <f t="shared" si="5"/>
        <v/>
      </c>
      <c r="P136" s="25">
        <f t="shared" si="6"/>
        <v>0</v>
      </c>
      <c r="Q136" s="25"/>
      <c r="R136" s="25"/>
      <c r="S136" s="25" t="str">
        <f t="shared" si="7"/>
        <v>Living</v>
      </c>
    </row>
    <row r="137" ht="15.75" hidden="1" customHeight="1">
      <c r="A137" s="25" t="str">
        <f t="shared" si="1"/>
        <v>P136</v>
      </c>
      <c r="B137" s="71" t="s">
        <v>208</v>
      </c>
      <c r="C137" s="71" t="s">
        <v>105</v>
      </c>
      <c r="D137" s="71" t="s">
        <v>96</v>
      </c>
      <c r="E137" s="71" t="s">
        <v>27</v>
      </c>
      <c r="F137" s="25" t="s">
        <v>207</v>
      </c>
      <c r="G137" s="1" t="s">
        <v>132</v>
      </c>
      <c r="H137" s="25"/>
      <c r="I137" s="25"/>
      <c r="J137" s="25"/>
      <c r="K137" s="25">
        <f t="shared" si="2"/>
        <v>7</v>
      </c>
      <c r="L137" s="25" t="str">
        <f t="shared" si="8"/>
        <v>الابراهيم</v>
      </c>
      <c r="M137" s="25" t="str">
        <f t="shared" si="3"/>
        <v>ألين بن عبدالرحمن بن عبدالكريم ابراهيم</v>
      </c>
      <c r="N137" s="25" t="str">
        <f t="shared" si="4"/>
        <v>ألين bin عبدالرحمن bin عبدالكريم Al-ابراهيم</v>
      </c>
      <c r="O137" s="25" t="str">
        <f t="shared" si="5"/>
        <v/>
      </c>
      <c r="P137" s="25">
        <f t="shared" si="6"/>
        <v>0</v>
      </c>
      <c r="Q137" s="25"/>
      <c r="R137" s="25"/>
      <c r="S137" s="25" t="str">
        <f t="shared" si="7"/>
        <v>Living</v>
      </c>
    </row>
    <row r="138" ht="15.75" hidden="1" customHeight="1">
      <c r="A138" s="25" t="str">
        <f t="shared" si="1"/>
        <v>P137</v>
      </c>
      <c r="B138" s="71" t="s">
        <v>209</v>
      </c>
      <c r="C138" s="71" t="s">
        <v>105</v>
      </c>
      <c r="D138" s="71" t="s">
        <v>96</v>
      </c>
      <c r="E138" s="71" t="s">
        <v>27</v>
      </c>
      <c r="F138" s="25" t="s">
        <v>207</v>
      </c>
      <c r="G138" s="1" t="s">
        <v>132</v>
      </c>
      <c r="H138" s="25"/>
      <c r="I138" s="25"/>
      <c r="J138" s="25"/>
      <c r="K138" s="25">
        <f t="shared" si="2"/>
        <v>7</v>
      </c>
      <c r="L138" s="25" t="str">
        <f t="shared" si="8"/>
        <v>الابراهيم</v>
      </c>
      <c r="M138" s="25" t="str">
        <f t="shared" si="3"/>
        <v>جنى بن عبدالرحمن بن عبدالكريم ابراهيم</v>
      </c>
      <c r="N138" s="25" t="str">
        <f t="shared" si="4"/>
        <v>جنى bin عبدالرحمن bin عبدالكريم Al-ابراهيم</v>
      </c>
      <c r="O138" s="25" t="str">
        <f t="shared" si="5"/>
        <v/>
      </c>
      <c r="P138" s="25">
        <f t="shared" si="6"/>
        <v>0</v>
      </c>
      <c r="Q138" s="25"/>
      <c r="R138" s="25"/>
      <c r="S138" s="25" t="str">
        <f t="shared" si="7"/>
        <v>Living</v>
      </c>
    </row>
    <row r="139" ht="15.75" hidden="1" customHeight="1">
      <c r="A139" s="25" t="str">
        <f t="shared" si="1"/>
        <v>P138</v>
      </c>
      <c r="B139" s="71" t="s">
        <v>210</v>
      </c>
      <c r="C139" s="71" t="s">
        <v>105</v>
      </c>
      <c r="D139" s="71" t="s">
        <v>96</v>
      </c>
      <c r="E139" s="71" t="s">
        <v>27</v>
      </c>
      <c r="F139" s="25" t="s">
        <v>207</v>
      </c>
      <c r="G139" s="1" t="s">
        <v>132</v>
      </c>
      <c r="H139" s="25"/>
      <c r="I139" s="25"/>
      <c r="J139" s="25"/>
      <c r="K139" s="25">
        <f t="shared" si="2"/>
        <v>7</v>
      </c>
      <c r="L139" s="25" t="str">
        <f t="shared" si="8"/>
        <v>الابراهيم</v>
      </c>
      <c r="M139" s="25" t="str">
        <f t="shared" si="3"/>
        <v>لطيفة بن عبدالرحمن بن عبدالكريم ابراهيم</v>
      </c>
      <c r="N139" s="25" t="str">
        <f t="shared" si="4"/>
        <v>لطيفة bin عبدالرحمن bin عبدالكريم Al-ابراهيم</v>
      </c>
      <c r="O139" s="25" t="str">
        <f t="shared" si="5"/>
        <v/>
      </c>
      <c r="P139" s="25">
        <f t="shared" si="6"/>
        <v>0</v>
      </c>
      <c r="Q139" s="25"/>
      <c r="R139" s="25"/>
      <c r="S139" s="25" t="str">
        <f t="shared" si="7"/>
        <v>Living</v>
      </c>
    </row>
    <row r="140" ht="15.75" hidden="1" customHeight="1">
      <c r="A140" s="25" t="str">
        <f t="shared" si="1"/>
        <v>P139</v>
      </c>
      <c r="B140" s="71" t="s">
        <v>142</v>
      </c>
      <c r="C140" s="71" t="s">
        <v>119</v>
      </c>
      <c r="D140" s="71" t="s">
        <v>96</v>
      </c>
      <c r="E140" s="71" t="s">
        <v>27</v>
      </c>
      <c r="F140" s="25" t="s">
        <v>211</v>
      </c>
      <c r="G140" s="1" t="s">
        <v>35</v>
      </c>
      <c r="H140" s="25"/>
      <c r="I140" s="25"/>
      <c r="J140" s="25"/>
      <c r="K140" s="25">
        <f t="shared" si="2"/>
        <v>8</v>
      </c>
      <c r="L140" s="25" t="str">
        <f t="shared" si="8"/>
        <v>الابراهيم</v>
      </c>
      <c r="M140" s="25" t="str">
        <f t="shared" si="3"/>
        <v>تميم بن عبدالله بن عبدالكريم ابراهيم</v>
      </c>
      <c r="N140" s="25" t="str">
        <f t="shared" si="4"/>
        <v>تميم bin عبدالله bin عبدالكريم Al-ابراهيم</v>
      </c>
      <c r="O140" s="25" t="str">
        <f t="shared" si="5"/>
        <v/>
      </c>
      <c r="P140" s="25">
        <f t="shared" si="6"/>
        <v>0</v>
      </c>
      <c r="Q140" s="25"/>
      <c r="R140" s="25"/>
      <c r="S140" s="25" t="str">
        <f t="shared" si="7"/>
        <v>Living</v>
      </c>
    </row>
    <row r="141" ht="15.75" hidden="1" customHeight="1">
      <c r="A141" s="25" t="str">
        <f t="shared" si="1"/>
        <v>P140</v>
      </c>
      <c r="B141" s="71" t="s">
        <v>212</v>
      </c>
      <c r="C141" s="71" t="s">
        <v>119</v>
      </c>
      <c r="D141" s="71" t="s">
        <v>96</v>
      </c>
      <c r="E141" s="71" t="s">
        <v>27</v>
      </c>
      <c r="F141" s="25" t="s">
        <v>211</v>
      </c>
      <c r="G141" s="1" t="s">
        <v>35</v>
      </c>
      <c r="H141" s="25"/>
      <c r="I141" s="25"/>
      <c r="J141" s="25"/>
      <c r="K141" s="25">
        <f t="shared" si="2"/>
        <v>8</v>
      </c>
      <c r="L141" s="25" t="str">
        <f t="shared" si="8"/>
        <v>الابراهيم</v>
      </c>
      <c r="M141" s="25" t="str">
        <f t="shared" si="3"/>
        <v>مهند بن عبدالله بن عبدالكريم ابراهيم</v>
      </c>
      <c r="N141" s="25" t="str">
        <f t="shared" si="4"/>
        <v>مهند bin عبدالله bin عبدالكريم Al-ابراهيم</v>
      </c>
      <c r="O141" s="25" t="str">
        <f t="shared" si="5"/>
        <v/>
      </c>
      <c r="P141" s="25">
        <f t="shared" si="6"/>
        <v>0</v>
      </c>
      <c r="Q141" s="25"/>
      <c r="R141" s="25"/>
      <c r="S141" s="25" t="str">
        <f t="shared" si="7"/>
        <v>Living</v>
      </c>
    </row>
    <row r="142" ht="15.75" hidden="1" customHeight="1">
      <c r="A142" s="25" t="str">
        <f t="shared" si="1"/>
        <v>P141</v>
      </c>
      <c r="B142" s="71" t="s">
        <v>213</v>
      </c>
      <c r="C142" s="71" t="s">
        <v>119</v>
      </c>
      <c r="D142" s="71" t="s">
        <v>96</v>
      </c>
      <c r="E142" s="71" t="s">
        <v>27</v>
      </c>
      <c r="F142" s="25" t="s">
        <v>211</v>
      </c>
      <c r="G142" s="1" t="s">
        <v>132</v>
      </c>
      <c r="H142" s="25"/>
      <c r="I142" s="25"/>
      <c r="J142" s="25"/>
      <c r="K142" s="25">
        <f t="shared" si="2"/>
        <v>8</v>
      </c>
      <c r="L142" s="25" t="str">
        <f t="shared" si="8"/>
        <v>الابراهيم</v>
      </c>
      <c r="M142" s="25" t="str">
        <f t="shared" si="3"/>
        <v>رفيف بن عبدالله بن عبدالكريم ابراهيم</v>
      </c>
      <c r="N142" s="25" t="str">
        <f t="shared" si="4"/>
        <v>رفيف bin عبدالله bin عبدالكريم Al-ابراهيم</v>
      </c>
      <c r="O142" s="25" t="str">
        <f t="shared" si="5"/>
        <v/>
      </c>
      <c r="P142" s="25">
        <f t="shared" si="6"/>
        <v>0</v>
      </c>
      <c r="Q142" s="25"/>
      <c r="R142" s="25"/>
      <c r="S142" s="25" t="str">
        <f t="shared" si="7"/>
        <v>Living</v>
      </c>
    </row>
    <row r="143" ht="15.75" hidden="1" customHeight="1">
      <c r="A143" s="25" t="str">
        <f t="shared" si="1"/>
        <v>P142</v>
      </c>
      <c r="B143" s="71" t="s">
        <v>193</v>
      </c>
      <c r="C143" s="71" t="s">
        <v>119</v>
      </c>
      <c r="D143" s="71" t="s">
        <v>96</v>
      </c>
      <c r="E143" s="71" t="s">
        <v>27</v>
      </c>
      <c r="F143" s="25" t="s">
        <v>211</v>
      </c>
      <c r="G143" s="1" t="s">
        <v>132</v>
      </c>
      <c r="H143" s="25"/>
      <c r="I143" s="25"/>
      <c r="J143" s="25"/>
      <c r="K143" s="25">
        <f t="shared" si="2"/>
        <v>8</v>
      </c>
      <c r="L143" s="25" t="str">
        <f t="shared" si="8"/>
        <v>الابراهيم</v>
      </c>
      <c r="M143" s="25" t="str">
        <f t="shared" si="3"/>
        <v>ديم بن عبدالله بن عبدالكريم ابراهيم</v>
      </c>
      <c r="N143" s="25" t="str">
        <f t="shared" si="4"/>
        <v>ديم bin عبدالله bin عبدالكريم Al-ابراهيم</v>
      </c>
      <c r="O143" s="25" t="str">
        <f t="shared" si="5"/>
        <v/>
      </c>
      <c r="P143" s="25">
        <f t="shared" si="6"/>
        <v>0</v>
      </c>
      <c r="Q143" s="25"/>
      <c r="R143" s="25"/>
      <c r="S143" s="25" t="str">
        <f t="shared" si="7"/>
        <v>Living</v>
      </c>
    </row>
    <row r="144" ht="15.75" hidden="1" customHeight="1">
      <c r="A144" s="25" t="str">
        <f t="shared" si="1"/>
        <v>P143</v>
      </c>
      <c r="B144" s="71" t="s">
        <v>214</v>
      </c>
      <c r="C144" s="71" t="s">
        <v>119</v>
      </c>
      <c r="D144" s="71" t="s">
        <v>96</v>
      </c>
      <c r="E144" s="71" t="s">
        <v>27</v>
      </c>
      <c r="F144" s="25" t="s">
        <v>211</v>
      </c>
      <c r="G144" s="1" t="s">
        <v>132</v>
      </c>
      <c r="H144" s="25"/>
      <c r="I144" s="25"/>
      <c r="J144" s="25"/>
      <c r="K144" s="25">
        <f t="shared" si="2"/>
        <v>8</v>
      </c>
      <c r="L144" s="25" t="str">
        <f t="shared" si="8"/>
        <v>الابراهيم</v>
      </c>
      <c r="M144" s="25" t="str">
        <f t="shared" si="3"/>
        <v>لين بن عبدالله بن عبدالكريم ابراهيم</v>
      </c>
      <c r="N144" s="25" t="str">
        <f t="shared" si="4"/>
        <v>لين bin عبدالله bin عبدالكريم Al-ابراهيم</v>
      </c>
      <c r="O144" s="25" t="str">
        <f t="shared" si="5"/>
        <v/>
      </c>
      <c r="P144" s="25">
        <f t="shared" si="6"/>
        <v>0</v>
      </c>
      <c r="Q144" s="25"/>
      <c r="R144" s="25"/>
      <c r="S144" s="25" t="str">
        <f t="shared" si="7"/>
        <v>Living</v>
      </c>
    </row>
    <row r="145" ht="15.75" hidden="1" customHeight="1">
      <c r="A145" s="25" t="str">
        <f t="shared" si="1"/>
        <v>P144</v>
      </c>
      <c r="B145" s="71" t="s">
        <v>119</v>
      </c>
      <c r="C145" s="71" t="s">
        <v>108</v>
      </c>
      <c r="D145" s="71" t="s">
        <v>96</v>
      </c>
      <c r="E145" s="71" t="s">
        <v>27</v>
      </c>
      <c r="F145" s="25" t="s">
        <v>215</v>
      </c>
      <c r="G145" s="1" t="s">
        <v>35</v>
      </c>
      <c r="H145" s="25"/>
      <c r="I145" s="25"/>
      <c r="J145" s="25"/>
      <c r="K145" s="25">
        <f t="shared" si="2"/>
        <v>8</v>
      </c>
      <c r="L145" s="25" t="str">
        <f t="shared" si="8"/>
        <v>الابراهيم</v>
      </c>
      <c r="M145" s="25" t="str">
        <f t="shared" si="3"/>
        <v>عبدالله بن عبدالعزيز بن عبدالكريم ابراهيم</v>
      </c>
      <c r="N145" s="25" t="str">
        <f t="shared" si="4"/>
        <v>عبدالله bin عبدالعزيز bin عبدالكريم Al-ابراهيم</v>
      </c>
      <c r="O145" s="25" t="str">
        <f t="shared" si="5"/>
        <v/>
      </c>
      <c r="P145" s="25">
        <f t="shared" si="6"/>
        <v>0</v>
      </c>
      <c r="Q145" s="25"/>
      <c r="R145" s="25"/>
      <c r="S145" s="25" t="str">
        <f t="shared" si="7"/>
        <v>Living</v>
      </c>
    </row>
    <row r="146" ht="15.75" hidden="1" customHeight="1">
      <c r="A146" s="25" t="str">
        <f t="shared" si="1"/>
        <v>P145</v>
      </c>
      <c r="B146" s="71" t="s">
        <v>190</v>
      </c>
      <c r="C146" s="71" t="s">
        <v>96</v>
      </c>
      <c r="D146" s="71" t="s">
        <v>27</v>
      </c>
      <c r="E146" s="71" t="s">
        <v>102</v>
      </c>
      <c r="F146" s="25" t="s">
        <v>195</v>
      </c>
      <c r="G146" s="1" t="s">
        <v>132</v>
      </c>
      <c r="H146" s="25"/>
      <c r="I146" s="25"/>
      <c r="J146" s="25"/>
      <c r="K146" s="25">
        <f t="shared" si="2"/>
        <v>6</v>
      </c>
      <c r="L146" s="25" t="str">
        <f t="shared" si="8"/>
        <v>الابراهيم</v>
      </c>
      <c r="M146" s="25" t="str">
        <f t="shared" si="3"/>
        <v>الجوهرة بن عبدالكريم بن ابراهيم ناصر</v>
      </c>
      <c r="N146" s="25" t="str">
        <f t="shared" si="4"/>
        <v>الجوهرة bin عبدالكريم bin ابراهيم Al-ناصر</v>
      </c>
      <c r="O146" s="25" t="str">
        <f t="shared" si="5"/>
        <v/>
      </c>
      <c r="P146" s="25">
        <f t="shared" si="6"/>
        <v>0</v>
      </c>
      <c r="Q146" s="25"/>
      <c r="R146" s="25"/>
      <c r="S146" s="25" t="str">
        <f t="shared" si="7"/>
        <v>Living</v>
      </c>
    </row>
    <row r="147" ht="15.75" hidden="1" customHeight="1">
      <c r="A147" s="25" t="str">
        <f t="shared" si="1"/>
        <v>P146</v>
      </c>
      <c r="B147" s="71" t="s">
        <v>216</v>
      </c>
      <c r="C147" s="71" t="s">
        <v>96</v>
      </c>
      <c r="D147" s="71" t="s">
        <v>27</v>
      </c>
      <c r="E147" s="71" t="s">
        <v>102</v>
      </c>
      <c r="F147" s="25" t="s">
        <v>195</v>
      </c>
      <c r="G147" s="1" t="s">
        <v>132</v>
      </c>
      <c r="H147" s="25"/>
      <c r="I147" s="25"/>
      <c r="J147" s="25"/>
      <c r="K147" s="25">
        <f t="shared" si="2"/>
        <v>6</v>
      </c>
      <c r="L147" s="25" t="str">
        <f t="shared" si="8"/>
        <v>الابراهيم</v>
      </c>
      <c r="M147" s="25" t="str">
        <f t="shared" si="3"/>
        <v>قماشة بن عبدالكريم بن ابراهيم ناصر</v>
      </c>
      <c r="N147" s="25" t="str">
        <f t="shared" si="4"/>
        <v>قماشة bin عبدالكريم bin ابراهيم Al-ناصر</v>
      </c>
      <c r="O147" s="25" t="str">
        <f t="shared" si="5"/>
        <v/>
      </c>
      <c r="P147" s="25">
        <f t="shared" si="6"/>
        <v>0</v>
      </c>
      <c r="Q147" s="25"/>
      <c r="R147" s="25"/>
      <c r="S147" s="25" t="str">
        <f t="shared" si="7"/>
        <v>Living</v>
      </c>
    </row>
    <row r="148" ht="15.75" hidden="1" customHeight="1">
      <c r="A148" s="25" t="str">
        <f t="shared" si="1"/>
        <v>P147</v>
      </c>
      <c r="B148" s="71" t="s">
        <v>217</v>
      </c>
      <c r="C148" s="71" t="s">
        <v>96</v>
      </c>
      <c r="D148" s="71" t="s">
        <v>27</v>
      </c>
      <c r="E148" s="71" t="s">
        <v>102</v>
      </c>
      <c r="F148" s="25" t="s">
        <v>195</v>
      </c>
      <c r="G148" s="1" t="s">
        <v>132</v>
      </c>
      <c r="H148" s="25"/>
      <c r="I148" s="25"/>
      <c r="J148" s="25"/>
      <c r="K148" s="25">
        <f t="shared" si="2"/>
        <v>6</v>
      </c>
      <c r="L148" s="25" t="str">
        <f t="shared" si="8"/>
        <v>الابراهيم</v>
      </c>
      <c r="M148" s="25" t="str">
        <f t="shared" si="3"/>
        <v>منيرة بن عبدالكريم بن ابراهيم ناصر</v>
      </c>
      <c r="N148" s="25" t="str">
        <f t="shared" si="4"/>
        <v>منيرة bin عبدالكريم bin ابراهيم Al-ناصر</v>
      </c>
      <c r="O148" s="25" t="str">
        <f t="shared" si="5"/>
        <v/>
      </c>
      <c r="P148" s="25">
        <f t="shared" si="6"/>
        <v>0</v>
      </c>
      <c r="Q148" s="25"/>
      <c r="R148" s="25"/>
      <c r="S148" s="25" t="str">
        <f t="shared" si="7"/>
        <v>Living</v>
      </c>
    </row>
    <row r="149" ht="15.75" hidden="1" customHeight="1">
      <c r="A149" s="25" t="str">
        <f t="shared" si="1"/>
        <v>P148</v>
      </c>
      <c r="B149" s="71" t="s">
        <v>218</v>
      </c>
      <c r="C149" s="71" t="s">
        <v>96</v>
      </c>
      <c r="D149" s="71" t="s">
        <v>27</v>
      </c>
      <c r="E149" s="71" t="s">
        <v>102</v>
      </c>
      <c r="F149" s="25" t="s">
        <v>195</v>
      </c>
      <c r="G149" s="1" t="s">
        <v>132</v>
      </c>
      <c r="H149" s="25"/>
      <c r="I149" s="25"/>
      <c r="J149" s="25"/>
      <c r="K149" s="25">
        <f t="shared" si="2"/>
        <v>6</v>
      </c>
      <c r="L149" s="25" t="str">
        <f t="shared" si="8"/>
        <v>الابراهيم</v>
      </c>
      <c r="M149" s="25" t="str">
        <f t="shared" si="3"/>
        <v>فوزية بن عبدالكريم بن ابراهيم ناصر</v>
      </c>
      <c r="N149" s="25" t="str">
        <f t="shared" si="4"/>
        <v>فوزية bin عبدالكريم bin ابراهيم Al-ناصر</v>
      </c>
      <c r="O149" s="25" t="str">
        <f t="shared" si="5"/>
        <v/>
      </c>
      <c r="P149" s="25">
        <f t="shared" si="6"/>
        <v>0</v>
      </c>
      <c r="Q149" s="25"/>
      <c r="R149" s="25"/>
      <c r="S149" s="25" t="str">
        <f t="shared" si="7"/>
        <v>Living</v>
      </c>
    </row>
    <row r="150" ht="15.75" hidden="1" customHeight="1">
      <c r="A150" s="25" t="str">
        <f t="shared" si="1"/>
        <v>P149</v>
      </c>
      <c r="B150" s="71" t="s">
        <v>219</v>
      </c>
      <c r="C150" s="71" t="s">
        <v>96</v>
      </c>
      <c r="D150" s="71" t="s">
        <v>27</v>
      </c>
      <c r="E150" s="71" t="s">
        <v>102</v>
      </c>
      <c r="F150" s="25" t="s">
        <v>195</v>
      </c>
      <c r="G150" s="1" t="s">
        <v>132</v>
      </c>
      <c r="H150" s="25"/>
      <c r="I150" s="25"/>
      <c r="J150" s="25"/>
      <c r="K150" s="25">
        <f t="shared" si="2"/>
        <v>6</v>
      </c>
      <c r="L150" s="25" t="str">
        <f t="shared" si="8"/>
        <v>الابراهيم</v>
      </c>
      <c r="M150" s="25" t="str">
        <f t="shared" si="3"/>
        <v>جميلة بن عبدالكريم بن ابراهيم ناصر</v>
      </c>
      <c r="N150" s="25" t="str">
        <f t="shared" si="4"/>
        <v>جميلة bin عبدالكريم bin ابراهيم Al-ناصر</v>
      </c>
      <c r="O150" s="25" t="str">
        <f t="shared" si="5"/>
        <v/>
      </c>
      <c r="P150" s="25">
        <f t="shared" si="6"/>
        <v>0</v>
      </c>
      <c r="Q150" s="25"/>
      <c r="R150" s="25"/>
      <c r="S150" s="25" t="str">
        <f t="shared" si="7"/>
        <v>Living</v>
      </c>
    </row>
    <row r="151" ht="15.75" hidden="1" customHeight="1">
      <c r="A151" s="25" t="str">
        <f t="shared" si="1"/>
        <v>P150</v>
      </c>
      <c r="B151" s="71" t="s">
        <v>220</v>
      </c>
      <c r="C151" s="71" t="s">
        <v>96</v>
      </c>
      <c r="D151" s="71" t="s">
        <v>27</v>
      </c>
      <c r="E151" s="71" t="s">
        <v>102</v>
      </c>
      <c r="F151" s="25" t="s">
        <v>195</v>
      </c>
      <c r="G151" s="1" t="s">
        <v>132</v>
      </c>
      <c r="H151" s="25"/>
      <c r="I151" s="25"/>
      <c r="J151" s="25"/>
      <c r="K151" s="25">
        <f t="shared" si="2"/>
        <v>6</v>
      </c>
      <c r="L151" s="25" t="str">
        <f t="shared" si="8"/>
        <v>الابراهيم</v>
      </c>
      <c r="M151" s="25" t="str">
        <f t="shared" si="3"/>
        <v>وفاء بن عبدالكريم بن ابراهيم ناصر</v>
      </c>
      <c r="N151" s="25" t="str">
        <f t="shared" si="4"/>
        <v>وفاء bin عبدالكريم bin ابراهيم Al-ناصر</v>
      </c>
      <c r="O151" s="25" t="str">
        <f t="shared" si="5"/>
        <v/>
      </c>
      <c r="P151" s="25">
        <f t="shared" si="6"/>
        <v>0</v>
      </c>
      <c r="Q151" s="25"/>
      <c r="R151" s="25"/>
      <c r="S151" s="25" t="str">
        <f t="shared" si="7"/>
        <v>Living</v>
      </c>
    </row>
    <row r="152" ht="15.75" hidden="1" customHeight="1">
      <c r="A152" s="25" t="str">
        <f t="shared" si="1"/>
        <v>P151</v>
      </c>
      <c r="B152" s="71" t="s">
        <v>170</v>
      </c>
      <c r="C152" s="71" t="s">
        <v>105</v>
      </c>
      <c r="D152" s="71" t="s">
        <v>27</v>
      </c>
      <c r="E152" s="71" t="s">
        <v>102</v>
      </c>
      <c r="F152" s="25" t="s">
        <v>127</v>
      </c>
      <c r="G152" s="1" t="s">
        <v>132</v>
      </c>
      <c r="H152" s="25"/>
      <c r="I152" s="25"/>
      <c r="J152" s="25"/>
      <c r="K152" s="25">
        <f t="shared" si="2"/>
        <v>6</v>
      </c>
      <c r="L152" s="25" t="str">
        <f t="shared" si="8"/>
        <v>الابراهيم</v>
      </c>
      <c r="M152" s="25" t="str">
        <f t="shared" si="3"/>
        <v>نورة بن عبدالرحمن بن ابراهيم ناصر</v>
      </c>
      <c r="N152" s="25" t="str">
        <f t="shared" si="4"/>
        <v>نورة bin عبدالرحمن bin ابراهيم Al-ناصر</v>
      </c>
      <c r="O152" s="25" t="str">
        <f t="shared" si="5"/>
        <v/>
      </c>
      <c r="P152" s="25">
        <f t="shared" si="6"/>
        <v>0</v>
      </c>
      <c r="Q152" s="25"/>
      <c r="R152" s="25"/>
      <c r="S152" s="25" t="str">
        <f t="shared" si="7"/>
        <v>Living</v>
      </c>
    </row>
    <row r="153" ht="15.75" hidden="1" customHeight="1">
      <c r="A153" s="25" t="str">
        <f t="shared" si="1"/>
        <v>P152</v>
      </c>
      <c r="B153" s="71" t="s">
        <v>221</v>
      </c>
      <c r="C153" s="71" t="s">
        <v>105</v>
      </c>
      <c r="D153" s="71" t="s">
        <v>27</v>
      </c>
      <c r="E153" s="71" t="s">
        <v>102</v>
      </c>
      <c r="F153" s="25" t="s">
        <v>127</v>
      </c>
      <c r="G153" s="1" t="s">
        <v>132</v>
      </c>
      <c r="H153" s="25"/>
      <c r="I153" s="25"/>
      <c r="J153" s="25"/>
      <c r="K153" s="25">
        <f t="shared" si="2"/>
        <v>6</v>
      </c>
      <c r="L153" s="25" t="str">
        <f t="shared" si="8"/>
        <v>الابراهيم</v>
      </c>
      <c r="M153" s="25" t="str">
        <f t="shared" si="3"/>
        <v>منى بن عبدالرحمن بن ابراهيم ناصر</v>
      </c>
      <c r="N153" s="25" t="str">
        <f t="shared" si="4"/>
        <v>منى bin عبدالرحمن bin ابراهيم Al-ناصر</v>
      </c>
      <c r="O153" s="25" t="str">
        <f t="shared" si="5"/>
        <v/>
      </c>
      <c r="P153" s="25">
        <f t="shared" si="6"/>
        <v>0</v>
      </c>
      <c r="Q153" s="25"/>
      <c r="R153" s="25"/>
      <c r="S153" s="25" t="str">
        <f t="shared" si="7"/>
        <v>Living</v>
      </c>
    </row>
    <row r="154" ht="15.75" hidden="1" customHeight="1">
      <c r="A154" s="72" t="str">
        <f t="shared" si="1"/>
        <v>P153</v>
      </c>
      <c r="B154" s="71" t="s">
        <v>108</v>
      </c>
      <c r="C154" s="73" t="s">
        <v>98</v>
      </c>
      <c r="D154" s="73" t="s">
        <v>31</v>
      </c>
      <c r="E154" s="1" t="s">
        <v>93</v>
      </c>
      <c r="F154" s="1" t="s">
        <v>222</v>
      </c>
      <c r="G154" s="1" t="s">
        <v>35</v>
      </c>
      <c r="H154" s="25"/>
      <c r="I154" s="25"/>
      <c r="J154" s="25"/>
      <c r="K154" s="25">
        <f t="shared" si="2"/>
        <v>3</v>
      </c>
      <c r="L154" s="25" t="str">
        <f t="shared" si="8"/>
        <v>الفوزان</v>
      </c>
      <c r="M154" s="25" t="str">
        <f t="shared" si="3"/>
        <v>عبدالعزيز بن فوزان بن حمد -</v>
      </c>
      <c r="N154" s="25" t="str">
        <f t="shared" si="4"/>
        <v>عبدالعزيز bin فوزان bin حمد Al--</v>
      </c>
      <c r="O154" s="25" t="str">
        <f t="shared" si="5"/>
        <v/>
      </c>
      <c r="P154" s="25">
        <f t="shared" si="6"/>
        <v>0</v>
      </c>
      <c r="Q154" s="25"/>
      <c r="R154" s="25"/>
      <c r="S154" s="25" t="str">
        <f t="shared" si="7"/>
        <v>Living</v>
      </c>
    </row>
    <row r="155" ht="15.75" hidden="1" customHeight="1">
      <c r="A155" s="25" t="str">
        <f t="shared" si="1"/>
        <v>P154</v>
      </c>
      <c r="B155" s="71" t="s">
        <v>100</v>
      </c>
      <c r="C155" s="73" t="s">
        <v>98</v>
      </c>
      <c r="D155" s="73" t="s">
        <v>31</v>
      </c>
      <c r="E155" s="1" t="s">
        <v>93</v>
      </c>
      <c r="F155" s="1" t="s">
        <v>222</v>
      </c>
      <c r="G155" s="1" t="s">
        <v>35</v>
      </c>
      <c r="H155" s="25"/>
      <c r="I155" s="25"/>
      <c r="J155" s="25"/>
      <c r="K155" s="25">
        <f t="shared" si="2"/>
        <v>3</v>
      </c>
      <c r="L155" s="25" t="str">
        <f t="shared" si="8"/>
        <v>الفوزان</v>
      </c>
      <c r="M155" s="25" t="str">
        <f t="shared" si="3"/>
        <v>محمد بن فوزان بن حمد -</v>
      </c>
      <c r="N155" s="25" t="str">
        <f t="shared" si="4"/>
        <v>محمد bin فوزان bin حمد Al--</v>
      </c>
      <c r="O155" s="25" t="str">
        <f t="shared" si="5"/>
        <v/>
      </c>
      <c r="P155" s="25">
        <f t="shared" si="6"/>
        <v>0</v>
      </c>
      <c r="Q155" s="25"/>
      <c r="R155" s="25"/>
      <c r="S155" s="25" t="str">
        <f t="shared" si="7"/>
        <v>Living</v>
      </c>
    </row>
    <row r="156" ht="15.75" hidden="1" customHeight="1">
      <c r="A156" s="25" t="str">
        <f t="shared" si="1"/>
        <v>P155</v>
      </c>
      <c r="B156" s="71" t="s">
        <v>119</v>
      </c>
      <c r="C156" s="71" t="s">
        <v>108</v>
      </c>
      <c r="D156" s="73" t="s">
        <v>98</v>
      </c>
      <c r="E156" s="73" t="s">
        <v>31</v>
      </c>
      <c r="F156" s="72" t="s">
        <v>223</v>
      </c>
      <c r="G156" s="1" t="s">
        <v>35</v>
      </c>
      <c r="H156" s="25"/>
      <c r="I156" s="25"/>
      <c r="J156" s="25"/>
      <c r="K156" s="25">
        <f t="shared" si="2"/>
        <v>4</v>
      </c>
      <c r="L156" s="25" t="str">
        <f t="shared" si="8"/>
        <v>الفوزان</v>
      </c>
      <c r="M156" s="25" t="str">
        <f t="shared" si="3"/>
        <v>عبدالله بن عبدالعزيز بن فوزان حمد</v>
      </c>
      <c r="N156" s="25" t="str">
        <f t="shared" si="4"/>
        <v>عبدالله bin عبدالعزيز bin فوزان Al-حمد</v>
      </c>
      <c r="O156" s="25" t="str">
        <f t="shared" si="5"/>
        <v/>
      </c>
      <c r="P156" s="25">
        <f t="shared" si="6"/>
        <v>0</v>
      </c>
      <c r="Q156" s="25"/>
      <c r="R156" s="25"/>
      <c r="S156" s="25" t="str">
        <f t="shared" si="7"/>
        <v>Living</v>
      </c>
    </row>
    <row r="157" ht="15.75" hidden="1" customHeight="1">
      <c r="A157" s="25" t="str">
        <f t="shared" si="1"/>
        <v>P156</v>
      </c>
      <c r="B157" s="71" t="s">
        <v>108</v>
      </c>
      <c r="C157" s="71" t="s">
        <v>119</v>
      </c>
      <c r="D157" s="71" t="s">
        <v>108</v>
      </c>
      <c r="E157" s="73" t="s">
        <v>98</v>
      </c>
      <c r="F157" s="25" t="s">
        <v>224</v>
      </c>
      <c r="G157" s="1" t="s">
        <v>35</v>
      </c>
      <c r="H157" s="25"/>
      <c r="I157" s="25"/>
      <c r="J157" s="25"/>
      <c r="K157" s="25">
        <f t="shared" si="2"/>
        <v>5</v>
      </c>
      <c r="L157" s="25" t="str">
        <f t="shared" si="8"/>
        <v>الفوزان</v>
      </c>
      <c r="M157" s="25" t="str">
        <f t="shared" si="3"/>
        <v>عبدالعزيز بن عبدالله بن عبدالعزيز فوزان</v>
      </c>
      <c r="N157" s="25" t="str">
        <f t="shared" si="4"/>
        <v>عبدالعزيز bin عبدالله bin عبدالعزيز Al-فوزان</v>
      </c>
      <c r="O157" s="25" t="str">
        <f t="shared" si="5"/>
        <v/>
      </c>
      <c r="P157" s="25">
        <f t="shared" si="6"/>
        <v>0</v>
      </c>
      <c r="Q157" s="25"/>
      <c r="R157" s="25"/>
      <c r="S157" s="25" t="str">
        <f t="shared" si="7"/>
        <v>Living</v>
      </c>
    </row>
    <row r="158" ht="15.75" hidden="1" customHeight="1">
      <c r="A158" s="25" t="str">
        <f t="shared" si="1"/>
        <v>P157</v>
      </c>
      <c r="B158" s="71" t="s">
        <v>98</v>
      </c>
      <c r="C158" s="71" t="s">
        <v>108</v>
      </c>
      <c r="D158" s="73" t="s">
        <v>98</v>
      </c>
      <c r="E158" s="73" t="s">
        <v>31</v>
      </c>
      <c r="F158" s="25" t="s">
        <v>223</v>
      </c>
      <c r="G158" s="1" t="s">
        <v>35</v>
      </c>
      <c r="H158" s="25"/>
      <c r="I158" s="25"/>
      <c r="J158" s="25"/>
      <c r="K158" s="25">
        <f t="shared" si="2"/>
        <v>4</v>
      </c>
      <c r="L158" s="25" t="str">
        <f t="shared" si="8"/>
        <v>الفوزان</v>
      </c>
      <c r="M158" s="25" t="str">
        <f t="shared" si="3"/>
        <v>فوزان بن عبدالعزيز بن فوزان حمد</v>
      </c>
      <c r="N158" s="25" t="str">
        <f t="shared" si="4"/>
        <v>فوزان bin عبدالعزيز bin فوزان Al-حمد</v>
      </c>
      <c r="O158" s="25" t="str">
        <f t="shared" si="5"/>
        <v/>
      </c>
      <c r="P158" s="25">
        <f t="shared" si="6"/>
        <v>0</v>
      </c>
      <c r="Q158" s="25"/>
      <c r="R158" s="25"/>
      <c r="S158" s="25" t="str">
        <f t="shared" si="7"/>
        <v>Living</v>
      </c>
    </row>
    <row r="159" ht="15.75" hidden="1" customHeight="1">
      <c r="A159" s="25" t="str">
        <f t="shared" si="1"/>
        <v>P158</v>
      </c>
      <c r="B159" s="71" t="s">
        <v>100</v>
      </c>
      <c r="C159" s="71" t="s">
        <v>98</v>
      </c>
      <c r="D159" s="71" t="s">
        <v>108</v>
      </c>
      <c r="E159" s="73" t="s">
        <v>98</v>
      </c>
      <c r="F159" s="25" t="s">
        <v>225</v>
      </c>
      <c r="G159" s="1" t="s">
        <v>35</v>
      </c>
      <c r="H159" s="25"/>
      <c r="I159" s="25"/>
      <c r="J159" s="25"/>
      <c r="K159" s="25">
        <f t="shared" si="2"/>
        <v>5</v>
      </c>
      <c r="L159" s="25" t="str">
        <f t="shared" si="8"/>
        <v>الفوزان</v>
      </c>
      <c r="M159" s="25" t="str">
        <f t="shared" si="3"/>
        <v>محمد بن فوزان بن عبدالعزيز فوزان</v>
      </c>
      <c r="N159" s="25" t="str">
        <f t="shared" si="4"/>
        <v>محمد bin فوزان bin عبدالعزيز Al-فوزان</v>
      </c>
      <c r="O159" s="25" t="str">
        <f t="shared" si="5"/>
        <v/>
      </c>
      <c r="P159" s="25">
        <f t="shared" si="6"/>
        <v>0</v>
      </c>
      <c r="Q159" s="25"/>
      <c r="R159" s="25"/>
      <c r="S159" s="25" t="str">
        <f t="shared" si="7"/>
        <v>Living</v>
      </c>
    </row>
    <row r="160" ht="15.75" hidden="1" customHeight="1">
      <c r="A160" s="25" t="str">
        <f t="shared" si="1"/>
        <v>P159</v>
      </c>
      <c r="B160" s="71" t="s">
        <v>27</v>
      </c>
      <c r="C160" s="71" t="s">
        <v>98</v>
      </c>
      <c r="D160" s="71" t="s">
        <v>108</v>
      </c>
      <c r="E160" s="73" t="s">
        <v>98</v>
      </c>
      <c r="F160" s="25" t="s">
        <v>225</v>
      </c>
      <c r="G160" s="1" t="s">
        <v>35</v>
      </c>
      <c r="H160" s="25"/>
      <c r="I160" s="25"/>
      <c r="J160" s="25"/>
      <c r="K160" s="25">
        <f t="shared" si="2"/>
        <v>5</v>
      </c>
      <c r="L160" s="25" t="str">
        <f t="shared" si="8"/>
        <v>الفوزان</v>
      </c>
      <c r="M160" s="25" t="str">
        <f t="shared" si="3"/>
        <v>ابراهيم بن فوزان بن عبدالعزيز فوزان</v>
      </c>
      <c r="N160" s="25" t="str">
        <f t="shared" si="4"/>
        <v>ابراهيم bin فوزان bin عبدالعزيز Al-فوزان</v>
      </c>
      <c r="O160" s="25" t="str">
        <f t="shared" si="5"/>
        <v/>
      </c>
      <c r="P160" s="25">
        <f t="shared" si="6"/>
        <v>0</v>
      </c>
      <c r="Q160" s="25"/>
      <c r="R160" s="25"/>
      <c r="S160" s="25" t="str">
        <f t="shared" si="7"/>
        <v>Living</v>
      </c>
    </row>
    <row r="161" ht="15.75" hidden="1" customHeight="1">
      <c r="A161" s="25" t="str">
        <f t="shared" si="1"/>
        <v>P160</v>
      </c>
      <c r="B161" s="71" t="s">
        <v>108</v>
      </c>
      <c r="C161" s="71" t="s">
        <v>98</v>
      </c>
      <c r="D161" s="71" t="s">
        <v>108</v>
      </c>
      <c r="E161" s="73" t="s">
        <v>98</v>
      </c>
      <c r="F161" s="25" t="s">
        <v>225</v>
      </c>
      <c r="G161" s="1" t="s">
        <v>35</v>
      </c>
      <c r="H161" s="25"/>
      <c r="I161" s="25"/>
      <c r="J161" s="25"/>
      <c r="K161" s="25">
        <f t="shared" si="2"/>
        <v>5</v>
      </c>
      <c r="L161" s="25" t="str">
        <f t="shared" si="8"/>
        <v>الفوزان</v>
      </c>
      <c r="M161" s="25" t="str">
        <f t="shared" si="3"/>
        <v>عبدالعزيز بن فوزان بن عبدالعزيز فوزان</v>
      </c>
      <c r="N161" s="25" t="str">
        <f t="shared" si="4"/>
        <v>عبدالعزيز bin فوزان bin عبدالعزيز Al-فوزان</v>
      </c>
      <c r="O161" s="25" t="str">
        <f t="shared" si="5"/>
        <v/>
      </c>
      <c r="P161" s="25">
        <f t="shared" si="6"/>
        <v>0</v>
      </c>
      <c r="Q161" s="25"/>
      <c r="R161" s="25"/>
      <c r="S161" s="25" t="str">
        <f t="shared" si="7"/>
        <v>Living</v>
      </c>
    </row>
    <row r="162" ht="15.75" hidden="1" customHeight="1">
      <c r="A162" s="25" t="str">
        <f t="shared" si="1"/>
        <v>P161</v>
      </c>
      <c r="B162" s="71" t="s">
        <v>119</v>
      </c>
      <c r="C162" s="71" t="s">
        <v>27</v>
      </c>
      <c r="D162" s="71" t="s">
        <v>98</v>
      </c>
      <c r="E162" s="71" t="s">
        <v>108</v>
      </c>
      <c r="F162" s="25" t="s">
        <v>226</v>
      </c>
      <c r="G162" s="1" t="s">
        <v>35</v>
      </c>
      <c r="H162" s="25"/>
      <c r="I162" s="25"/>
      <c r="J162" s="25"/>
      <c r="K162" s="25">
        <f t="shared" si="2"/>
        <v>6</v>
      </c>
      <c r="L162" s="25" t="str">
        <f t="shared" si="8"/>
        <v>الفوزان</v>
      </c>
      <c r="M162" s="25" t="str">
        <f t="shared" si="3"/>
        <v>عبدالله بن ابراهيم بن فوزان عبدالعزيز</v>
      </c>
      <c r="N162" s="25" t="str">
        <f t="shared" si="4"/>
        <v>عبدالله bin ابراهيم bin فوزان Al-عبدالعزيز</v>
      </c>
      <c r="O162" s="25" t="str">
        <f t="shared" si="5"/>
        <v/>
      </c>
      <c r="P162" s="25">
        <f t="shared" si="6"/>
        <v>0</v>
      </c>
      <c r="Q162" s="25"/>
      <c r="R162" s="25"/>
      <c r="S162" s="25" t="str">
        <f t="shared" si="7"/>
        <v>Living</v>
      </c>
    </row>
    <row r="163" ht="15.75" hidden="1" customHeight="1">
      <c r="A163" s="25" t="str">
        <f t="shared" si="1"/>
        <v>P162</v>
      </c>
      <c r="B163" s="71" t="s">
        <v>98</v>
      </c>
      <c r="C163" s="71" t="s">
        <v>27</v>
      </c>
      <c r="D163" s="71" t="s">
        <v>98</v>
      </c>
      <c r="E163" s="71" t="s">
        <v>108</v>
      </c>
      <c r="F163" s="25" t="s">
        <v>226</v>
      </c>
      <c r="G163" s="1" t="s">
        <v>35</v>
      </c>
      <c r="H163" s="25"/>
      <c r="I163" s="25"/>
      <c r="J163" s="25"/>
      <c r="K163" s="25">
        <f t="shared" si="2"/>
        <v>6</v>
      </c>
      <c r="L163" s="25" t="str">
        <f t="shared" si="8"/>
        <v>الفوزان</v>
      </c>
      <c r="M163" s="25" t="str">
        <f t="shared" si="3"/>
        <v>فوزان بن ابراهيم بن فوزان عبدالعزيز</v>
      </c>
      <c r="N163" s="25" t="str">
        <f t="shared" si="4"/>
        <v>فوزان bin ابراهيم bin فوزان Al-عبدالعزيز</v>
      </c>
      <c r="O163" s="25" t="str">
        <f t="shared" si="5"/>
        <v/>
      </c>
      <c r="P163" s="25">
        <f t="shared" si="6"/>
        <v>0</v>
      </c>
      <c r="Q163" s="25"/>
      <c r="R163" s="25"/>
      <c r="S163" s="25" t="str">
        <f t="shared" si="7"/>
        <v>Living</v>
      </c>
    </row>
    <row r="164" ht="15.75" hidden="1" customHeight="1">
      <c r="A164" s="25" t="str">
        <f t="shared" si="1"/>
        <v>P163</v>
      </c>
      <c r="B164" s="71" t="s">
        <v>100</v>
      </c>
      <c r="C164" s="71" t="s">
        <v>27</v>
      </c>
      <c r="D164" s="71" t="s">
        <v>98</v>
      </c>
      <c r="E164" s="71" t="s">
        <v>108</v>
      </c>
      <c r="F164" s="25" t="s">
        <v>226</v>
      </c>
      <c r="G164" s="1" t="s">
        <v>35</v>
      </c>
      <c r="H164" s="25"/>
      <c r="I164" s="25"/>
      <c r="J164" s="25"/>
      <c r="K164" s="25">
        <f t="shared" si="2"/>
        <v>6</v>
      </c>
      <c r="L164" s="25" t="str">
        <f t="shared" si="8"/>
        <v>الفوزان</v>
      </c>
      <c r="M164" s="25" t="str">
        <f t="shared" si="3"/>
        <v>محمد بن ابراهيم بن فوزان عبدالعزيز</v>
      </c>
      <c r="N164" s="25" t="str">
        <f t="shared" si="4"/>
        <v>محمد bin ابراهيم bin فوزان Al-عبدالعزيز</v>
      </c>
      <c r="O164" s="25" t="str">
        <f t="shared" si="5"/>
        <v/>
      </c>
      <c r="P164" s="25">
        <f t="shared" si="6"/>
        <v>0</v>
      </c>
      <c r="Q164" s="25"/>
      <c r="R164" s="25"/>
      <c r="S164" s="25" t="str">
        <f t="shared" si="7"/>
        <v>Living</v>
      </c>
    </row>
    <row r="165" ht="15.75" hidden="1" customHeight="1">
      <c r="A165" s="25" t="str">
        <f t="shared" si="1"/>
        <v>P164</v>
      </c>
      <c r="B165" s="71" t="s">
        <v>31</v>
      </c>
      <c r="C165" s="71" t="s">
        <v>27</v>
      </c>
      <c r="D165" s="71" t="s">
        <v>98</v>
      </c>
      <c r="E165" s="71" t="s">
        <v>108</v>
      </c>
      <c r="F165" s="25" t="s">
        <v>226</v>
      </c>
      <c r="G165" s="1" t="s">
        <v>35</v>
      </c>
      <c r="H165" s="25"/>
      <c r="I165" s="25"/>
      <c r="J165" s="25"/>
      <c r="K165" s="25">
        <f t="shared" si="2"/>
        <v>6</v>
      </c>
      <c r="L165" s="25" t="str">
        <f t="shared" si="8"/>
        <v>الفوزان</v>
      </c>
      <c r="M165" s="25" t="str">
        <f t="shared" si="3"/>
        <v>حمد بن ابراهيم بن فوزان عبدالعزيز</v>
      </c>
      <c r="N165" s="25" t="str">
        <f t="shared" si="4"/>
        <v>حمد bin ابراهيم bin فوزان Al-عبدالعزيز</v>
      </c>
      <c r="O165" s="25" t="str">
        <f t="shared" si="5"/>
        <v/>
      </c>
      <c r="P165" s="25">
        <f t="shared" si="6"/>
        <v>0</v>
      </c>
      <c r="Q165" s="25"/>
      <c r="R165" s="25"/>
      <c r="S165" s="25" t="str">
        <f t="shared" si="7"/>
        <v>Living</v>
      </c>
    </row>
    <row r="166" ht="15.75" hidden="1" customHeight="1">
      <c r="A166" s="25" t="str">
        <f t="shared" si="1"/>
        <v>P165</v>
      </c>
      <c r="B166" s="71" t="s">
        <v>27</v>
      </c>
      <c r="C166" s="71" t="s">
        <v>119</v>
      </c>
      <c r="D166" s="71" t="s">
        <v>27</v>
      </c>
      <c r="E166" s="71" t="s">
        <v>98</v>
      </c>
      <c r="F166" s="25" t="s">
        <v>227</v>
      </c>
      <c r="G166" s="1" t="s">
        <v>35</v>
      </c>
      <c r="H166" s="25"/>
      <c r="I166" s="25"/>
      <c r="J166" s="25"/>
      <c r="K166" s="25">
        <f t="shared" si="2"/>
        <v>7</v>
      </c>
      <c r="L166" s="25" t="str">
        <f t="shared" si="8"/>
        <v>الفوزان</v>
      </c>
      <c r="M166" s="25" t="str">
        <f t="shared" si="3"/>
        <v>ابراهيم بن عبدالله بن ابراهيم فوزان</v>
      </c>
      <c r="N166" s="25" t="str">
        <f t="shared" si="4"/>
        <v>ابراهيم bin عبدالله bin ابراهيم Al-فوزان</v>
      </c>
      <c r="O166" s="25" t="str">
        <f t="shared" si="5"/>
        <v/>
      </c>
      <c r="P166" s="25">
        <f t="shared" si="6"/>
        <v>0</v>
      </c>
      <c r="Q166" s="25"/>
      <c r="R166" s="25"/>
      <c r="S166" s="25" t="str">
        <f t="shared" si="7"/>
        <v>Living</v>
      </c>
    </row>
    <row r="167" ht="15.75" hidden="1" customHeight="1">
      <c r="A167" s="25" t="str">
        <f t="shared" si="1"/>
        <v>P166</v>
      </c>
      <c r="B167" s="71" t="s">
        <v>108</v>
      </c>
      <c r="C167" s="71" t="s">
        <v>119</v>
      </c>
      <c r="D167" s="71" t="s">
        <v>27</v>
      </c>
      <c r="E167" s="71" t="s">
        <v>98</v>
      </c>
      <c r="F167" s="25" t="s">
        <v>227</v>
      </c>
      <c r="G167" s="1" t="s">
        <v>35</v>
      </c>
      <c r="H167" s="25"/>
      <c r="I167" s="25"/>
      <c r="J167" s="25"/>
      <c r="K167" s="25">
        <f t="shared" si="2"/>
        <v>7</v>
      </c>
      <c r="L167" s="25" t="str">
        <f t="shared" si="8"/>
        <v>الفوزان</v>
      </c>
      <c r="M167" s="25" t="str">
        <f t="shared" si="3"/>
        <v>عبدالعزيز بن عبدالله بن ابراهيم فوزان</v>
      </c>
      <c r="N167" s="25" t="str">
        <f t="shared" si="4"/>
        <v>عبدالعزيز bin عبدالله bin ابراهيم Al-فوزان</v>
      </c>
      <c r="O167" s="25" t="str">
        <f t="shared" si="5"/>
        <v/>
      </c>
      <c r="P167" s="25">
        <f t="shared" si="6"/>
        <v>0</v>
      </c>
      <c r="Q167" s="25"/>
      <c r="R167" s="25"/>
      <c r="S167" s="25" t="str">
        <f t="shared" si="7"/>
        <v>Living</v>
      </c>
    </row>
    <row r="168" ht="15.75" hidden="1" customHeight="1">
      <c r="A168" s="25" t="str">
        <f t="shared" si="1"/>
        <v>P167</v>
      </c>
      <c r="B168" s="71" t="s">
        <v>197</v>
      </c>
      <c r="C168" s="71" t="s">
        <v>119</v>
      </c>
      <c r="D168" s="71" t="s">
        <v>27</v>
      </c>
      <c r="E168" s="71" t="s">
        <v>98</v>
      </c>
      <c r="F168" s="25" t="s">
        <v>227</v>
      </c>
      <c r="G168" s="1" t="s">
        <v>35</v>
      </c>
      <c r="H168" s="25"/>
      <c r="I168" s="25"/>
      <c r="J168" s="25"/>
      <c r="K168" s="25">
        <f t="shared" si="2"/>
        <v>7</v>
      </c>
      <c r="L168" s="25" t="str">
        <f t="shared" si="8"/>
        <v>الفوزان</v>
      </c>
      <c r="M168" s="25" t="str">
        <f t="shared" si="3"/>
        <v>عبدالملك بن عبدالله بن ابراهيم فوزان</v>
      </c>
      <c r="N168" s="25" t="str">
        <f t="shared" si="4"/>
        <v>عبدالملك bin عبدالله bin ابراهيم Al-فوزان</v>
      </c>
      <c r="O168" s="25" t="str">
        <f t="shared" si="5"/>
        <v/>
      </c>
      <c r="P168" s="25">
        <f t="shared" si="6"/>
        <v>0</v>
      </c>
      <c r="Q168" s="25"/>
      <c r="R168" s="25"/>
      <c r="S168" s="25" t="str">
        <f t="shared" si="7"/>
        <v>Living</v>
      </c>
    </row>
    <row r="169" ht="15.75" hidden="1" customHeight="1">
      <c r="A169" s="25" t="str">
        <f t="shared" si="1"/>
        <v>P168</v>
      </c>
      <c r="B169" s="71" t="s">
        <v>100</v>
      </c>
      <c r="C169" s="71" t="s">
        <v>119</v>
      </c>
      <c r="D169" s="71" t="s">
        <v>27</v>
      </c>
      <c r="E169" s="71" t="s">
        <v>98</v>
      </c>
      <c r="F169" s="25" t="s">
        <v>227</v>
      </c>
      <c r="G169" s="1" t="s">
        <v>35</v>
      </c>
      <c r="H169" s="25"/>
      <c r="I169" s="25"/>
      <c r="J169" s="25"/>
      <c r="K169" s="25">
        <f t="shared" si="2"/>
        <v>7</v>
      </c>
      <c r="L169" s="25" t="str">
        <f t="shared" si="8"/>
        <v>الفوزان</v>
      </c>
      <c r="M169" s="25" t="str">
        <f t="shared" si="3"/>
        <v>محمد بن عبدالله بن ابراهيم فوزان</v>
      </c>
      <c r="N169" s="25" t="str">
        <f t="shared" si="4"/>
        <v>محمد bin عبدالله bin ابراهيم Al-فوزان</v>
      </c>
      <c r="O169" s="25" t="str">
        <f t="shared" si="5"/>
        <v/>
      </c>
      <c r="P169" s="25">
        <f t="shared" si="6"/>
        <v>0</v>
      </c>
      <c r="Q169" s="25"/>
      <c r="R169" s="25"/>
      <c r="S169" s="25" t="str">
        <f t="shared" si="7"/>
        <v>Living</v>
      </c>
    </row>
    <row r="170" ht="15.75" hidden="1" customHeight="1">
      <c r="A170" s="25" t="str">
        <f t="shared" si="1"/>
        <v>P169</v>
      </c>
      <c r="B170" s="71" t="s">
        <v>228</v>
      </c>
      <c r="C170" s="71" t="s">
        <v>98</v>
      </c>
      <c r="D170" s="71" t="s">
        <v>27</v>
      </c>
      <c r="E170" s="71" t="s">
        <v>98</v>
      </c>
      <c r="F170" s="25" t="s">
        <v>229</v>
      </c>
      <c r="G170" s="1" t="s">
        <v>35</v>
      </c>
      <c r="H170" s="25"/>
      <c r="I170" s="25"/>
      <c r="J170" s="25"/>
      <c r="K170" s="25">
        <f t="shared" si="2"/>
        <v>7</v>
      </c>
      <c r="L170" s="25" t="str">
        <f t="shared" si="8"/>
        <v>الفوزان</v>
      </c>
      <c r="M170" s="25" t="str">
        <f t="shared" si="3"/>
        <v>مازن بن فوزان بن ابراهيم فوزان</v>
      </c>
      <c r="N170" s="25" t="str">
        <f t="shared" si="4"/>
        <v>مازن bin فوزان bin ابراهيم Al-فوزان</v>
      </c>
      <c r="O170" s="25" t="str">
        <f t="shared" si="5"/>
        <v/>
      </c>
      <c r="P170" s="25">
        <f t="shared" si="6"/>
        <v>0</v>
      </c>
      <c r="Q170" s="25"/>
      <c r="R170" s="25"/>
      <c r="S170" s="25" t="str">
        <f t="shared" si="7"/>
        <v>Living</v>
      </c>
    </row>
    <row r="171" ht="15.75" hidden="1" customHeight="1">
      <c r="A171" s="25" t="str">
        <f t="shared" si="1"/>
        <v>P170</v>
      </c>
      <c r="B171" s="71" t="s">
        <v>230</v>
      </c>
      <c r="C171" s="71" t="s">
        <v>98</v>
      </c>
      <c r="D171" s="71" t="s">
        <v>27</v>
      </c>
      <c r="E171" s="71" t="s">
        <v>98</v>
      </c>
      <c r="F171" s="25" t="s">
        <v>229</v>
      </c>
      <c r="G171" s="1" t="s">
        <v>35</v>
      </c>
      <c r="H171" s="25"/>
      <c r="I171" s="25"/>
      <c r="J171" s="25"/>
      <c r="K171" s="25">
        <f t="shared" si="2"/>
        <v>7</v>
      </c>
      <c r="L171" s="25" t="str">
        <f t="shared" si="8"/>
        <v>الفوزان</v>
      </c>
      <c r="M171" s="25" t="str">
        <f t="shared" si="3"/>
        <v>عامر بن فوزان بن ابراهيم فوزان</v>
      </c>
      <c r="N171" s="25" t="str">
        <f t="shared" si="4"/>
        <v>عامر bin فوزان bin ابراهيم Al-فوزان</v>
      </c>
      <c r="O171" s="25" t="str">
        <f t="shared" si="5"/>
        <v/>
      </c>
      <c r="P171" s="25">
        <f t="shared" si="6"/>
        <v>0</v>
      </c>
      <c r="Q171" s="25"/>
      <c r="R171" s="25"/>
      <c r="S171" s="25" t="str">
        <f t="shared" si="7"/>
        <v>Living</v>
      </c>
    </row>
    <row r="172" ht="15.75" hidden="1" customHeight="1">
      <c r="A172" s="25" t="str">
        <f t="shared" si="1"/>
        <v>P171</v>
      </c>
      <c r="B172" s="71" t="s">
        <v>231</v>
      </c>
      <c r="C172" s="71" t="s">
        <v>98</v>
      </c>
      <c r="D172" s="71" t="s">
        <v>27</v>
      </c>
      <c r="E172" s="71" t="s">
        <v>98</v>
      </c>
      <c r="F172" s="25" t="s">
        <v>229</v>
      </c>
      <c r="G172" s="1" t="s">
        <v>35</v>
      </c>
      <c r="H172" s="25"/>
      <c r="I172" s="25"/>
      <c r="J172" s="25"/>
      <c r="K172" s="25">
        <f t="shared" si="2"/>
        <v>7</v>
      </c>
      <c r="L172" s="25" t="str">
        <f t="shared" si="8"/>
        <v>الفوزان</v>
      </c>
      <c r="M172" s="25" t="str">
        <f t="shared" si="3"/>
        <v>قتيبة بن فوزان بن ابراهيم فوزان</v>
      </c>
      <c r="N172" s="25" t="str">
        <f t="shared" si="4"/>
        <v>قتيبة bin فوزان bin ابراهيم Al-فوزان</v>
      </c>
      <c r="O172" s="25" t="str">
        <f t="shared" si="5"/>
        <v/>
      </c>
      <c r="P172" s="25">
        <f t="shared" si="6"/>
        <v>0</v>
      </c>
      <c r="Q172" s="25"/>
      <c r="R172" s="25"/>
      <c r="S172" s="25" t="str">
        <f t="shared" si="7"/>
        <v>Living</v>
      </c>
    </row>
    <row r="173" ht="15.75" hidden="1" customHeight="1">
      <c r="A173" s="25" t="str">
        <f t="shared" si="1"/>
        <v>P172</v>
      </c>
      <c r="B173" s="71" t="s">
        <v>112</v>
      </c>
      <c r="C173" s="71" t="s">
        <v>100</v>
      </c>
      <c r="D173" s="71" t="s">
        <v>27</v>
      </c>
      <c r="E173" s="71" t="s">
        <v>98</v>
      </c>
      <c r="F173" s="25" t="s">
        <v>232</v>
      </c>
      <c r="G173" s="1" t="s">
        <v>35</v>
      </c>
      <c r="H173" s="25"/>
      <c r="I173" s="25"/>
      <c r="J173" s="25"/>
      <c r="K173" s="25">
        <f t="shared" si="2"/>
        <v>7</v>
      </c>
      <c r="L173" s="25" t="str">
        <f t="shared" si="8"/>
        <v>الفوزان</v>
      </c>
      <c r="M173" s="25" t="str">
        <f t="shared" si="3"/>
        <v>خالد بن محمد بن ابراهيم فوزان</v>
      </c>
      <c r="N173" s="25" t="str">
        <f t="shared" si="4"/>
        <v>خالد bin محمد bin ابراهيم Al-فوزان</v>
      </c>
      <c r="O173" s="25" t="str">
        <f t="shared" si="5"/>
        <v/>
      </c>
      <c r="P173" s="25">
        <f t="shared" si="6"/>
        <v>0</v>
      </c>
      <c r="Q173" s="25"/>
      <c r="R173" s="25"/>
      <c r="S173" s="25" t="str">
        <f t="shared" si="7"/>
        <v>Living</v>
      </c>
    </row>
    <row r="174" ht="15.75" hidden="1" customHeight="1">
      <c r="A174" s="25" t="str">
        <f t="shared" si="1"/>
        <v>P173</v>
      </c>
      <c r="B174" s="71" t="s">
        <v>27</v>
      </c>
      <c r="C174" s="71" t="s">
        <v>31</v>
      </c>
      <c r="D174" s="71" t="s">
        <v>27</v>
      </c>
      <c r="E174" s="71" t="s">
        <v>98</v>
      </c>
      <c r="F174" s="25" t="s">
        <v>233</v>
      </c>
      <c r="G174" s="1" t="s">
        <v>35</v>
      </c>
      <c r="H174" s="25"/>
      <c r="I174" s="25"/>
      <c r="J174" s="25"/>
      <c r="K174" s="25">
        <f t="shared" si="2"/>
        <v>7</v>
      </c>
      <c r="L174" s="25" t="str">
        <f t="shared" si="8"/>
        <v>الفوزان</v>
      </c>
      <c r="M174" s="25" t="str">
        <f t="shared" si="3"/>
        <v>ابراهيم بن حمد بن ابراهيم فوزان</v>
      </c>
      <c r="N174" s="25" t="str">
        <f t="shared" si="4"/>
        <v>ابراهيم bin حمد bin ابراهيم Al-فوزان</v>
      </c>
      <c r="O174" s="25" t="str">
        <f t="shared" si="5"/>
        <v/>
      </c>
      <c r="P174" s="25">
        <f t="shared" si="6"/>
        <v>0</v>
      </c>
      <c r="Q174" s="25"/>
      <c r="R174" s="25"/>
      <c r="S174" s="25" t="str">
        <f t="shared" si="7"/>
        <v>Living</v>
      </c>
    </row>
    <row r="175" ht="15.75" hidden="1" customHeight="1">
      <c r="A175" s="25" t="str">
        <f t="shared" si="1"/>
        <v>P174</v>
      </c>
      <c r="B175" s="71" t="s">
        <v>105</v>
      </c>
      <c r="C175" s="71" t="s">
        <v>108</v>
      </c>
      <c r="D175" s="71" t="s">
        <v>98</v>
      </c>
      <c r="E175" s="71" t="s">
        <v>108</v>
      </c>
      <c r="F175" s="25" t="s">
        <v>234</v>
      </c>
      <c r="G175" s="1" t="s">
        <v>35</v>
      </c>
      <c r="H175" s="25"/>
      <c r="I175" s="25"/>
      <c r="J175" s="25"/>
      <c r="K175" s="25">
        <f t="shared" si="2"/>
        <v>6</v>
      </c>
      <c r="L175" s="25" t="str">
        <f t="shared" si="8"/>
        <v>الفوزان</v>
      </c>
      <c r="M175" s="25" t="str">
        <f t="shared" si="3"/>
        <v>عبدالرحمن بن عبدالعزيز بن فوزان عبدالعزيز</v>
      </c>
      <c r="N175" s="25" t="str">
        <f t="shared" si="4"/>
        <v>عبدالرحمن bin عبدالعزيز bin فوزان Al-عبدالعزيز</v>
      </c>
      <c r="O175" s="25" t="str">
        <f t="shared" si="5"/>
        <v/>
      </c>
      <c r="P175" s="25">
        <f t="shared" si="6"/>
        <v>0</v>
      </c>
      <c r="Q175" s="25"/>
      <c r="R175" s="25"/>
      <c r="S175" s="25" t="str">
        <f t="shared" si="7"/>
        <v>Living</v>
      </c>
    </row>
    <row r="176" ht="15.75" hidden="1" customHeight="1">
      <c r="A176" s="25" t="str">
        <f t="shared" si="1"/>
        <v>P175</v>
      </c>
      <c r="B176" s="71" t="s">
        <v>110</v>
      </c>
      <c r="C176" s="71" t="s">
        <v>108</v>
      </c>
      <c r="D176" s="71" t="s">
        <v>98</v>
      </c>
      <c r="E176" s="71" t="s">
        <v>108</v>
      </c>
      <c r="F176" s="25" t="s">
        <v>234</v>
      </c>
      <c r="G176" s="1" t="s">
        <v>35</v>
      </c>
      <c r="H176" s="25"/>
      <c r="I176" s="25"/>
      <c r="J176" s="25"/>
      <c r="K176" s="25">
        <f t="shared" si="2"/>
        <v>6</v>
      </c>
      <c r="L176" s="25" t="str">
        <f t="shared" si="8"/>
        <v>الفوزان</v>
      </c>
      <c r="M176" s="25" t="str">
        <f t="shared" si="3"/>
        <v>سعد بن عبدالعزيز بن فوزان عبدالعزيز</v>
      </c>
      <c r="N176" s="25" t="str">
        <f t="shared" si="4"/>
        <v>سعد bin عبدالعزيز bin فوزان Al-عبدالعزيز</v>
      </c>
      <c r="O176" s="25" t="str">
        <f t="shared" si="5"/>
        <v/>
      </c>
      <c r="P176" s="25">
        <f t="shared" si="6"/>
        <v>0</v>
      </c>
      <c r="Q176" s="25"/>
      <c r="R176" s="25"/>
      <c r="S176" s="25" t="str">
        <f t="shared" si="7"/>
        <v>Living</v>
      </c>
    </row>
    <row r="177" ht="15.75" hidden="1" customHeight="1">
      <c r="A177" s="25" t="str">
        <f t="shared" si="1"/>
        <v>P176</v>
      </c>
      <c r="B177" s="71" t="s">
        <v>98</v>
      </c>
      <c r="C177" s="71" t="s">
        <v>108</v>
      </c>
      <c r="D177" s="71" t="s">
        <v>98</v>
      </c>
      <c r="E177" s="71" t="s">
        <v>108</v>
      </c>
      <c r="F177" s="25" t="s">
        <v>234</v>
      </c>
      <c r="G177" s="1" t="s">
        <v>35</v>
      </c>
      <c r="H177" s="25"/>
      <c r="I177" s="25"/>
      <c r="J177" s="25"/>
      <c r="K177" s="25">
        <f t="shared" si="2"/>
        <v>6</v>
      </c>
      <c r="L177" s="25" t="str">
        <f t="shared" si="8"/>
        <v>الفوزان</v>
      </c>
      <c r="M177" s="25" t="str">
        <f t="shared" si="3"/>
        <v>فوزان بن عبدالعزيز بن فوزان عبدالعزيز</v>
      </c>
      <c r="N177" s="25" t="str">
        <f t="shared" si="4"/>
        <v>فوزان bin عبدالعزيز bin فوزان Al-عبدالعزيز</v>
      </c>
      <c r="O177" s="25" t="str">
        <f t="shared" si="5"/>
        <v/>
      </c>
      <c r="P177" s="25">
        <f t="shared" si="6"/>
        <v>0</v>
      </c>
      <c r="Q177" s="25"/>
      <c r="R177" s="25"/>
      <c r="S177" s="25" t="str">
        <f t="shared" si="7"/>
        <v>Living</v>
      </c>
    </row>
    <row r="178" ht="15.75" hidden="1" customHeight="1">
      <c r="A178" s="25" t="str">
        <f t="shared" si="1"/>
        <v>P177</v>
      </c>
      <c r="B178" s="71" t="s">
        <v>119</v>
      </c>
      <c r="C178" s="71" t="s">
        <v>108</v>
      </c>
      <c r="D178" s="71" t="s">
        <v>98</v>
      </c>
      <c r="E178" s="71" t="s">
        <v>108</v>
      </c>
      <c r="F178" s="25" t="s">
        <v>234</v>
      </c>
      <c r="G178" s="1" t="s">
        <v>35</v>
      </c>
      <c r="H178" s="25"/>
      <c r="I178" s="25"/>
      <c r="J178" s="25"/>
      <c r="K178" s="25">
        <f t="shared" si="2"/>
        <v>6</v>
      </c>
      <c r="L178" s="25" t="str">
        <f t="shared" si="8"/>
        <v>الفوزان</v>
      </c>
      <c r="M178" s="25" t="str">
        <f t="shared" si="3"/>
        <v>عبدالله بن عبدالعزيز بن فوزان عبدالعزيز</v>
      </c>
      <c r="N178" s="25" t="str">
        <f t="shared" si="4"/>
        <v>عبدالله bin عبدالعزيز bin فوزان Al-عبدالعزيز</v>
      </c>
      <c r="O178" s="25" t="str">
        <f t="shared" si="5"/>
        <v/>
      </c>
      <c r="P178" s="25">
        <f t="shared" si="6"/>
        <v>0</v>
      </c>
      <c r="Q178" s="25"/>
      <c r="R178" s="25"/>
      <c r="S178" s="25" t="str">
        <f t="shared" si="7"/>
        <v>Living</v>
      </c>
    </row>
    <row r="179" ht="15.75" hidden="1" customHeight="1">
      <c r="A179" s="25" t="str">
        <f t="shared" si="1"/>
        <v>P178</v>
      </c>
      <c r="B179" s="71" t="s">
        <v>111</v>
      </c>
      <c r="C179" s="71" t="s">
        <v>108</v>
      </c>
      <c r="D179" s="71" t="s">
        <v>98</v>
      </c>
      <c r="E179" s="71" t="s">
        <v>108</v>
      </c>
      <c r="F179" s="25" t="s">
        <v>234</v>
      </c>
      <c r="G179" s="1" t="s">
        <v>35</v>
      </c>
      <c r="H179" s="25"/>
      <c r="I179" s="25"/>
      <c r="J179" s="25"/>
      <c r="K179" s="25">
        <f t="shared" si="2"/>
        <v>6</v>
      </c>
      <c r="L179" s="25" t="str">
        <f t="shared" si="8"/>
        <v>الفوزان</v>
      </c>
      <c r="M179" s="25" t="str">
        <f t="shared" si="3"/>
        <v>فهد بن عبدالعزيز بن فوزان عبدالعزيز</v>
      </c>
      <c r="N179" s="25" t="str">
        <f t="shared" si="4"/>
        <v>فهد bin عبدالعزيز bin فوزان Al-عبدالعزيز</v>
      </c>
      <c r="O179" s="25" t="str">
        <f t="shared" si="5"/>
        <v/>
      </c>
      <c r="P179" s="25">
        <f t="shared" si="6"/>
        <v>0</v>
      </c>
      <c r="Q179" s="25"/>
      <c r="R179" s="25"/>
      <c r="S179" s="25" t="str">
        <f t="shared" si="7"/>
        <v>Living</v>
      </c>
    </row>
    <row r="180" ht="15.75" hidden="1" customHeight="1">
      <c r="A180" s="25" t="str">
        <f t="shared" si="1"/>
        <v>P179</v>
      </c>
      <c r="B180" s="71" t="s">
        <v>112</v>
      </c>
      <c r="C180" s="71" t="s">
        <v>108</v>
      </c>
      <c r="D180" s="71" t="s">
        <v>98</v>
      </c>
      <c r="E180" s="71" t="s">
        <v>108</v>
      </c>
      <c r="F180" s="25" t="s">
        <v>234</v>
      </c>
      <c r="G180" s="1" t="s">
        <v>35</v>
      </c>
      <c r="H180" s="25"/>
      <c r="I180" s="25"/>
      <c r="J180" s="25"/>
      <c r="K180" s="25">
        <f t="shared" si="2"/>
        <v>6</v>
      </c>
      <c r="L180" s="25" t="str">
        <f t="shared" si="8"/>
        <v>الفوزان</v>
      </c>
      <c r="M180" s="25" t="str">
        <f t="shared" si="3"/>
        <v>خالد بن عبدالعزيز بن فوزان عبدالعزيز</v>
      </c>
      <c r="N180" s="25" t="str">
        <f t="shared" si="4"/>
        <v>خالد bin عبدالعزيز bin فوزان Al-عبدالعزيز</v>
      </c>
      <c r="O180" s="25" t="str">
        <f t="shared" si="5"/>
        <v/>
      </c>
      <c r="P180" s="25">
        <f t="shared" si="6"/>
        <v>0</v>
      </c>
      <c r="Q180" s="25"/>
      <c r="R180" s="25"/>
      <c r="S180" s="25" t="str">
        <f t="shared" si="7"/>
        <v>Living</v>
      </c>
    </row>
    <row r="181" ht="15.75" hidden="1" customHeight="1">
      <c r="A181" s="25" t="str">
        <f t="shared" si="1"/>
        <v>P180</v>
      </c>
      <c r="B181" s="71" t="s">
        <v>102</v>
      </c>
      <c r="C181" s="71" t="s">
        <v>108</v>
      </c>
      <c r="D181" s="71" t="s">
        <v>98</v>
      </c>
      <c r="E181" s="71" t="s">
        <v>108</v>
      </c>
      <c r="F181" s="25" t="s">
        <v>234</v>
      </c>
      <c r="G181" s="1" t="s">
        <v>35</v>
      </c>
      <c r="H181" s="25"/>
      <c r="I181" s="25"/>
      <c r="J181" s="25"/>
      <c r="K181" s="25">
        <f t="shared" si="2"/>
        <v>6</v>
      </c>
      <c r="L181" s="25" t="str">
        <f t="shared" si="8"/>
        <v>الفوزان</v>
      </c>
      <c r="M181" s="25" t="str">
        <f t="shared" si="3"/>
        <v>ناصر بن عبدالعزيز بن فوزان عبدالعزيز</v>
      </c>
      <c r="N181" s="25" t="str">
        <f t="shared" si="4"/>
        <v>ناصر bin عبدالعزيز bin فوزان Al-عبدالعزيز</v>
      </c>
      <c r="O181" s="25" t="str">
        <f t="shared" si="5"/>
        <v/>
      </c>
      <c r="P181" s="25">
        <f t="shared" si="6"/>
        <v>0</v>
      </c>
      <c r="Q181" s="25"/>
      <c r="R181" s="25"/>
      <c r="S181" s="25" t="str">
        <f t="shared" si="7"/>
        <v>Living</v>
      </c>
    </row>
    <row r="182" ht="15.75" hidden="1" customHeight="1">
      <c r="A182" s="25" t="str">
        <f t="shared" si="1"/>
        <v>P181</v>
      </c>
      <c r="B182" s="71" t="s">
        <v>235</v>
      </c>
      <c r="C182" s="71" t="s">
        <v>108</v>
      </c>
      <c r="D182" s="71" t="s">
        <v>98</v>
      </c>
      <c r="E182" s="71" t="s">
        <v>108</v>
      </c>
      <c r="F182" s="25" t="s">
        <v>234</v>
      </c>
      <c r="G182" s="1" t="s">
        <v>35</v>
      </c>
      <c r="H182" s="25"/>
      <c r="I182" s="25"/>
      <c r="J182" s="25"/>
      <c r="K182" s="25">
        <f t="shared" si="2"/>
        <v>6</v>
      </c>
      <c r="L182" s="25" t="str">
        <f t="shared" si="8"/>
        <v>الفوزان</v>
      </c>
      <c r="M182" s="25" t="str">
        <f t="shared" si="3"/>
        <v>منصور بن عبدالعزيز بن فوزان عبدالعزيز</v>
      </c>
      <c r="N182" s="25" t="str">
        <f t="shared" si="4"/>
        <v>منصور bin عبدالعزيز bin فوزان Al-عبدالعزيز</v>
      </c>
      <c r="O182" s="25" t="str">
        <f t="shared" si="5"/>
        <v/>
      </c>
      <c r="P182" s="25">
        <f t="shared" si="6"/>
        <v>0</v>
      </c>
      <c r="Q182" s="25"/>
      <c r="R182" s="25"/>
      <c r="S182" s="25" t="str">
        <f t="shared" si="7"/>
        <v>Living</v>
      </c>
    </row>
    <row r="183" ht="15.75" hidden="1" customHeight="1">
      <c r="A183" s="25" t="str">
        <f t="shared" si="1"/>
        <v>P182</v>
      </c>
      <c r="B183" s="71" t="s">
        <v>236</v>
      </c>
      <c r="C183" s="71" t="s">
        <v>108</v>
      </c>
      <c r="D183" s="71" t="s">
        <v>98</v>
      </c>
      <c r="E183" s="71" t="s">
        <v>108</v>
      </c>
      <c r="F183" s="25" t="s">
        <v>234</v>
      </c>
      <c r="G183" s="1" t="s">
        <v>35</v>
      </c>
      <c r="H183" s="25"/>
      <c r="I183" s="25"/>
      <c r="J183" s="25"/>
      <c r="K183" s="25">
        <f t="shared" si="2"/>
        <v>6</v>
      </c>
      <c r="L183" s="25" t="str">
        <f t="shared" si="8"/>
        <v>الفوزان</v>
      </c>
      <c r="M183" s="25" t="str">
        <f t="shared" si="3"/>
        <v>فواز بن عبدالعزيز بن فوزان عبدالعزيز</v>
      </c>
      <c r="N183" s="25" t="str">
        <f t="shared" si="4"/>
        <v>فواز bin عبدالعزيز bin فوزان Al-عبدالعزيز</v>
      </c>
      <c r="O183" s="25" t="str">
        <f t="shared" si="5"/>
        <v/>
      </c>
      <c r="P183" s="25">
        <f t="shared" si="6"/>
        <v>0</v>
      </c>
      <c r="Q183" s="25"/>
      <c r="R183" s="25"/>
      <c r="S183" s="25" t="str">
        <f t="shared" si="7"/>
        <v>Living</v>
      </c>
    </row>
    <row r="184" ht="15.75" hidden="1" customHeight="1">
      <c r="A184" s="25" t="str">
        <f t="shared" si="1"/>
        <v>P183</v>
      </c>
      <c r="B184" s="71" t="s">
        <v>104</v>
      </c>
      <c r="C184" s="71" t="s">
        <v>108</v>
      </c>
      <c r="D184" s="71" t="s">
        <v>98</v>
      </c>
      <c r="E184" s="71" t="s">
        <v>108</v>
      </c>
      <c r="F184" s="25" t="s">
        <v>234</v>
      </c>
      <c r="G184" s="1" t="s">
        <v>35</v>
      </c>
      <c r="H184" s="25"/>
      <c r="I184" s="25"/>
      <c r="J184" s="25"/>
      <c r="K184" s="25">
        <f t="shared" si="2"/>
        <v>6</v>
      </c>
      <c r="L184" s="25" t="str">
        <f t="shared" si="8"/>
        <v>الفوزان</v>
      </c>
      <c r="M184" s="25" t="str">
        <f t="shared" si="3"/>
        <v>عبدالمحسن بن عبدالعزيز بن فوزان عبدالعزيز</v>
      </c>
      <c r="N184" s="25" t="str">
        <f t="shared" si="4"/>
        <v>عبدالمحسن bin عبدالعزيز bin فوزان Al-عبدالعزيز</v>
      </c>
      <c r="O184" s="25" t="str">
        <f t="shared" si="5"/>
        <v/>
      </c>
      <c r="P184" s="25">
        <f t="shared" si="6"/>
        <v>0</v>
      </c>
      <c r="Q184" s="25"/>
      <c r="R184" s="25"/>
      <c r="S184" s="25" t="str">
        <f t="shared" si="7"/>
        <v>Living</v>
      </c>
    </row>
    <row r="185" ht="15.75" hidden="1" customHeight="1">
      <c r="A185" s="25" t="str">
        <f t="shared" si="1"/>
        <v>P184</v>
      </c>
      <c r="B185" s="71" t="s">
        <v>237</v>
      </c>
      <c r="C185" s="71" t="s">
        <v>112</v>
      </c>
      <c r="D185" s="71" t="s">
        <v>108</v>
      </c>
      <c r="E185" s="71" t="s">
        <v>98</v>
      </c>
      <c r="F185" s="25" t="s">
        <v>238</v>
      </c>
      <c r="G185" s="1" t="s">
        <v>35</v>
      </c>
      <c r="H185" s="25"/>
      <c r="I185" s="25"/>
      <c r="J185" s="25"/>
      <c r="K185" s="25">
        <f t="shared" si="2"/>
        <v>7</v>
      </c>
      <c r="L185" s="25" t="str">
        <f t="shared" si="8"/>
        <v>الفوزان</v>
      </c>
      <c r="M185" s="25" t="str">
        <f t="shared" si="3"/>
        <v>مشاري بن خالد بن عبدالعزيز فوزان</v>
      </c>
      <c r="N185" s="25" t="str">
        <f t="shared" si="4"/>
        <v>مشاري bin خالد bin عبدالعزيز Al-فوزان</v>
      </c>
      <c r="O185" s="25" t="str">
        <f t="shared" si="5"/>
        <v/>
      </c>
      <c r="P185" s="25">
        <f t="shared" si="6"/>
        <v>0</v>
      </c>
      <c r="Q185" s="25"/>
      <c r="R185" s="25"/>
      <c r="S185" s="25" t="str">
        <f t="shared" si="7"/>
        <v>Living</v>
      </c>
    </row>
    <row r="186" ht="15.75" hidden="1" customHeight="1">
      <c r="A186" s="25" t="str">
        <f t="shared" si="1"/>
        <v>P185</v>
      </c>
      <c r="B186" s="71" t="s">
        <v>239</v>
      </c>
      <c r="C186" s="71" t="s">
        <v>112</v>
      </c>
      <c r="D186" s="71" t="s">
        <v>108</v>
      </c>
      <c r="E186" s="71" t="s">
        <v>98</v>
      </c>
      <c r="F186" s="25" t="s">
        <v>238</v>
      </c>
      <c r="G186" s="1" t="s">
        <v>35</v>
      </c>
      <c r="H186" s="25"/>
      <c r="I186" s="25"/>
      <c r="J186" s="25"/>
      <c r="K186" s="25">
        <f t="shared" si="2"/>
        <v>7</v>
      </c>
      <c r="L186" s="25" t="str">
        <f t="shared" si="8"/>
        <v>الفوزان</v>
      </c>
      <c r="M186" s="25" t="str">
        <f t="shared" si="3"/>
        <v>مصعب بن خالد بن عبدالعزيز فوزان</v>
      </c>
      <c r="N186" s="25" t="str">
        <f t="shared" si="4"/>
        <v>مصعب bin خالد bin عبدالعزيز Al-فوزان</v>
      </c>
      <c r="O186" s="25" t="str">
        <f t="shared" si="5"/>
        <v/>
      </c>
      <c r="P186" s="25">
        <f t="shared" si="6"/>
        <v>0</v>
      </c>
      <c r="Q186" s="25"/>
      <c r="R186" s="25"/>
      <c r="S186" s="25" t="str">
        <f t="shared" si="7"/>
        <v>Living</v>
      </c>
    </row>
    <row r="187" ht="15.75" hidden="1" customHeight="1">
      <c r="A187" s="25" t="str">
        <f t="shared" si="1"/>
        <v>P186</v>
      </c>
      <c r="B187" s="71" t="s">
        <v>108</v>
      </c>
      <c r="C187" s="71" t="s">
        <v>112</v>
      </c>
      <c r="D187" s="71" t="s">
        <v>108</v>
      </c>
      <c r="E187" s="71" t="s">
        <v>98</v>
      </c>
      <c r="F187" s="25" t="s">
        <v>238</v>
      </c>
      <c r="G187" s="1" t="s">
        <v>35</v>
      </c>
      <c r="H187" s="25"/>
      <c r="I187" s="25"/>
      <c r="J187" s="25"/>
      <c r="K187" s="25">
        <f t="shared" si="2"/>
        <v>7</v>
      </c>
      <c r="L187" s="25" t="str">
        <f t="shared" si="8"/>
        <v>الفوزان</v>
      </c>
      <c r="M187" s="25" t="str">
        <f t="shared" si="3"/>
        <v>عبدالعزيز بن خالد بن عبدالعزيز فوزان</v>
      </c>
      <c r="N187" s="25" t="str">
        <f t="shared" si="4"/>
        <v>عبدالعزيز bin خالد bin عبدالعزيز Al-فوزان</v>
      </c>
      <c r="O187" s="25" t="str">
        <f t="shared" si="5"/>
        <v/>
      </c>
      <c r="P187" s="25">
        <f t="shared" si="6"/>
        <v>0</v>
      </c>
      <c r="Q187" s="25"/>
      <c r="R187" s="25"/>
      <c r="S187" s="25" t="str">
        <f t="shared" si="7"/>
        <v>Living</v>
      </c>
    </row>
    <row r="188" ht="15.75" hidden="1" customHeight="1">
      <c r="A188" s="25" t="str">
        <f t="shared" si="1"/>
        <v>P187</v>
      </c>
      <c r="B188" s="71" t="s">
        <v>108</v>
      </c>
      <c r="C188" s="71" t="s">
        <v>111</v>
      </c>
      <c r="D188" s="71" t="s">
        <v>108</v>
      </c>
      <c r="E188" s="71" t="s">
        <v>98</v>
      </c>
      <c r="F188" s="25" t="s">
        <v>240</v>
      </c>
      <c r="G188" s="1" t="s">
        <v>35</v>
      </c>
      <c r="H188" s="25"/>
      <c r="I188" s="25"/>
      <c r="J188" s="25"/>
      <c r="K188" s="25">
        <f t="shared" si="2"/>
        <v>7</v>
      </c>
      <c r="L188" s="25" t="str">
        <f t="shared" si="8"/>
        <v>الفوزان</v>
      </c>
      <c r="M188" s="25" t="str">
        <f t="shared" si="3"/>
        <v>عبدالعزيز بن فهد بن عبدالعزيز فوزان</v>
      </c>
      <c r="N188" s="25" t="str">
        <f t="shared" si="4"/>
        <v>عبدالعزيز bin فهد bin عبدالعزيز Al-فوزان</v>
      </c>
      <c r="O188" s="25" t="str">
        <f t="shared" si="5"/>
        <v/>
      </c>
      <c r="P188" s="25">
        <f t="shared" si="6"/>
        <v>0</v>
      </c>
      <c r="Q188" s="25"/>
      <c r="R188" s="25"/>
      <c r="S188" s="25" t="str">
        <f t="shared" si="7"/>
        <v>Living</v>
      </c>
    </row>
    <row r="189" ht="15.75" hidden="1" customHeight="1">
      <c r="A189" s="25" t="str">
        <f t="shared" si="1"/>
        <v>P188</v>
      </c>
      <c r="B189" s="71" t="s">
        <v>241</v>
      </c>
      <c r="C189" s="71" t="s">
        <v>111</v>
      </c>
      <c r="D189" s="71" t="s">
        <v>108</v>
      </c>
      <c r="E189" s="71" t="s">
        <v>98</v>
      </c>
      <c r="F189" s="25" t="s">
        <v>240</v>
      </c>
      <c r="G189" s="1" t="s">
        <v>35</v>
      </c>
      <c r="H189" s="25"/>
      <c r="I189" s="25"/>
      <c r="J189" s="25"/>
      <c r="K189" s="25">
        <f t="shared" si="2"/>
        <v>7</v>
      </c>
      <c r="L189" s="25" t="str">
        <f t="shared" si="8"/>
        <v>الفوزان</v>
      </c>
      <c r="M189" s="25" t="str">
        <f t="shared" si="3"/>
        <v>عمر بن فهد بن عبدالعزيز فوزان</v>
      </c>
      <c r="N189" s="25" t="str">
        <f t="shared" si="4"/>
        <v>عمر bin فهد bin عبدالعزيز Al-فوزان</v>
      </c>
      <c r="O189" s="25" t="str">
        <f t="shared" si="5"/>
        <v/>
      </c>
      <c r="P189" s="25">
        <f t="shared" si="6"/>
        <v>0</v>
      </c>
      <c r="Q189" s="25"/>
      <c r="R189" s="25"/>
      <c r="S189" s="25" t="str">
        <f t="shared" si="7"/>
        <v>Living</v>
      </c>
    </row>
    <row r="190" ht="15.75" hidden="1" customHeight="1">
      <c r="A190" s="25" t="str">
        <f t="shared" si="1"/>
        <v>P189</v>
      </c>
      <c r="B190" s="71" t="s">
        <v>242</v>
      </c>
      <c r="C190" s="71" t="s">
        <v>111</v>
      </c>
      <c r="D190" s="71" t="s">
        <v>108</v>
      </c>
      <c r="E190" s="71" t="s">
        <v>98</v>
      </c>
      <c r="F190" s="25" t="s">
        <v>240</v>
      </c>
      <c r="G190" s="1" t="s">
        <v>35</v>
      </c>
      <c r="H190" s="25"/>
      <c r="I190" s="25"/>
      <c r="J190" s="25"/>
      <c r="K190" s="25">
        <f t="shared" si="2"/>
        <v>7</v>
      </c>
      <c r="L190" s="25" t="str">
        <f t="shared" si="8"/>
        <v>الفوزان</v>
      </c>
      <c r="M190" s="25" t="str">
        <f t="shared" si="3"/>
        <v>عاصم بن فهد بن عبدالعزيز فوزان</v>
      </c>
      <c r="N190" s="25" t="str">
        <f t="shared" si="4"/>
        <v>عاصم bin فهد bin عبدالعزيز Al-فوزان</v>
      </c>
      <c r="O190" s="25" t="str">
        <f t="shared" si="5"/>
        <v/>
      </c>
      <c r="P190" s="25">
        <f t="shared" si="6"/>
        <v>0</v>
      </c>
      <c r="Q190" s="25"/>
      <c r="R190" s="25"/>
      <c r="S190" s="25" t="str">
        <f t="shared" si="7"/>
        <v>Living</v>
      </c>
    </row>
    <row r="191" ht="15.75" hidden="1" customHeight="1">
      <c r="A191" s="25" t="str">
        <f t="shared" si="1"/>
        <v>P190</v>
      </c>
      <c r="B191" s="71" t="s">
        <v>27</v>
      </c>
      <c r="C191" s="71" t="s">
        <v>119</v>
      </c>
      <c r="D191" s="71" t="s">
        <v>108</v>
      </c>
      <c r="E191" s="71" t="s">
        <v>98</v>
      </c>
      <c r="F191" s="25" t="s">
        <v>243</v>
      </c>
      <c r="G191" s="1" t="s">
        <v>35</v>
      </c>
      <c r="H191" s="25"/>
      <c r="I191" s="25"/>
      <c r="J191" s="25"/>
      <c r="K191" s="25">
        <f t="shared" si="2"/>
        <v>7</v>
      </c>
      <c r="L191" s="25" t="str">
        <f t="shared" si="8"/>
        <v>الفوزان</v>
      </c>
      <c r="M191" s="25" t="str">
        <f t="shared" si="3"/>
        <v>ابراهيم بن عبدالله بن عبدالعزيز فوزان</v>
      </c>
      <c r="N191" s="25" t="str">
        <f t="shared" si="4"/>
        <v>ابراهيم bin عبدالله bin عبدالعزيز Al-فوزان</v>
      </c>
      <c r="O191" s="25" t="str">
        <f t="shared" si="5"/>
        <v/>
      </c>
      <c r="P191" s="25">
        <f t="shared" si="6"/>
        <v>0</v>
      </c>
      <c r="Q191" s="25"/>
      <c r="R191" s="25"/>
      <c r="S191" s="25" t="str">
        <f t="shared" si="7"/>
        <v>Living</v>
      </c>
    </row>
    <row r="192" ht="15.75" hidden="1" customHeight="1">
      <c r="A192" s="25" t="str">
        <f t="shared" si="1"/>
        <v>P191</v>
      </c>
      <c r="B192" s="71" t="s">
        <v>111</v>
      </c>
      <c r="C192" s="71" t="s">
        <v>98</v>
      </c>
      <c r="D192" s="71" t="s">
        <v>108</v>
      </c>
      <c r="E192" s="71" t="s">
        <v>98</v>
      </c>
      <c r="F192" s="25" t="s">
        <v>244</v>
      </c>
      <c r="G192" s="1" t="s">
        <v>35</v>
      </c>
      <c r="H192" s="25"/>
      <c r="I192" s="25"/>
      <c r="J192" s="25"/>
      <c r="K192" s="25">
        <f t="shared" si="2"/>
        <v>7</v>
      </c>
      <c r="L192" s="25" t="str">
        <f t="shared" si="8"/>
        <v>الفوزان</v>
      </c>
      <c r="M192" s="25" t="str">
        <f t="shared" si="3"/>
        <v>فهد بن فوزان بن عبدالعزيز فوزان</v>
      </c>
      <c r="N192" s="25" t="str">
        <f t="shared" si="4"/>
        <v>فهد bin فوزان bin عبدالعزيز Al-فوزان</v>
      </c>
      <c r="O192" s="25" t="str">
        <f t="shared" si="5"/>
        <v/>
      </c>
      <c r="P192" s="25">
        <f t="shared" si="6"/>
        <v>0</v>
      </c>
      <c r="Q192" s="25"/>
      <c r="R192" s="25"/>
      <c r="S192" s="25" t="str">
        <f t="shared" si="7"/>
        <v>Living</v>
      </c>
    </row>
    <row r="193" ht="15.75" hidden="1" customHeight="1">
      <c r="A193" s="25" t="str">
        <f t="shared" si="1"/>
        <v>P192</v>
      </c>
      <c r="B193" s="71" t="s">
        <v>100</v>
      </c>
      <c r="C193" s="71" t="s">
        <v>98</v>
      </c>
      <c r="D193" s="71" t="s">
        <v>108</v>
      </c>
      <c r="E193" s="71" t="s">
        <v>98</v>
      </c>
      <c r="F193" s="25" t="s">
        <v>244</v>
      </c>
      <c r="G193" s="1" t="s">
        <v>35</v>
      </c>
      <c r="H193" s="25"/>
      <c r="I193" s="25"/>
      <c r="J193" s="25"/>
      <c r="K193" s="25">
        <f t="shared" si="2"/>
        <v>7</v>
      </c>
      <c r="L193" s="25" t="str">
        <f t="shared" si="8"/>
        <v>الفوزان</v>
      </c>
      <c r="M193" s="25" t="str">
        <f t="shared" si="3"/>
        <v>محمد بن فوزان بن عبدالعزيز فوزان</v>
      </c>
      <c r="N193" s="25" t="str">
        <f t="shared" si="4"/>
        <v>محمد bin فوزان bin عبدالعزيز Al-فوزان</v>
      </c>
      <c r="O193" s="25" t="str">
        <f t="shared" si="5"/>
        <v/>
      </c>
      <c r="P193" s="25">
        <f t="shared" si="6"/>
        <v>0</v>
      </c>
      <c r="Q193" s="25"/>
      <c r="R193" s="25"/>
      <c r="S193" s="25" t="str">
        <f t="shared" si="7"/>
        <v>Living</v>
      </c>
    </row>
    <row r="194" ht="15.75" hidden="1" customHeight="1">
      <c r="A194" s="25" t="str">
        <f t="shared" si="1"/>
        <v>P193</v>
      </c>
      <c r="B194" s="71" t="s">
        <v>245</v>
      </c>
      <c r="C194" s="71" t="s">
        <v>98</v>
      </c>
      <c r="D194" s="71" t="s">
        <v>108</v>
      </c>
      <c r="E194" s="71" t="s">
        <v>98</v>
      </c>
      <c r="F194" s="25" t="s">
        <v>244</v>
      </c>
      <c r="G194" s="1" t="s">
        <v>35</v>
      </c>
      <c r="H194" s="25"/>
      <c r="I194" s="25"/>
      <c r="J194" s="25"/>
      <c r="K194" s="25">
        <f t="shared" si="2"/>
        <v>7</v>
      </c>
      <c r="L194" s="25" t="str">
        <f t="shared" si="8"/>
        <v>الفوزان</v>
      </c>
      <c r="M194" s="25" t="str">
        <f t="shared" si="3"/>
        <v>مشعل بن فوزان بن عبدالعزيز فوزان</v>
      </c>
      <c r="N194" s="25" t="str">
        <f t="shared" si="4"/>
        <v>مشعل bin فوزان bin عبدالعزيز Al-فوزان</v>
      </c>
      <c r="O194" s="25" t="str">
        <f t="shared" si="5"/>
        <v/>
      </c>
      <c r="P194" s="25">
        <f t="shared" si="6"/>
        <v>0</v>
      </c>
      <c r="Q194" s="25"/>
      <c r="R194" s="25"/>
      <c r="S194" s="25" t="str">
        <f t="shared" si="7"/>
        <v>Living</v>
      </c>
    </row>
    <row r="195" ht="15.75" hidden="1" customHeight="1">
      <c r="A195" s="25" t="str">
        <f t="shared" si="1"/>
        <v>P194</v>
      </c>
      <c r="B195" s="71" t="s">
        <v>246</v>
      </c>
      <c r="C195" s="71" t="s">
        <v>110</v>
      </c>
      <c r="D195" s="71" t="s">
        <v>108</v>
      </c>
      <c r="E195" s="71" t="s">
        <v>98</v>
      </c>
      <c r="F195" s="25" t="s">
        <v>247</v>
      </c>
      <c r="G195" s="1" t="s">
        <v>35</v>
      </c>
      <c r="H195" s="25"/>
      <c r="I195" s="25"/>
      <c r="J195" s="25"/>
      <c r="K195" s="25">
        <f t="shared" si="2"/>
        <v>7</v>
      </c>
      <c r="L195" s="25" t="str">
        <f t="shared" si="8"/>
        <v>الفوزان</v>
      </c>
      <c r="M195" s="25" t="str">
        <f t="shared" si="3"/>
        <v>سعود بن سعد بن عبدالعزيز فوزان</v>
      </c>
      <c r="N195" s="25" t="str">
        <f t="shared" si="4"/>
        <v>سعود bin سعد bin عبدالعزيز Al-فوزان</v>
      </c>
      <c r="O195" s="25" t="str">
        <f t="shared" si="5"/>
        <v/>
      </c>
      <c r="P195" s="25">
        <f t="shared" si="6"/>
        <v>0</v>
      </c>
      <c r="Q195" s="25"/>
      <c r="R195" s="25"/>
      <c r="S195" s="25" t="str">
        <f t="shared" si="7"/>
        <v>Living</v>
      </c>
    </row>
    <row r="196" ht="15.75" hidden="1" customHeight="1">
      <c r="A196" s="25" t="str">
        <f t="shared" si="1"/>
        <v>P195</v>
      </c>
      <c r="B196" s="71" t="s">
        <v>119</v>
      </c>
      <c r="C196" s="71" t="s">
        <v>246</v>
      </c>
      <c r="D196" s="71" t="s">
        <v>110</v>
      </c>
      <c r="E196" s="71" t="s">
        <v>108</v>
      </c>
      <c r="F196" s="25" t="s">
        <v>248</v>
      </c>
      <c r="G196" s="1" t="s">
        <v>35</v>
      </c>
      <c r="H196" s="25"/>
      <c r="I196" s="25"/>
      <c r="J196" s="25"/>
      <c r="K196" s="25">
        <f t="shared" si="2"/>
        <v>8</v>
      </c>
      <c r="L196" s="25" t="str">
        <f t="shared" si="8"/>
        <v>الفوزان</v>
      </c>
      <c r="M196" s="25" t="str">
        <f t="shared" si="3"/>
        <v>عبدالله بن سعود بن سعد عبدالعزيز</v>
      </c>
      <c r="N196" s="25" t="str">
        <f t="shared" si="4"/>
        <v>عبدالله bin سعود bin سعد Al-عبدالعزيز</v>
      </c>
      <c r="O196" s="25" t="str">
        <f t="shared" si="5"/>
        <v/>
      </c>
      <c r="P196" s="25">
        <f t="shared" si="6"/>
        <v>0</v>
      </c>
      <c r="Q196" s="25"/>
      <c r="R196" s="25"/>
      <c r="S196" s="25" t="str">
        <f t="shared" si="7"/>
        <v>Living</v>
      </c>
    </row>
    <row r="197" ht="15.75" hidden="1" customHeight="1">
      <c r="A197" s="25" t="str">
        <f t="shared" si="1"/>
        <v>P196</v>
      </c>
      <c r="B197" s="71" t="s">
        <v>249</v>
      </c>
      <c r="C197" s="71" t="s">
        <v>246</v>
      </c>
      <c r="D197" s="71" t="s">
        <v>110</v>
      </c>
      <c r="E197" s="71" t="s">
        <v>108</v>
      </c>
      <c r="F197" s="25" t="s">
        <v>248</v>
      </c>
      <c r="G197" s="1" t="s">
        <v>35</v>
      </c>
      <c r="H197" s="25"/>
      <c r="I197" s="25"/>
      <c r="J197" s="25"/>
      <c r="K197" s="25">
        <f t="shared" si="2"/>
        <v>8</v>
      </c>
      <c r="L197" s="25" t="str">
        <f t="shared" si="8"/>
        <v>الفوزان</v>
      </c>
      <c r="M197" s="25" t="str">
        <f t="shared" si="3"/>
        <v>اسامه بن سعود بن سعد عبدالعزيز</v>
      </c>
      <c r="N197" s="25" t="str">
        <f t="shared" si="4"/>
        <v>اسامه bin سعود bin سعد Al-عبدالعزيز</v>
      </c>
      <c r="O197" s="25" t="str">
        <f t="shared" si="5"/>
        <v/>
      </c>
      <c r="P197" s="25">
        <f t="shared" si="6"/>
        <v>0</v>
      </c>
      <c r="Q197" s="25"/>
      <c r="R197" s="25"/>
      <c r="S197" s="25" t="str">
        <f t="shared" si="7"/>
        <v>Living</v>
      </c>
    </row>
    <row r="198" ht="15.75" hidden="1" customHeight="1">
      <c r="A198" s="25" t="str">
        <f t="shared" si="1"/>
        <v>P197</v>
      </c>
      <c r="B198" s="71" t="s">
        <v>119</v>
      </c>
      <c r="C198" s="71" t="s">
        <v>110</v>
      </c>
      <c r="D198" s="71" t="s">
        <v>108</v>
      </c>
      <c r="E198" s="71" t="s">
        <v>98</v>
      </c>
      <c r="F198" s="25" t="s">
        <v>247</v>
      </c>
      <c r="G198" s="1" t="s">
        <v>35</v>
      </c>
      <c r="H198" s="25"/>
      <c r="I198" s="25"/>
      <c r="J198" s="25"/>
      <c r="K198" s="25">
        <f t="shared" si="2"/>
        <v>7</v>
      </c>
      <c r="L198" s="25" t="str">
        <f t="shared" si="8"/>
        <v>الفوزان</v>
      </c>
      <c r="M198" s="25" t="str">
        <f t="shared" si="3"/>
        <v>عبدالله بن سعد بن عبدالعزيز فوزان</v>
      </c>
      <c r="N198" s="25" t="str">
        <f t="shared" si="4"/>
        <v>عبدالله bin سعد bin عبدالعزيز Al-فوزان</v>
      </c>
      <c r="O198" s="25" t="str">
        <f t="shared" si="5"/>
        <v/>
      </c>
      <c r="P198" s="25">
        <f t="shared" si="6"/>
        <v>0</v>
      </c>
      <c r="Q198" s="25"/>
      <c r="R198" s="25"/>
      <c r="S198" s="25" t="str">
        <f t="shared" si="7"/>
        <v>Living</v>
      </c>
    </row>
    <row r="199" ht="15.75" hidden="1" customHeight="1">
      <c r="A199" s="25" t="str">
        <f t="shared" si="1"/>
        <v>P198</v>
      </c>
      <c r="B199" s="71" t="s">
        <v>110</v>
      </c>
      <c r="C199" s="71" t="s">
        <v>119</v>
      </c>
      <c r="D199" s="71" t="s">
        <v>110</v>
      </c>
      <c r="E199" s="71" t="s">
        <v>108</v>
      </c>
      <c r="F199" s="25" t="s">
        <v>250</v>
      </c>
      <c r="G199" s="1" t="s">
        <v>35</v>
      </c>
      <c r="H199" s="25"/>
      <c r="I199" s="25"/>
      <c r="J199" s="25"/>
      <c r="K199" s="25">
        <f t="shared" si="2"/>
        <v>8</v>
      </c>
      <c r="L199" s="25" t="str">
        <f t="shared" si="8"/>
        <v>الفوزان</v>
      </c>
      <c r="M199" s="25" t="str">
        <f t="shared" si="3"/>
        <v>سعد بن عبدالله بن سعد عبدالعزيز</v>
      </c>
      <c r="N199" s="25" t="str">
        <f t="shared" si="4"/>
        <v>سعد bin عبدالله bin سعد Al-عبدالعزيز</v>
      </c>
      <c r="O199" s="25" t="str">
        <f t="shared" si="5"/>
        <v/>
      </c>
      <c r="P199" s="25">
        <f t="shared" si="6"/>
        <v>0</v>
      </c>
      <c r="Q199" s="25"/>
      <c r="R199" s="25"/>
      <c r="S199" s="25" t="str">
        <f t="shared" si="7"/>
        <v>Living</v>
      </c>
    </row>
    <row r="200" ht="15.75" hidden="1" customHeight="1">
      <c r="A200" s="25" t="str">
        <f t="shared" si="1"/>
        <v>P199</v>
      </c>
      <c r="B200" s="71" t="s">
        <v>100</v>
      </c>
      <c r="C200" s="71" t="s">
        <v>110</v>
      </c>
      <c r="D200" s="71" t="s">
        <v>108</v>
      </c>
      <c r="E200" s="71" t="s">
        <v>98</v>
      </c>
      <c r="F200" s="25" t="s">
        <v>247</v>
      </c>
      <c r="G200" s="1" t="s">
        <v>35</v>
      </c>
      <c r="H200" s="25"/>
      <c r="I200" s="25"/>
      <c r="J200" s="25"/>
      <c r="K200" s="25">
        <f t="shared" si="2"/>
        <v>7</v>
      </c>
      <c r="L200" s="25" t="str">
        <f t="shared" si="8"/>
        <v>الفوزان</v>
      </c>
      <c r="M200" s="25" t="str">
        <f t="shared" si="3"/>
        <v>محمد بن سعد بن عبدالعزيز فوزان</v>
      </c>
      <c r="N200" s="25" t="str">
        <f t="shared" si="4"/>
        <v>محمد bin سعد bin عبدالعزيز Al-فوزان</v>
      </c>
      <c r="O200" s="25" t="str">
        <f t="shared" si="5"/>
        <v/>
      </c>
      <c r="P200" s="25">
        <f t="shared" si="6"/>
        <v>0</v>
      </c>
      <c r="Q200" s="25"/>
      <c r="R200" s="25"/>
      <c r="S200" s="25" t="str">
        <f t="shared" si="7"/>
        <v>Living</v>
      </c>
    </row>
    <row r="201" ht="15.75" hidden="1" customHeight="1">
      <c r="A201" s="25" t="str">
        <f t="shared" si="1"/>
        <v>P200</v>
      </c>
      <c r="B201" s="71" t="s">
        <v>251</v>
      </c>
      <c r="C201" s="71" t="s">
        <v>110</v>
      </c>
      <c r="D201" s="71" t="s">
        <v>108</v>
      </c>
      <c r="E201" s="71" t="s">
        <v>98</v>
      </c>
      <c r="F201" s="25" t="s">
        <v>247</v>
      </c>
      <c r="G201" s="1" t="s">
        <v>35</v>
      </c>
      <c r="H201" s="25"/>
      <c r="I201" s="25"/>
      <c r="J201" s="25"/>
      <c r="K201" s="25">
        <f t="shared" si="2"/>
        <v>7</v>
      </c>
      <c r="L201" s="25" t="str">
        <f t="shared" si="8"/>
        <v>الفوزان</v>
      </c>
      <c r="M201" s="25" t="str">
        <f t="shared" si="3"/>
        <v>صالح بن سعد بن عبدالعزيز فوزان</v>
      </c>
      <c r="N201" s="25" t="str">
        <f t="shared" si="4"/>
        <v>صالح bin سعد bin عبدالعزيز Al-فوزان</v>
      </c>
      <c r="O201" s="25" t="str">
        <f t="shared" si="5"/>
        <v/>
      </c>
      <c r="P201" s="25">
        <f t="shared" si="6"/>
        <v>0</v>
      </c>
      <c r="Q201" s="25"/>
      <c r="R201" s="25"/>
      <c r="S201" s="25" t="str">
        <f t="shared" si="7"/>
        <v>Living</v>
      </c>
    </row>
    <row r="202" ht="15.75" hidden="1" customHeight="1">
      <c r="A202" s="25" t="str">
        <f t="shared" si="1"/>
        <v>P201</v>
      </c>
      <c r="B202" s="71" t="s">
        <v>142</v>
      </c>
      <c r="C202" s="71" t="s">
        <v>110</v>
      </c>
      <c r="D202" s="71" t="s">
        <v>108</v>
      </c>
      <c r="E202" s="71" t="s">
        <v>98</v>
      </c>
      <c r="F202" s="25" t="s">
        <v>247</v>
      </c>
      <c r="G202" s="1" t="s">
        <v>35</v>
      </c>
      <c r="H202" s="25"/>
      <c r="I202" s="25"/>
      <c r="J202" s="25"/>
      <c r="K202" s="25">
        <f t="shared" si="2"/>
        <v>7</v>
      </c>
      <c r="L202" s="25" t="str">
        <f t="shared" si="8"/>
        <v>الفوزان</v>
      </c>
      <c r="M202" s="25" t="str">
        <f t="shared" si="3"/>
        <v>تميم بن سعد بن عبدالعزيز فوزان</v>
      </c>
      <c r="N202" s="25" t="str">
        <f t="shared" si="4"/>
        <v>تميم bin سعد bin عبدالعزيز Al-فوزان</v>
      </c>
      <c r="O202" s="25" t="str">
        <f t="shared" si="5"/>
        <v/>
      </c>
      <c r="P202" s="25">
        <f t="shared" si="6"/>
        <v>0</v>
      </c>
      <c r="Q202" s="25"/>
      <c r="R202" s="25"/>
      <c r="S202" s="25" t="str">
        <f t="shared" si="7"/>
        <v>Living</v>
      </c>
    </row>
    <row r="203" ht="15.75" hidden="1" customHeight="1">
      <c r="A203" s="25" t="str">
        <f t="shared" si="1"/>
        <v>P202</v>
      </c>
      <c r="B203" s="71" t="s">
        <v>100</v>
      </c>
      <c r="C203" s="71" t="s">
        <v>105</v>
      </c>
      <c r="D203" s="71" t="s">
        <v>108</v>
      </c>
      <c r="E203" s="71" t="s">
        <v>98</v>
      </c>
      <c r="F203" s="25" t="s">
        <v>252</v>
      </c>
      <c r="G203" s="1" t="s">
        <v>35</v>
      </c>
      <c r="H203" s="25"/>
      <c r="I203" s="25"/>
      <c r="J203" s="25"/>
      <c r="K203" s="25">
        <f t="shared" si="2"/>
        <v>7</v>
      </c>
      <c r="L203" s="25" t="str">
        <f t="shared" si="8"/>
        <v>الفوزان</v>
      </c>
      <c r="M203" s="25" t="str">
        <f t="shared" si="3"/>
        <v>محمد بن عبدالرحمن بن عبدالعزيز فوزان</v>
      </c>
      <c r="N203" s="25" t="str">
        <f t="shared" si="4"/>
        <v>محمد bin عبدالرحمن bin عبدالعزيز Al-فوزان</v>
      </c>
      <c r="O203" s="25" t="str">
        <f t="shared" si="5"/>
        <v/>
      </c>
      <c r="P203" s="25">
        <f t="shared" si="6"/>
        <v>0</v>
      </c>
      <c r="Q203" s="25"/>
      <c r="R203" s="25"/>
      <c r="S203" s="25" t="str">
        <f t="shared" si="7"/>
        <v>Living</v>
      </c>
    </row>
    <row r="204" ht="15.75" hidden="1" customHeight="1">
      <c r="A204" s="25" t="str">
        <f t="shared" si="1"/>
        <v>P203</v>
      </c>
      <c r="B204" s="71" t="s">
        <v>119</v>
      </c>
      <c r="C204" s="71" t="s">
        <v>105</v>
      </c>
      <c r="D204" s="71" t="s">
        <v>108</v>
      </c>
      <c r="E204" s="71" t="s">
        <v>98</v>
      </c>
      <c r="F204" s="25" t="s">
        <v>252</v>
      </c>
      <c r="G204" s="1" t="s">
        <v>35</v>
      </c>
      <c r="H204" s="25"/>
      <c r="I204" s="25"/>
      <c r="J204" s="25"/>
      <c r="K204" s="25">
        <f t="shared" si="2"/>
        <v>7</v>
      </c>
      <c r="L204" s="25" t="str">
        <f t="shared" si="8"/>
        <v>الفوزان</v>
      </c>
      <c r="M204" s="25" t="str">
        <f t="shared" si="3"/>
        <v>عبدالله بن عبدالرحمن بن عبدالعزيز فوزان</v>
      </c>
      <c r="N204" s="25" t="str">
        <f t="shared" si="4"/>
        <v>عبدالله bin عبدالرحمن bin عبدالعزيز Al-فوزان</v>
      </c>
      <c r="O204" s="25" t="str">
        <f t="shared" si="5"/>
        <v/>
      </c>
      <c r="P204" s="25">
        <f t="shared" si="6"/>
        <v>0</v>
      </c>
      <c r="Q204" s="25"/>
      <c r="R204" s="25"/>
      <c r="S204" s="25" t="str">
        <f t="shared" si="7"/>
        <v>Living</v>
      </c>
    </row>
    <row r="205" ht="15.75" hidden="1" customHeight="1">
      <c r="A205" s="25" t="str">
        <f t="shared" si="1"/>
        <v>P204</v>
      </c>
      <c r="B205" s="71" t="s">
        <v>140</v>
      </c>
      <c r="C205" s="71" t="s">
        <v>105</v>
      </c>
      <c r="D205" s="71" t="s">
        <v>108</v>
      </c>
      <c r="E205" s="71" t="s">
        <v>98</v>
      </c>
      <c r="F205" s="25" t="s">
        <v>252</v>
      </c>
      <c r="G205" s="1" t="s">
        <v>35</v>
      </c>
      <c r="H205" s="25"/>
      <c r="I205" s="25"/>
      <c r="J205" s="25"/>
      <c r="K205" s="25">
        <f t="shared" si="2"/>
        <v>7</v>
      </c>
      <c r="L205" s="25" t="str">
        <f t="shared" si="8"/>
        <v>الفوزان</v>
      </c>
      <c r="M205" s="25" t="str">
        <f t="shared" si="3"/>
        <v>عبدالمجيد بن عبدالرحمن بن عبدالعزيز فوزان</v>
      </c>
      <c r="N205" s="25" t="str">
        <f t="shared" si="4"/>
        <v>عبدالمجيد bin عبدالرحمن bin عبدالعزيز Al-فوزان</v>
      </c>
      <c r="O205" s="25" t="str">
        <f t="shared" si="5"/>
        <v/>
      </c>
      <c r="P205" s="25">
        <f t="shared" si="6"/>
        <v>0</v>
      </c>
      <c r="Q205" s="25"/>
      <c r="R205" s="25"/>
      <c r="S205" s="25" t="str">
        <f t="shared" si="7"/>
        <v>Living</v>
      </c>
    </row>
    <row r="206" ht="15.75" hidden="1" customHeight="1">
      <c r="A206" s="25" t="str">
        <f t="shared" si="1"/>
        <v>P205</v>
      </c>
      <c r="B206" s="71" t="s">
        <v>108</v>
      </c>
      <c r="C206" s="71" t="s">
        <v>105</v>
      </c>
      <c r="D206" s="71" t="s">
        <v>108</v>
      </c>
      <c r="E206" s="71" t="s">
        <v>98</v>
      </c>
      <c r="F206" s="25" t="s">
        <v>252</v>
      </c>
      <c r="G206" s="1" t="s">
        <v>35</v>
      </c>
      <c r="H206" s="25"/>
      <c r="I206" s="25"/>
      <c r="J206" s="25"/>
      <c r="K206" s="25">
        <f t="shared" si="2"/>
        <v>7</v>
      </c>
      <c r="L206" s="25" t="str">
        <f t="shared" si="8"/>
        <v>الفوزان</v>
      </c>
      <c r="M206" s="25" t="str">
        <f t="shared" si="3"/>
        <v>عبدالعزيز بن عبدالرحمن بن عبدالعزيز فوزان</v>
      </c>
      <c r="N206" s="25" t="str">
        <f t="shared" si="4"/>
        <v>عبدالعزيز bin عبدالرحمن bin عبدالعزيز Al-فوزان</v>
      </c>
      <c r="O206" s="25" t="str">
        <f t="shared" si="5"/>
        <v/>
      </c>
      <c r="P206" s="25">
        <f t="shared" si="6"/>
        <v>0</v>
      </c>
      <c r="Q206" s="25"/>
      <c r="R206" s="25"/>
      <c r="S206" s="25" t="str">
        <f t="shared" si="7"/>
        <v>Living</v>
      </c>
    </row>
    <row r="207" ht="15.75" hidden="1" customHeight="1">
      <c r="A207" s="25" t="str">
        <f t="shared" si="1"/>
        <v>P206</v>
      </c>
      <c r="B207" s="71" t="s">
        <v>253</v>
      </c>
      <c r="C207" s="71" t="s">
        <v>105</v>
      </c>
      <c r="D207" s="71" t="s">
        <v>108</v>
      </c>
      <c r="E207" s="71" t="s">
        <v>98</v>
      </c>
      <c r="F207" s="25" t="s">
        <v>252</v>
      </c>
      <c r="G207" s="1" t="s">
        <v>35</v>
      </c>
      <c r="H207" s="25"/>
      <c r="I207" s="25"/>
      <c r="J207" s="25"/>
      <c r="K207" s="25">
        <f t="shared" si="2"/>
        <v>7</v>
      </c>
      <c r="L207" s="25" t="str">
        <f t="shared" si="8"/>
        <v>الفوزان</v>
      </c>
      <c r="M207" s="25" t="str">
        <f t="shared" si="3"/>
        <v>احمد بن عبدالرحمن بن عبدالعزيز فوزان</v>
      </c>
      <c r="N207" s="25" t="str">
        <f t="shared" si="4"/>
        <v>احمد bin عبدالرحمن bin عبدالعزيز Al-فوزان</v>
      </c>
      <c r="O207" s="25" t="str">
        <f t="shared" si="5"/>
        <v/>
      </c>
      <c r="P207" s="25">
        <f t="shared" si="6"/>
        <v>0</v>
      </c>
      <c r="Q207" s="25"/>
      <c r="R207" s="25"/>
      <c r="S207" s="25" t="str">
        <f t="shared" si="7"/>
        <v>Living</v>
      </c>
    </row>
    <row r="208" ht="15.75" hidden="1" customHeight="1">
      <c r="A208" s="25" t="str">
        <f t="shared" si="1"/>
        <v>P207</v>
      </c>
      <c r="B208" s="71" t="s">
        <v>254</v>
      </c>
      <c r="C208" s="71" t="s">
        <v>105</v>
      </c>
      <c r="D208" s="71" t="s">
        <v>108</v>
      </c>
      <c r="E208" s="71" t="s">
        <v>98</v>
      </c>
      <c r="F208" s="25" t="s">
        <v>252</v>
      </c>
      <c r="G208" s="1" t="s">
        <v>35</v>
      </c>
      <c r="H208" s="25"/>
      <c r="I208" s="25"/>
      <c r="J208" s="25"/>
      <c r="K208" s="25">
        <f t="shared" si="2"/>
        <v>7</v>
      </c>
      <c r="L208" s="25" t="str">
        <f t="shared" si="8"/>
        <v>الفوزان</v>
      </c>
      <c r="M208" s="25" t="str">
        <f t="shared" si="3"/>
        <v>يوسف بن عبدالرحمن بن عبدالعزيز فوزان</v>
      </c>
      <c r="N208" s="25" t="str">
        <f t="shared" si="4"/>
        <v>يوسف bin عبدالرحمن bin عبدالعزيز Al-فوزان</v>
      </c>
      <c r="O208" s="25" t="str">
        <f t="shared" si="5"/>
        <v/>
      </c>
      <c r="P208" s="25">
        <f t="shared" si="6"/>
        <v>0</v>
      </c>
      <c r="Q208" s="25"/>
      <c r="R208" s="25"/>
      <c r="S208" s="25" t="str">
        <f t="shared" si="7"/>
        <v>Living</v>
      </c>
    </row>
    <row r="209" ht="15.75" hidden="1" customHeight="1">
      <c r="A209" s="25" t="str">
        <f t="shared" si="1"/>
        <v>P208</v>
      </c>
      <c r="B209" s="71" t="s">
        <v>121</v>
      </c>
      <c r="C209" s="71" t="s">
        <v>105</v>
      </c>
      <c r="D209" s="71" t="s">
        <v>108</v>
      </c>
      <c r="E209" s="71" t="s">
        <v>98</v>
      </c>
      <c r="F209" s="25" t="s">
        <v>252</v>
      </c>
      <c r="G209" s="1" t="s">
        <v>35</v>
      </c>
      <c r="H209" s="25"/>
      <c r="I209" s="25"/>
      <c r="J209" s="25"/>
      <c r="K209" s="25">
        <f t="shared" si="2"/>
        <v>7</v>
      </c>
      <c r="L209" s="25" t="str">
        <f t="shared" si="8"/>
        <v>الفوزان</v>
      </c>
      <c r="M209" s="25" t="str">
        <f t="shared" si="3"/>
        <v>عبدالاله بن عبدالرحمن بن عبدالعزيز فوزان</v>
      </c>
      <c r="N209" s="25" t="str">
        <f t="shared" si="4"/>
        <v>عبدالاله bin عبدالرحمن bin عبدالعزيز Al-فوزان</v>
      </c>
      <c r="O209" s="25" t="str">
        <f t="shared" si="5"/>
        <v/>
      </c>
      <c r="P209" s="25">
        <f t="shared" si="6"/>
        <v>0</v>
      </c>
      <c r="Q209" s="25"/>
      <c r="R209" s="25"/>
      <c r="S209" s="25" t="str">
        <f t="shared" si="7"/>
        <v>Living</v>
      </c>
    </row>
    <row r="210" ht="15.75" hidden="1" customHeight="1">
      <c r="A210" s="25" t="str">
        <f t="shared" si="1"/>
        <v>P209</v>
      </c>
      <c r="B210" s="71" t="s">
        <v>105</v>
      </c>
      <c r="C210" s="71" t="s">
        <v>100</v>
      </c>
      <c r="D210" s="71" t="s">
        <v>105</v>
      </c>
      <c r="E210" s="71" t="s">
        <v>108</v>
      </c>
      <c r="F210" s="25" t="s">
        <v>255</v>
      </c>
      <c r="G210" s="1" t="s">
        <v>35</v>
      </c>
      <c r="H210" s="25"/>
      <c r="I210" s="25"/>
      <c r="J210" s="25"/>
      <c r="K210" s="25">
        <f t="shared" si="2"/>
        <v>8</v>
      </c>
      <c r="L210" s="25" t="str">
        <f t="shared" si="8"/>
        <v>الفوزان</v>
      </c>
      <c r="M210" s="25" t="str">
        <f t="shared" si="3"/>
        <v>عبدالرحمن بن محمد بن عبدالرحمن عبدالعزيز</v>
      </c>
      <c r="N210" s="25" t="str">
        <f t="shared" si="4"/>
        <v>عبدالرحمن bin محمد bin عبدالرحمن Al-عبدالعزيز</v>
      </c>
      <c r="O210" s="25" t="str">
        <f t="shared" si="5"/>
        <v/>
      </c>
      <c r="P210" s="25">
        <f t="shared" si="6"/>
        <v>0</v>
      </c>
      <c r="Q210" s="25"/>
      <c r="R210" s="25"/>
      <c r="S210" s="25" t="str">
        <f t="shared" si="7"/>
        <v>Living</v>
      </c>
    </row>
    <row r="211" ht="15.75" hidden="1" customHeight="1">
      <c r="A211" s="25" t="str">
        <f t="shared" si="1"/>
        <v>P210</v>
      </c>
      <c r="B211" s="71" t="s">
        <v>108</v>
      </c>
      <c r="C211" s="71" t="s">
        <v>100</v>
      </c>
      <c r="D211" s="71" t="s">
        <v>105</v>
      </c>
      <c r="E211" s="71" t="s">
        <v>108</v>
      </c>
      <c r="F211" s="25" t="s">
        <v>255</v>
      </c>
      <c r="G211" s="1" t="s">
        <v>35</v>
      </c>
      <c r="H211" s="25"/>
      <c r="I211" s="25"/>
      <c r="J211" s="25"/>
      <c r="K211" s="25">
        <f t="shared" si="2"/>
        <v>8</v>
      </c>
      <c r="L211" s="25" t="str">
        <f t="shared" si="8"/>
        <v>الفوزان</v>
      </c>
      <c r="M211" s="25" t="str">
        <f t="shared" si="3"/>
        <v>عبدالعزيز بن محمد بن عبدالرحمن عبدالعزيز</v>
      </c>
      <c r="N211" s="25" t="str">
        <f t="shared" si="4"/>
        <v>عبدالعزيز bin محمد bin عبدالرحمن Al-عبدالعزيز</v>
      </c>
      <c r="O211" s="25" t="str">
        <f t="shared" si="5"/>
        <v/>
      </c>
      <c r="P211" s="25">
        <f t="shared" si="6"/>
        <v>0</v>
      </c>
      <c r="Q211" s="25"/>
      <c r="R211" s="25"/>
      <c r="S211" s="25" t="str">
        <f t="shared" si="7"/>
        <v>Living</v>
      </c>
    </row>
    <row r="212" ht="15.75" hidden="1" customHeight="1">
      <c r="A212" s="25" t="str">
        <f t="shared" si="1"/>
        <v>P211</v>
      </c>
      <c r="B212" s="71" t="s">
        <v>256</v>
      </c>
      <c r="C212" s="71" t="s">
        <v>100</v>
      </c>
      <c r="D212" s="71" t="s">
        <v>105</v>
      </c>
      <c r="E212" s="71" t="s">
        <v>108</v>
      </c>
      <c r="F212" s="25" t="s">
        <v>255</v>
      </c>
      <c r="G212" s="1" t="s">
        <v>35</v>
      </c>
      <c r="H212" s="25"/>
      <c r="I212" s="25"/>
      <c r="J212" s="25"/>
      <c r="K212" s="25">
        <f t="shared" si="2"/>
        <v>8</v>
      </c>
      <c r="L212" s="25" t="str">
        <f t="shared" si="8"/>
        <v>الفوزان</v>
      </c>
      <c r="M212" s="25" t="str">
        <f t="shared" si="3"/>
        <v>نايف بن محمد بن عبدالرحمن عبدالعزيز</v>
      </c>
      <c r="N212" s="25" t="str">
        <f t="shared" si="4"/>
        <v>نايف bin محمد bin عبدالرحمن Al-عبدالعزيز</v>
      </c>
      <c r="O212" s="25" t="str">
        <f t="shared" si="5"/>
        <v/>
      </c>
      <c r="P212" s="25">
        <f t="shared" si="6"/>
        <v>0</v>
      </c>
      <c r="Q212" s="25"/>
      <c r="R212" s="25"/>
      <c r="S212" s="25" t="str">
        <f t="shared" si="7"/>
        <v>Living</v>
      </c>
    </row>
    <row r="213" ht="15.75" hidden="1" customHeight="1">
      <c r="A213" s="25" t="str">
        <f t="shared" si="1"/>
        <v>P212</v>
      </c>
      <c r="B213" s="71" t="s">
        <v>119</v>
      </c>
      <c r="C213" s="71" t="s">
        <v>100</v>
      </c>
      <c r="D213" s="71" t="s">
        <v>105</v>
      </c>
      <c r="E213" s="71" t="s">
        <v>108</v>
      </c>
      <c r="F213" s="25" t="s">
        <v>255</v>
      </c>
      <c r="G213" s="1" t="s">
        <v>35</v>
      </c>
      <c r="H213" s="25"/>
      <c r="I213" s="25"/>
      <c r="J213" s="25"/>
      <c r="K213" s="25">
        <f t="shared" si="2"/>
        <v>8</v>
      </c>
      <c r="L213" s="25" t="str">
        <f t="shared" si="8"/>
        <v>الفوزان</v>
      </c>
      <c r="M213" s="25" t="str">
        <f t="shared" si="3"/>
        <v>عبدالله بن محمد بن عبدالرحمن عبدالعزيز</v>
      </c>
      <c r="N213" s="25" t="str">
        <f t="shared" si="4"/>
        <v>عبدالله bin محمد bin عبدالرحمن Al-عبدالعزيز</v>
      </c>
      <c r="O213" s="25" t="str">
        <f t="shared" si="5"/>
        <v/>
      </c>
      <c r="P213" s="25">
        <f t="shared" si="6"/>
        <v>0</v>
      </c>
      <c r="Q213" s="25"/>
      <c r="R213" s="25"/>
      <c r="S213" s="25" t="str">
        <f t="shared" si="7"/>
        <v>Living</v>
      </c>
    </row>
    <row r="214" ht="15.75" hidden="1" customHeight="1">
      <c r="A214" s="25" t="str">
        <f t="shared" si="1"/>
        <v>P213</v>
      </c>
      <c r="B214" s="71" t="s">
        <v>119</v>
      </c>
      <c r="C214" s="71" t="s">
        <v>100</v>
      </c>
      <c r="D214" s="71" t="s">
        <v>98</v>
      </c>
      <c r="E214" s="71" t="s">
        <v>108</v>
      </c>
      <c r="F214" s="1" t="s">
        <v>257</v>
      </c>
      <c r="G214" s="1" t="s">
        <v>35</v>
      </c>
      <c r="H214" s="25"/>
      <c r="I214" s="25"/>
      <c r="J214" s="25"/>
      <c r="K214" s="25">
        <f t="shared" si="2"/>
        <v>6</v>
      </c>
      <c r="L214" s="25" t="str">
        <f t="shared" si="8"/>
        <v>الفوزان</v>
      </c>
      <c r="M214" s="25" t="str">
        <f t="shared" si="3"/>
        <v>عبدالله بن محمد بن فوزان عبدالعزيز</v>
      </c>
      <c r="N214" s="25" t="str">
        <f t="shared" si="4"/>
        <v>عبدالله bin محمد bin فوزان Al-عبدالعزيز</v>
      </c>
      <c r="O214" s="25" t="str">
        <f t="shared" si="5"/>
        <v/>
      </c>
      <c r="P214" s="25">
        <f t="shared" si="6"/>
        <v>0</v>
      </c>
      <c r="Q214" s="25"/>
      <c r="R214" s="25"/>
      <c r="S214" s="25" t="str">
        <f t="shared" si="7"/>
        <v>Living</v>
      </c>
    </row>
    <row r="215" ht="15.75" hidden="1" customHeight="1">
      <c r="A215" s="25" t="str">
        <f t="shared" si="1"/>
        <v>P214</v>
      </c>
      <c r="B215" s="71" t="s">
        <v>98</v>
      </c>
      <c r="C215" s="71" t="s">
        <v>100</v>
      </c>
      <c r="D215" s="71" t="s">
        <v>98</v>
      </c>
      <c r="E215" s="71" t="s">
        <v>108</v>
      </c>
      <c r="F215" s="1" t="s">
        <v>257</v>
      </c>
      <c r="G215" s="1" t="s">
        <v>35</v>
      </c>
      <c r="H215" s="25"/>
      <c r="I215" s="25"/>
      <c r="J215" s="25"/>
      <c r="K215" s="25">
        <f t="shared" si="2"/>
        <v>6</v>
      </c>
      <c r="L215" s="25" t="str">
        <f t="shared" si="8"/>
        <v>الفوزان</v>
      </c>
      <c r="M215" s="25" t="str">
        <f t="shared" si="3"/>
        <v>فوزان بن محمد بن فوزان عبدالعزيز</v>
      </c>
      <c r="N215" s="25" t="str">
        <f t="shared" si="4"/>
        <v>فوزان bin محمد bin فوزان Al-عبدالعزيز</v>
      </c>
      <c r="O215" s="25" t="str">
        <f t="shared" si="5"/>
        <v/>
      </c>
      <c r="P215" s="25">
        <f t="shared" si="6"/>
        <v>0</v>
      </c>
      <c r="Q215" s="25"/>
      <c r="R215" s="25"/>
      <c r="S215" s="25" t="str">
        <f t="shared" si="7"/>
        <v>Living</v>
      </c>
    </row>
    <row r="216" ht="15.75" hidden="1" customHeight="1">
      <c r="A216" s="25" t="str">
        <f t="shared" si="1"/>
        <v>P215</v>
      </c>
      <c r="B216" s="71" t="s">
        <v>105</v>
      </c>
      <c r="C216" s="71" t="s">
        <v>100</v>
      </c>
      <c r="D216" s="71" t="s">
        <v>98</v>
      </c>
      <c r="E216" s="71" t="s">
        <v>108</v>
      </c>
      <c r="F216" s="1" t="s">
        <v>257</v>
      </c>
      <c r="G216" s="1" t="s">
        <v>35</v>
      </c>
      <c r="H216" s="25"/>
      <c r="I216" s="25"/>
      <c r="J216" s="25"/>
      <c r="K216" s="25">
        <f t="shared" si="2"/>
        <v>6</v>
      </c>
      <c r="L216" s="25" t="str">
        <f t="shared" si="8"/>
        <v>الفوزان</v>
      </c>
      <c r="M216" s="25" t="str">
        <f t="shared" si="3"/>
        <v>عبدالرحمن بن محمد بن فوزان عبدالعزيز</v>
      </c>
      <c r="N216" s="25" t="str">
        <f t="shared" si="4"/>
        <v>عبدالرحمن bin محمد bin فوزان Al-عبدالعزيز</v>
      </c>
      <c r="O216" s="25" t="str">
        <f t="shared" si="5"/>
        <v/>
      </c>
      <c r="P216" s="25">
        <f t="shared" si="6"/>
        <v>0</v>
      </c>
      <c r="Q216" s="25"/>
      <c r="R216" s="25"/>
      <c r="S216" s="25" t="str">
        <f t="shared" si="7"/>
        <v>Living</v>
      </c>
    </row>
    <row r="217" ht="15.75" hidden="1" customHeight="1">
      <c r="A217" s="25" t="str">
        <f t="shared" si="1"/>
        <v>P216</v>
      </c>
      <c r="B217" s="71" t="s">
        <v>100</v>
      </c>
      <c r="C217" s="71" t="s">
        <v>105</v>
      </c>
      <c r="D217" s="71" t="s">
        <v>100</v>
      </c>
      <c r="E217" s="71" t="s">
        <v>98</v>
      </c>
      <c r="F217" s="25" t="s">
        <v>258</v>
      </c>
      <c r="G217" s="1" t="s">
        <v>35</v>
      </c>
      <c r="H217" s="25"/>
      <c r="I217" s="25"/>
      <c r="J217" s="25"/>
      <c r="K217" s="25">
        <f t="shared" si="2"/>
        <v>7</v>
      </c>
      <c r="L217" s="25" t="str">
        <f t="shared" si="8"/>
        <v>الفوزان</v>
      </c>
      <c r="M217" s="25" t="str">
        <f t="shared" si="3"/>
        <v>محمد بن عبدالرحمن بن محمد فوزان</v>
      </c>
      <c r="N217" s="25" t="str">
        <f t="shared" si="4"/>
        <v>محمد bin عبدالرحمن bin محمد Al-فوزان</v>
      </c>
      <c r="O217" s="25" t="str">
        <f t="shared" si="5"/>
        <v/>
      </c>
      <c r="P217" s="25">
        <f t="shared" si="6"/>
        <v>0</v>
      </c>
      <c r="Q217" s="25"/>
      <c r="R217" s="25"/>
      <c r="S217" s="25" t="str">
        <f t="shared" si="7"/>
        <v>Living</v>
      </c>
    </row>
    <row r="218" ht="15.75" hidden="1" customHeight="1">
      <c r="A218" s="25" t="str">
        <f t="shared" si="1"/>
        <v>P217</v>
      </c>
      <c r="B218" s="71" t="s">
        <v>119</v>
      </c>
      <c r="C218" s="71" t="s">
        <v>105</v>
      </c>
      <c r="D218" s="71" t="s">
        <v>100</v>
      </c>
      <c r="E218" s="71" t="s">
        <v>98</v>
      </c>
      <c r="F218" s="25" t="s">
        <v>258</v>
      </c>
      <c r="G218" s="1" t="s">
        <v>35</v>
      </c>
      <c r="H218" s="25"/>
      <c r="I218" s="25"/>
      <c r="J218" s="25"/>
      <c r="K218" s="25">
        <f t="shared" si="2"/>
        <v>7</v>
      </c>
      <c r="L218" s="25" t="str">
        <f t="shared" si="8"/>
        <v>الفوزان</v>
      </c>
      <c r="M218" s="25" t="str">
        <f t="shared" si="3"/>
        <v>عبدالله بن عبدالرحمن بن محمد فوزان</v>
      </c>
      <c r="N218" s="25" t="str">
        <f t="shared" si="4"/>
        <v>عبدالله bin عبدالرحمن bin محمد Al-فوزان</v>
      </c>
      <c r="O218" s="25" t="str">
        <f t="shared" si="5"/>
        <v/>
      </c>
      <c r="P218" s="25">
        <f t="shared" si="6"/>
        <v>0</v>
      </c>
      <c r="Q218" s="25"/>
      <c r="R218" s="25"/>
      <c r="S218" s="25" t="str">
        <f t="shared" si="7"/>
        <v>Living</v>
      </c>
    </row>
    <row r="219" ht="15.75" hidden="1" customHeight="1">
      <c r="A219" s="25" t="str">
        <f t="shared" si="1"/>
        <v>P218</v>
      </c>
      <c r="B219" s="71" t="s">
        <v>100</v>
      </c>
      <c r="C219" s="71" t="s">
        <v>98</v>
      </c>
      <c r="D219" s="71" t="s">
        <v>100</v>
      </c>
      <c r="E219" s="71" t="s">
        <v>98</v>
      </c>
      <c r="F219" s="25" t="s">
        <v>259</v>
      </c>
      <c r="G219" s="1" t="s">
        <v>35</v>
      </c>
      <c r="H219" s="25"/>
      <c r="I219" s="25"/>
      <c r="J219" s="25"/>
      <c r="K219" s="25">
        <f t="shared" si="2"/>
        <v>7</v>
      </c>
      <c r="L219" s="25" t="str">
        <f t="shared" si="8"/>
        <v>الفوزان</v>
      </c>
      <c r="M219" s="25" t="str">
        <f t="shared" si="3"/>
        <v>محمد بن فوزان بن محمد فوزان</v>
      </c>
      <c r="N219" s="25" t="str">
        <f t="shared" si="4"/>
        <v>محمد bin فوزان bin محمد Al-فوزان</v>
      </c>
      <c r="O219" s="25" t="str">
        <f t="shared" si="5"/>
        <v/>
      </c>
      <c r="P219" s="25">
        <f t="shared" si="6"/>
        <v>0</v>
      </c>
      <c r="Q219" s="25"/>
      <c r="R219" s="25"/>
      <c r="S219" s="25" t="str">
        <f t="shared" si="7"/>
        <v>Living</v>
      </c>
    </row>
    <row r="220" ht="15.75" hidden="1" customHeight="1">
      <c r="A220" s="25" t="str">
        <f t="shared" si="1"/>
        <v>P219</v>
      </c>
      <c r="B220" s="71" t="s">
        <v>249</v>
      </c>
      <c r="C220" s="71" t="s">
        <v>98</v>
      </c>
      <c r="D220" s="71" t="s">
        <v>100</v>
      </c>
      <c r="E220" s="71" t="s">
        <v>98</v>
      </c>
      <c r="F220" s="25" t="s">
        <v>259</v>
      </c>
      <c r="G220" s="1" t="s">
        <v>35</v>
      </c>
      <c r="H220" s="25"/>
      <c r="I220" s="25"/>
      <c r="J220" s="25"/>
      <c r="K220" s="25">
        <f t="shared" si="2"/>
        <v>7</v>
      </c>
      <c r="L220" s="25" t="str">
        <f t="shared" si="8"/>
        <v>الفوزان</v>
      </c>
      <c r="M220" s="25" t="str">
        <f t="shared" si="3"/>
        <v>اسامه بن فوزان بن محمد فوزان</v>
      </c>
      <c r="N220" s="25" t="str">
        <f t="shared" si="4"/>
        <v>اسامه bin فوزان bin محمد Al-فوزان</v>
      </c>
      <c r="O220" s="25" t="str">
        <f t="shared" si="5"/>
        <v/>
      </c>
      <c r="P220" s="25">
        <f t="shared" si="6"/>
        <v>0</v>
      </c>
      <c r="Q220" s="25"/>
      <c r="R220" s="25"/>
      <c r="S220" s="25" t="str">
        <f t="shared" si="7"/>
        <v>Living</v>
      </c>
    </row>
    <row r="221" ht="15.75" hidden="1" customHeight="1">
      <c r="A221" s="25" t="str">
        <f t="shared" si="1"/>
        <v>P220</v>
      </c>
      <c r="B221" s="71" t="s">
        <v>260</v>
      </c>
      <c r="C221" s="71" t="s">
        <v>98</v>
      </c>
      <c r="D221" s="71" t="s">
        <v>100</v>
      </c>
      <c r="E221" s="71" t="s">
        <v>98</v>
      </c>
      <c r="F221" s="25" t="s">
        <v>259</v>
      </c>
      <c r="G221" s="1" t="s">
        <v>35</v>
      </c>
      <c r="H221" s="25"/>
      <c r="I221" s="25"/>
      <c r="J221" s="25"/>
      <c r="K221" s="25">
        <f t="shared" si="2"/>
        <v>7</v>
      </c>
      <c r="L221" s="25" t="str">
        <f t="shared" si="8"/>
        <v>الفوزان</v>
      </c>
      <c r="M221" s="25" t="str">
        <f t="shared" si="3"/>
        <v>باسل بن فوزان بن محمد فوزان</v>
      </c>
      <c r="N221" s="25" t="str">
        <f t="shared" si="4"/>
        <v>باسل bin فوزان bin محمد Al-فوزان</v>
      </c>
      <c r="O221" s="25" t="str">
        <f t="shared" si="5"/>
        <v/>
      </c>
      <c r="P221" s="25">
        <f t="shared" si="6"/>
        <v>0</v>
      </c>
      <c r="Q221" s="25"/>
      <c r="R221" s="25"/>
      <c r="S221" s="25" t="str">
        <f t="shared" si="7"/>
        <v>Living</v>
      </c>
    </row>
    <row r="222" ht="15.75" hidden="1" customHeight="1">
      <c r="A222" s="25" t="str">
        <f t="shared" si="1"/>
        <v>P221</v>
      </c>
      <c r="B222" s="71" t="s">
        <v>261</v>
      </c>
      <c r="C222" s="71" t="s">
        <v>98</v>
      </c>
      <c r="D222" s="71" t="s">
        <v>100</v>
      </c>
      <c r="E222" s="71" t="s">
        <v>98</v>
      </c>
      <c r="F222" s="25" t="s">
        <v>259</v>
      </c>
      <c r="G222" s="1" t="s">
        <v>35</v>
      </c>
      <c r="H222" s="25"/>
      <c r="I222" s="25"/>
      <c r="J222" s="25"/>
      <c r="K222" s="25">
        <f t="shared" si="2"/>
        <v>7</v>
      </c>
      <c r="L222" s="25" t="str">
        <f t="shared" si="8"/>
        <v>الفوزان</v>
      </c>
      <c r="M222" s="25" t="str">
        <f t="shared" si="3"/>
        <v>حسام بن فوزان بن محمد فوزان</v>
      </c>
      <c r="N222" s="25" t="str">
        <f t="shared" si="4"/>
        <v>حسام bin فوزان bin محمد Al-فوزان</v>
      </c>
      <c r="O222" s="25" t="str">
        <f t="shared" si="5"/>
        <v/>
      </c>
      <c r="P222" s="25">
        <f t="shared" si="6"/>
        <v>0</v>
      </c>
      <c r="Q222" s="25"/>
      <c r="R222" s="25"/>
      <c r="S222" s="25" t="str">
        <f t="shared" si="7"/>
        <v>Living</v>
      </c>
    </row>
    <row r="223" ht="15.75" hidden="1" customHeight="1">
      <c r="A223" s="25" t="str">
        <f t="shared" si="1"/>
        <v>P222</v>
      </c>
      <c r="B223" s="71" t="s">
        <v>262</v>
      </c>
      <c r="C223" s="71" t="s">
        <v>98</v>
      </c>
      <c r="D223" s="71" t="s">
        <v>100</v>
      </c>
      <c r="E223" s="71" t="s">
        <v>98</v>
      </c>
      <c r="F223" s="25" t="s">
        <v>259</v>
      </c>
      <c r="G223" s="1" t="s">
        <v>35</v>
      </c>
      <c r="H223" s="25"/>
      <c r="I223" s="25"/>
      <c r="J223" s="25"/>
      <c r="K223" s="25">
        <f t="shared" si="2"/>
        <v>7</v>
      </c>
      <c r="L223" s="25" t="str">
        <f t="shared" si="8"/>
        <v>الفوزان</v>
      </c>
      <c r="M223" s="25" t="str">
        <f t="shared" si="3"/>
        <v>انس بن فوزان بن محمد فوزان</v>
      </c>
      <c r="N223" s="25" t="str">
        <f t="shared" si="4"/>
        <v>انس bin فوزان bin محمد Al-فوزان</v>
      </c>
      <c r="O223" s="25" t="str">
        <f t="shared" si="5"/>
        <v/>
      </c>
      <c r="P223" s="25">
        <f t="shared" si="6"/>
        <v>0</v>
      </c>
      <c r="Q223" s="25"/>
      <c r="R223" s="25"/>
      <c r="S223" s="25" t="str">
        <f t="shared" si="7"/>
        <v>Living</v>
      </c>
    </row>
    <row r="224" ht="15.75" hidden="1" customHeight="1">
      <c r="A224" s="25" t="str">
        <f t="shared" si="1"/>
        <v>P223</v>
      </c>
      <c r="B224" s="71" t="s">
        <v>241</v>
      </c>
      <c r="C224" s="71" t="s">
        <v>100</v>
      </c>
      <c r="D224" s="71" t="s">
        <v>105</v>
      </c>
      <c r="E224" s="71" t="s">
        <v>100</v>
      </c>
      <c r="F224" s="25" t="s">
        <v>263</v>
      </c>
      <c r="G224" s="1" t="s">
        <v>35</v>
      </c>
      <c r="H224" s="25"/>
      <c r="I224" s="25"/>
      <c r="J224" s="25"/>
      <c r="K224" s="25">
        <f t="shared" si="2"/>
        <v>8</v>
      </c>
      <c r="L224" s="25" t="str">
        <f t="shared" si="8"/>
        <v>الفوزان</v>
      </c>
      <c r="M224" s="25" t="str">
        <f t="shared" si="3"/>
        <v>عمر بن محمد بن عبدالرحمن محمد</v>
      </c>
      <c r="N224" s="25" t="str">
        <f t="shared" si="4"/>
        <v>عمر bin محمد bin عبدالرحمن Al-محمد</v>
      </c>
      <c r="O224" s="25" t="str">
        <f t="shared" si="5"/>
        <v/>
      </c>
      <c r="P224" s="25">
        <f t="shared" si="6"/>
        <v>0</v>
      </c>
      <c r="Q224" s="25"/>
      <c r="R224" s="25"/>
      <c r="S224" s="25" t="str">
        <f t="shared" si="7"/>
        <v>Living</v>
      </c>
    </row>
    <row r="225" ht="15.75" hidden="1" customHeight="1">
      <c r="A225" s="25" t="str">
        <f t="shared" si="1"/>
        <v>P224</v>
      </c>
      <c r="B225" s="71" t="s">
        <v>105</v>
      </c>
      <c r="C225" s="71" t="s">
        <v>100</v>
      </c>
      <c r="D225" s="71" t="s">
        <v>105</v>
      </c>
      <c r="E225" s="71" t="s">
        <v>100</v>
      </c>
      <c r="F225" s="25" t="s">
        <v>263</v>
      </c>
      <c r="G225" s="1" t="s">
        <v>35</v>
      </c>
      <c r="H225" s="25"/>
      <c r="I225" s="25"/>
      <c r="J225" s="25"/>
      <c r="K225" s="25">
        <f t="shared" si="2"/>
        <v>8</v>
      </c>
      <c r="L225" s="25" t="str">
        <f t="shared" si="8"/>
        <v>الفوزان</v>
      </c>
      <c r="M225" s="25" t="str">
        <f t="shared" si="3"/>
        <v>عبدالرحمن بن محمد بن عبدالرحمن محمد</v>
      </c>
      <c r="N225" s="25" t="str">
        <f t="shared" si="4"/>
        <v>عبدالرحمن bin محمد bin عبدالرحمن Al-محمد</v>
      </c>
      <c r="O225" s="25" t="str">
        <f t="shared" si="5"/>
        <v/>
      </c>
      <c r="P225" s="25">
        <f t="shared" si="6"/>
        <v>0</v>
      </c>
      <c r="Q225" s="25"/>
      <c r="R225" s="25"/>
      <c r="S225" s="25" t="str">
        <f t="shared" si="7"/>
        <v>Living</v>
      </c>
    </row>
    <row r="226" ht="15.75" hidden="1" customHeight="1">
      <c r="A226" s="25" t="str">
        <f t="shared" si="1"/>
        <v>P225</v>
      </c>
      <c r="B226" s="71" t="s">
        <v>100</v>
      </c>
      <c r="C226" s="71" t="s">
        <v>119</v>
      </c>
      <c r="D226" s="71" t="s">
        <v>100</v>
      </c>
      <c r="E226" s="71" t="s">
        <v>98</v>
      </c>
      <c r="F226" s="1" t="s">
        <v>264</v>
      </c>
      <c r="G226" s="1" t="s">
        <v>35</v>
      </c>
      <c r="H226" s="25"/>
      <c r="I226" s="25"/>
      <c r="J226" s="25"/>
      <c r="K226" s="25">
        <f t="shared" si="2"/>
        <v>7</v>
      </c>
      <c r="L226" s="25" t="str">
        <f t="shared" si="8"/>
        <v>الفوزان</v>
      </c>
      <c r="M226" s="25" t="str">
        <f t="shared" si="3"/>
        <v>محمد بن عبدالله بن محمد فوزان</v>
      </c>
      <c r="N226" s="25" t="str">
        <f t="shared" si="4"/>
        <v>محمد bin عبدالله bin محمد Al-فوزان</v>
      </c>
      <c r="O226" s="25" t="str">
        <f t="shared" si="5"/>
        <v/>
      </c>
      <c r="P226" s="25">
        <f t="shared" si="6"/>
        <v>0</v>
      </c>
      <c r="Q226" s="25"/>
      <c r="R226" s="25"/>
      <c r="S226" s="25" t="str">
        <f t="shared" si="7"/>
        <v>Living</v>
      </c>
    </row>
    <row r="227" ht="15.75" hidden="1" customHeight="1">
      <c r="A227" s="25" t="str">
        <f t="shared" si="1"/>
        <v>P226</v>
      </c>
      <c r="B227" s="71" t="s">
        <v>119</v>
      </c>
      <c r="C227" s="71" t="s">
        <v>100</v>
      </c>
      <c r="D227" s="71" t="s">
        <v>119</v>
      </c>
      <c r="E227" s="71" t="s">
        <v>100</v>
      </c>
      <c r="F227" s="25" t="s">
        <v>265</v>
      </c>
      <c r="G227" s="1" t="s">
        <v>35</v>
      </c>
      <c r="H227" s="25"/>
      <c r="I227" s="25"/>
      <c r="J227" s="25"/>
      <c r="K227" s="25">
        <f t="shared" si="2"/>
        <v>8</v>
      </c>
      <c r="L227" s="25" t="str">
        <f t="shared" si="8"/>
        <v>الفوزان</v>
      </c>
      <c r="M227" s="25" t="str">
        <f t="shared" si="3"/>
        <v>عبدالله بن محمد بن عبدالله محمد</v>
      </c>
      <c r="N227" s="25" t="str">
        <f t="shared" si="4"/>
        <v>عبدالله bin محمد bin عبدالله Al-محمد</v>
      </c>
      <c r="O227" s="25" t="str">
        <f t="shared" si="5"/>
        <v/>
      </c>
      <c r="P227" s="25">
        <f t="shared" si="6"/>
        <v>0</v>
      </c>
      <c r="Q227" s="25"/>
      <c r="R227" s="25"/>
      <c r="S227" s="25" t="str">
        <f t="shared" si="7"/>
        <v>Living</v>
      </c>
    </row>
    <row r="228" ht="15.75" hidden="1" customHeight="1">
      <c r="A228" s="25" t="str">
        <f t="shared" si="1"/>
        <v>P227</v>
      </c>
      <c r="B228" s="71" t="s">
        <v>98</v>
      </c>
      <c r="C228" s="71" t="s">
        <v>100</v>
      </c>
      <c r="D228" s="71" t="s">
        <v>98</v>
      </c>
      <c r="E228" s="71" t="s">
        <v>108</v>
      </c>
      <c r="F228" s="25" t="s">
        <v>266</v>
      </c>
      <c r="G228" s="1" t="s">
        <v>35</v>
      </c>
      <c r="H228" s="25"/>
      <c r="I228" s="25"/>
      <c r="J228" s="25"/>
      <c r="K228" s="25">
        <f t="shared" si="2"/>
        <v>8</v>
      </c>
      <c r="L228" s="25" t="str">
        <f t="shared" si="8"/>
        <v>الفوزان</v>
      </c>
      <c r="M228" s="25" t="str">
        <f t="shared" si="3"/>
        <v>فوزان بن محمد بن فوزان عبدالعزيز</v>
      </c>
      <c r="N228" s="25" t="str">
        <f t="shared" si="4"/>
        <v>فوزان bin محمد bin فوزان Al-عبدالعزيز</v>
      </c>
      <c r="O228" s="25" t="str">
        <f t="shared" si="5"/>
        <v/>
      </c>
      <c r="P228" s="25">
        <f t="shared" si="6"/>
        <v>0</v>
      </c>
      <c r="Q228" s="25"/>
      <c r="R228" s="25"/>
      <c r="S228" s="25" t="str">
        <f t="shared" si="7"/>
        <v>Living</v>
      </c>
    </row>
    <row r="229" ht="15.75" hidden="1" customHeight="1">
      <c r="A229" s="25" t="str">
        <f t="shared" si="1"/>
        <v>P228</v>
      </c>
      <c r="B229" s="71" t="s">
        <v>105</v>
      </c>
      <c r="C229" s="71" t="s">
        <v>100</v>
      </c>
      <c r="D229" s="71" t="s">
        <v>98</v>
      </c>
      <c r="E229" s="71" t="s">
        <v>108</v>
      </c>
      <c r="F229" s="25" t="s">
        <v>266</v>
      </c>
      <c r="G229" s="1" t="s">
        <v>35</v>
      </c>
      <c r="H229" s="25"/>
      <c r="I229" s="25"/>
      <c r="J229" s="25"/>
      <c r="K229" s="25">
        <f t="shared" si="2"/>
        <v>8</v>
      </c>
      <c r="L229" s="25" t="str">
        <f t="shared" si="8"/>
        <v>الفوزان</v>
      </c>
      <c r="M229" s="25" t="str">
        <f t="shared" si="3"/>
        <v>عبدالرحمن بن محمد بن فوزان عبدالعزيز</v>
      </c>
      <c r="N229" s="25" t="str">
        <f t="shared" si="4"/>
        <v>عبدالرحمن bin محمد bin فوزان Al-عبدالعزيز</v>
      </c>
      <c r="O229" s="25" t="str">
        <f t="shared" si="5"/>
        <v/>
      </c>
      <c r="P229" s="25">
        <f t="shared" si="6"/>
        <v>0</v>
      </c>
      <c r="Q229" s="25"/>
      <c r="R229" s="25"/>
      <c r="S229" s="25" t="str">
        <f t="shared" si="7"/>
        <v>Living</v>
      </c>
    </row>
    <row r="230" ht="15.75" hidden="1" customHeight="1">
      <c r="A230" s="25" t="str">
        <f t="shared" si="1"/>
        <v>P229</v>
      </c>
      <c r="B230" s="71" t="s">
        <v>100</v>
      </c>
      <c r="C230" s="71" t="s">
        <v>98</v>
      </c>
      <c r="D230" s="71" t="s">
        <v>100</v>
      </c>
      <c r="E230" s="71" t="s">
        <v>98</v>
      </c>
      <c r="F230" s="25" t="s">
        <v>267</v>
      </c>
      <c r="G230" s="1" t="s">
        <v>35</v>
      </c>
      <c r="H230" s="25"/>
      <c r="I230" s="25"/>
      <c r="J230" s="25"/>
      <c r="K230" s="25">
        <f t="shared" si="2"/>
        <v>9</v>
      </c>
      <c r="L230" s="25" t="str">
        <f t="shared" si="8"/>
        <v>الفوزان</v>
      </c>
      <c r="M230" s="25" t="str">
        <f t="shared" si="3"/>
        <v>محمد بن فوزان بن محمد فوزان</v>
      </c>
      <c r="N230" s="25" t="str">
        <f t="shared" si="4"/>
        <v>محمد bin فوزان bin محمد Al-فوزان</v>
      </c>
      <c r="O230" s="25" t="str">
        <f t="shared" si="5"/>
        <v/>
      </c>
      <c r="P230" s="25">
        <f t="shared" si="6"/>
        <v>0</v>
      </c>
      <c r="Q230" s="25"/>
      <c r="R230" s="25"/>
      <c r="S230" s="25" t="str">
        <f t="shared" si="7"/>
        <v>Living</v>
      </c>
    </row>
    <row r="231" ht="15.75" hidden="1" customHeight="1">
      <c r="A231" s="25" t="str">
        <f t="shared" si="1"/>
        <v>P230</v>
      </c>
      <c r="B231" s="71" t="s">
        <v>241</v>
      </c>
      <c r="C231" s="71" t="s">
        <v>100</v>
      </c>
      <c r="D231" s="71" t="s">
        <v>98</v>
      </c>
      <c r="E231" s="71" t="s">
        <v>100</v>
      </c>
      <c r="F231" s="25" t="s">
        <v>268</v>
      </c>
      <c r="G231" s="1" t="s">
        <v>35</v>
      </c>
      <c r="H231" s="25"/>
      <c r="I231" s="25"/>
      <c r="J231" s="25"/>
      <c r="K231" s="25">
        <f t="shared" si="2"/>
        <v>10</v>
      </c>
      <c r="L231" s="25" t="str">
        <f t="shared" si="8"/>
        <v>الفوزان</v>
      </c>
      <c r="M231" s="25" t="str">
        <f t="shared" si="3"/>
        <v>عمر بن محمد بن فوزان محمد</v>
      </c>
      <c r="N231" s="25" t="str">
        <f t="shared" si="4"/>
        <v>عمر bin محمد bin فوزان Al-محمد</v>
      </c>
      <c r="O231" s="25" t="str">
        <f t="shared" si="5"/>
        <v/>
      </c>
      <c r="P231" s="25">
        <f t="shared" si="6"/>
        <v>0</v>
      </c>
      <c r="Q231" s="25"/>
      <c r="R231" s="25"/>
      <c r="S231" s="25" t="str">
        <f t="shared" si="7"/>
        <v>Living</v>
      </c>
    </row>
    <row r="232" ht="15.75" hidden="1" customHeight="1">
      <c r="A232" s="25" t="str">
        <f t="shared" si="1"/>
        <v>P231</v>
      </c>
      <c r="B232" s="71" t="s">
        <v>105</v>
      </c>
      <c r="C232" s="71" t="s">
        <v>100</v>
      </c>
      <c r="D232" s="71" t="s">
        <v>98</v>
      </c>
      <c r="E232" s="71" t="s">
        <v>100</v>
      </c>
      <c r="F232" s="25" t="s">
        <v>268</v>
      </c>
      <c r="G232" s="1" t="s">
        <v>35</v>
      </c>
      <c r="H232" s="25"/>
      <c r="I232" s="25"/>
      <c r="J232" s="25"/>
      <c r="K232" s="25">
        <f t="shared" si="2"/>
        <v>10</v>
      </c>
      <c r="L232" s="25" t="str">
        <f t="shared" si="8"/>
        <v>الفوزان</v>
      </c>
      <c r="M232" s="25" t="str">
        <f t="shared" si="3"/>
        <v>عبدالرحمن بن محمد بن فوزان محمد</v>
      </c>
      <c r="N232" s="25" t="str">
        <f t="shared" si="4"/>
        <v>عبدالرحمن bin محمد bin فوزان Al-محمد</v>
      </c>
      <c r="O232" s="25" t="str">
        <f t="shared" si="5"/>
        <v/>
      </c>
      <c r="P232" s="25">
        <f t="shared" si="6"/>
        <v>0</v>
      </c>
      <c r="Q232" s="25"/>
      <c r="R232" s="25"/>
      <c r="S232" s="25" t="str">
        <f t="shared" si="7"/>
        <v>Living</v>
      </c>
    </row>
    <row r="233" ht="15.75" hidden="1" customHeight="1">
      <c r="A233" s="25" t="str">
        <f t="shared" si="1"/>
        <v>P232</v>
      </c>
      <c r="B233" s="71" t="s">
        <v>100</v>
      </c>
      <c r="C233" s="71" t="s">
        <v>105</v>
      </c>
      <c r="D233" s="71" t="s">
        <v>100</v>
      </c>
      <c r="E233" s="71" t="s">
        <v>98</v>
      </c>
      <c r="F233" s="25" t="s">
        <v>269</v>
      </c>
      <c r="G233" s="1" t="s">
        <v>35</v>
      </c>
      <c r="H233" s="25"/>
      <c r="I233" s="25"/>
      <c r="J233" s="25"/>
      <c r="K233" s="25">
        <f t="shared" si="2"/>
        <v>9</v>
      </c>
      <c r="L233" s="25" t="str">
        <f t="shared" si="8"/>
        <v>الفوزان</v>
      </c>
      <c r="M233" s="25" t="str">
        <f t="shared" si="3"/>
        <v>محمد بن عبدالرحمن بن محمد فوزان</v>
      </c>
      <c r="N233" s="25" t="str">
        <f t="shared" si="4"/>
        <v>محمد bin عبدالرحمن bin محمد Al-فوزان</v>
      </c>
      <c r="O233" s="25" t="str">
        <f t="shared" si="5"/>
        <v/>
      </c>
      <c r="P233" s="25">
        <f t="shared" si="6"/>
        <v>0</v>
      </c>
      <c r="Q233" s="25"/>
      <c r="R233" s="25"/>
      <c r="S233" s="25" t="str">
        <f t="shared" si="7"/>
        <v>Living</v>
      </c>
    </row>
    <row r="234" ht="15.75" hidden="1" customHeight="1">
      <c r="A234" s="25" t="str">
        <f t="shared" si="1"/>
        <v>P233</v>
      </c>
      <c r="B234" s="71" t="s">
        <v>119</v>
      </c>
      <c r="C234" s="71" t="s">
        <v>105</v>
      </c>
      <c r="D234" s="71" t="s">
        <v>100</v>
      </c>
      <c r="E234" s="71" t="s">
        <v>98</v>
      </c>
      <c r="F234" s="25" t="s">
        <v>269</v>
      </c>
      <c r="G234" s="1" t="s">
        <v>35</v>
      </c>
      <c r="H234" s="25"/>
      <c r="I234" s="25"/>
      <c r="J234" s="25"/>
      <c r="K234" s="25">
        <f t="shared" si="2"/>
        <v>9</v>
      </c>
      <c r="L234" s="25" t="str">
        <f t="shared" si="8"/>
        <v>الفوزان</v>
      </c>
      <c r="M234" s="25" t="str">
        <f t="shared" si="3"/>
        <v>عبدالله بن عبدالرحمن بن محمد فوزان</v>
      </c>
      <c r="N234" s="25" t="str">
        <f t="shared" si="4"/>
        <v>عبدالله bin عبدالرحمن bin محمد Al-فوزان</v>
      </c>
      <c r="O234" s="25" t="str">
        <f t="shared" si="5"/>
        <v/>
      </c>
      <c r="P234" s="25">
        <f t="shared" si="6"/>
        <v>0</v>
      </c>
      <c r="Q234" s="25"/>
      <c r="R234" s="25"/>
      <c r="S234" s="25" t="str">
        <f t="shared" si="7"/>
        <v>Living</v>
      </c>
    </row>
    <row r="235" ht="15.75" customHeight="1">
      <c r="A235" s="25" t="str">
        <f t="shared" si="1"/>
        <v>P234</v>
      </c>
      <c r="B235" s="71" t="s">
        <v>119</v>
      </c>
      <c r="C235" s="71" t="s">
        <v>96</v>
      </c>
      <c r="D235" s="71" t="s">
        <v>31</v>
      </c>
      <c r="E235" s="25"/>
      <c r="F235" s="25" t="s">
        <v>270</v>
      </c>
      <c r="G235" s="1" t="s">
        <v>35</v>
      </c>
      <c r="H235" s="25"/>
      <c r="I235" s="25"/>
      <c r="J235" s="25"/>
      <c r="K235" s="25">
        <f t="shared" si="2"/>
        <v>3</v>
      </c>
      <c r="L235" s="25" t="str">
        <f t="shared" si="8"/>
        <v>العبدالكريم</v>
      </c>
      <c r="M235" s="25" t="str">
        <f t="shared" si="3"/>
        <v>عبدالله بن عبدالكريم بن حمد </v>
      </c>
      <c r="N235" s="25" t="str">
        <f t="shared" si="4"/>
        <v>عبدالله bin عبدالكريم bin حمد Al-</v>
      </c>
      <c r="O235" s="25" t="str">
        <f t="shared" si="5"/>
        <v/>
      </c>
      <c r="P235" s="25">
        <f t="shared" si="6"/>
        <v>0</v>
      </c>
      <c r="Q235" s="25"/>
      <c r="R235" s="25"/>
      <c r="S235" s="25" t="str">
        <f t="shared" si="7"/>
        <v>Living</v>
      </c>
    </row>
    <row r="236" ht="15.75" customHeight="1">
      <c r="A236" s="25" t="str">
        <f t="shared" si="1"/>
        <v>P235</v>
      </c>
      <c r="B236" s="71" t="s">
        <v>96</v>
      </c>
      <c r="C236" s="71" t="s">
        <v>119</v>
      </c>
      <c r="D236" s="71" t="s">
        <v>96</v>
      </c>
      <c r="E236" s="71" t="s">
        <v>31</v>
      </c>
      <c r="F236" s="25" t="s">
        <v>271</v>
      </c>
      <c r="G236" s="1" t="s">
        <v>35</v>
      </c>
      <c r="H236" s="25"/>
      <c r="I236" s="25"/>
      <c r="J236" s="25"/>
      <c r="K236" s="25">
        <f t="shared" si="2"/>
        <v>4</v>
      </c>
      <c r="L236" s="25" t="str">
        <f t="shared" si="8"/>
        <v>العبدالكريم</v>
      </c>
      <c r="M236" s="25" t="str">
        <f t="shared" si="3"/>
        <v>عبدالكريم بن عبدالله بن عبدالكريم حمد</v>
      </c>
      <c r="N236" s="25" t="str">
        <f t="shared" si="4"/>
        <v>عبدالكريم bin عبدالله bin عبدالكريم Al-حمد</v>
      </c>
      <c r="O236" s="25" t="str">
        <f t="shared" si="5"/>
        <v/>
      </c>
      <c r="P236" s="25">
        <f t="shared" si="6"/>
        <v>0</v>
      </c>
      <c r="Q236" s="25"/>
      <c r="R236" s="25"/>
      <c r="S236" s="25" t="str">
        <f t="shared" si="7"/>
        <v>Living</v>
      </c>
    </row>
    <row r="237" ht="15.75" customHeight="1">
      <c r="A237" s="25" t="str">
        <f t="shared" si="1"/>
        <v>P236</v>
      </c>
      <c r="B237" s="71" t="s">
        <v>100</v>
      </c>
      <c r="C237" s="71" t="s">
        <v>119</v>
      </c>
      <c r="D237" s="71" t="s">
        <v>96</v>
      </c>
      <c r="E237" s="71" t="s">
        <v>31</v>
      </c>
      <c r="F237" s="1" t="s">
        <v>271</v>
      </c>
      <c r="G237" s="1" t="s">
        <v>35</v>
      </c>
      <c r="H237" s="25"/>
      <c r="I237" s="25"/>
      <c r="J237" s="25"/>
      <c r="K237" s="25">
        <f t="shared" si="2"/>
        <v>4</v>
      </c>
      <c r="L237" s="25" t="str">
        <f t="shared" si="8"/>
        <v>العبدالكريم</v>
      </c>
      <c r="M237" s="25" t="str">
        <f t="shared" si="3"/>
        <v>محمد بن عبدالله بن عبدالكريم حمد</v>
      </c>
      <c r="N237" s="25" t="str">
        <f t="shared" si="4"/>
        <v>محمد bin عبدالله bin عبدالكريم Al-حمد</v>
      </c>
      <c r="O237" s="25" t="str">
        <f t="shared" si="5"/>
        <v/>
      </c>
      <c r="P237" s="25">
        <f t="shared" si="6"/>
        <v>0</v>
      </c>
      <c r="Q237" s="25"/>
      <c r="R237" s="25"/>
      <c r="S237" s="25" t="str">
        <f t="shared" si="7"/>
        <v>Living</v>
      </c>
    </row>
    <row r="238" ht="15.75" customHeight="1">
      <c r="A238" s="25" t="str">
        <f t="shared" si="1"/>
        <v>P237</v>
      </c>
      <c r="B238" s="71" t="s">
        <v>272</v>
      </c>
      <c r="C238" s="71" t="s">
        <v>100</v>
      </c>
      <c r="D238" s="71" t="s">
        <v>119</v>
      </c>
      <c r="E238" s="71" t="s">
        <v>96</v>
      </c>
      <c r="F238" s="25" t="s">
        <v>273</v>
      </c>
      <c r="G238" s="1" t="s">
        <v>35</v>
      </c>
      <c r="H238" s="25"/>
      <c r="I238" s="25"/>
      <c r="J238" s="25"/>
      <c r="K238" s="25">
        <f t="shared" si="2"/>
        <v>5</v>
      </c>
      <c r="L238" s="25" t="str">
        <f t="shared" si="8"/>
        <v>العبدالكريم</v>
      </c>
      <c r="M238" s="25" t="str">
        <f t="shared" si="3"/>
        <v>عثمان بن محمد بن عبدالله عبدالكريم</v>
      </c>
      <c r="N238" s="25" t="str">
        <f t="shared" si="4"/>
        <v>عثمان bin محمد bin عبدالله Al-عبدالكريم</v>
      </c>
      <c r="O238" s="25" t="str">
        <f t="shared" si="5"/>
        <v/>
      </c>
      <c r="P238" s="25">
        <f t="shared" si="6"/>
        <v>0</v>
      </c>
      <c r="Q238" s="25"/>
      <c r="R238" s="25"/>
      <c r="S238" s="25" t="str">
        <f t="shared" si="7"/>
        <v>Living</v>
      </c>
    </row>
    <row r="239" ht="15.75" customHeight="1">
      <c r="A239" s="25" t="str">
        <f t="shared" si="1"/>
        <v>P238</v>
      </c>
      <c r="B239" s="71" t="s">
        <v>108</v>
      </c>
      <c r="C239" s="71" t="s">
        <v>100</v>
      </c>
      <c r="D239" s="71" t="s">
        <v>119</v>
      </c>
      <c r="E239" s="71" t="s">
        <v>96</v>
      </c>
      <c r="F239" s="25" t="s">
        <v>273</v>
      </c>
      <c r="G239" s="1" t="s">
        <v>35</v>
      </c>
      <c r="H239" s="25"/>
      <c r="I239" s="25"/>
      <c r="J239" s="25"/>
      <c r="K239" s="25">
        <f t="shared" si="2"/>
        <v>5</v>
      </c>
      <c r="L239" s="25" t="str">
        <f t="shared" si="8"/>
        <v>العبدالكريم</v>
      </c>
      <c r="M239" s="25" t="str">
        <f t="shared" si="3"/>
        <v>عبدالعزيز بن محمد بن عبدالله عبدالكريم</v>
      </c>
      <c r="N239" s="25" t="str">
        <f t="shared" si="4"/>
        <v>عبدالعزيز bin محمد bin عبدالله Al-عبدالكريم</v>
      </c>
      <c r="O239" s="25" t="str">
        <f t="shared" si="5"/>
        <v/>
      </c>
      <c r="P239" s="25">
        <f t="shared" si="6"/>
        <v>0</v>
      </c>
      <c r="Q239" s="25"/>
      <c r="R239" s="25"/>
      <c r="S239" s="25" t="str">
        <f t="shared" si="7"/>
        <v>Living</v>
      </c>
    </row>
    <row r="240" ht="15.75" customHeight="1">
      <c r="A240" s="25" t="str">
        <f t="shared" si="1"/>
        <v>P239</v>
      </c>
      <c r="B240" s="71" t="s">
        <v>119</v>
      </c>
      <c r="C240" s="71" t="s">
        <v>100</v>
      </c>
      <c r="D240" s="71" t="s">
        <v>119</v>
      </c>
      <c r="E240" s="71" t="s">
        <v>96</v>
      </c>
      <c r="F240" s="25" t="s">
        <v>273</v>
      </c>
      <c r="G240" s="1" t="s">
        <v>35</v>
      </c>
      <c r="H240" s="25"/>
      <c r="I240" s="25"/>
      <c r="J240" s="25"/>
      <c r="K240" s="25">
        <f t="shared" si="2"/>
        <v>5</v>
      </c>
      <c r="L240" s="25" t="str">
        <f t="shared" si="8"/>
        <v>العبدالكريم</v>
      </c>
      <c r="M240" s="25" t="str">
        <f t="shared" si="3"/>
        <v>عبدالله بن محمد بن عبدالله عبدالكريم</v>
      </c>
      <c r="N240" s="25" t="str">
        <f t="shared" si="4"/>
        <v>عبدالله bin محمد bin عبدالله Al-عبدالكريم</v>
      </c>
      <c r="O240" s="25" t="str">
        <f t="shared" si="5"/>
        <v/>
      </c>
      <c r="P240" s="25">
        <f t="shared" si="6"/>
        <v>0</v>
      </c>
      <c r="Q240" s="25"/>
      <c r="R240" s="25"/>
      <c r="S240" s="25" t="str">
        <f t="shared" si="7"/>
        <v>Living</v>
      </c>
    </row>
    <row r="241" ht="15.75" customHeight="1">
      <c r="A241" s="25" t="str">
        <f t="shared" si="1"/>
        <v>P240</v>
      </c>
      <c r="B241" s="71" t="s">
        <v>100</v>
      </c>
      <c r="C241" s="71" t="s">
        <v>119</v>
      </c>
      <c r="D241" s="71" t="s">
        <v>100</v>
      </c>
      <c r="E241" s="71" t="s">
        <v>119</v>
      </c>
      <c r="F241" s="25" t="s">
        <v>274</v>
      </c>
      <c r="G241" s="1" t="s">
        <v>35</v>
      </c>
      <c r="H241" s="25"/>
      <c r="I241" s="25"/>
      <c r="J241" s="25"/>
      <c r="K241" s="25">
        <f t="shared" si="2"/>
        <v>6</v>
      </c>
      <c r="L241" s="25" t="str">
        <f t="shared" si="8"/>
        <v>العبدالكريم</v>
      </c>
      <c r="M241" s="25" t="str">
        <f t="shared" si="3"/>
        <v>محمد بن عبدالله بن محمد عبدالله</v>
      </c>
      <c r="N241" s="25" t="str">
        <f t="shared" si="4"/>
        <v>محمد bin عبدالله bin محمد Al-عبدالله</v>
      </c>
      <c r="O241" s="25" t="str">
        <f t="shared" si="5"/>
        <v/>
      </c>
      <c r="P241" s="25">
        <f t="shared" si="6"/>
        <v>0</v>
      </c>
      <c r="Q241" s="25"/>
      <c r="R241" s="25"/>
      <c r="S241" s="25" t="str">
        <f t="shared" si="7"/>
        <v>Living</v>
      </c>
    </row>
    <row r="242" ht="15.75" customHeight="1">
      <c r="A242" s="25" t="str">
        <f t="shared" si="1"/>
        <v>P241</v>
      </c>
      <c r="B242" s="71" t="s">
        <v>108</v>
      </c>
      <c r="C242" s="71" t="s">
        <v>119</v>
      </c>
      <c r="D242" s="71" t="s">
        <v>100</v>
      </c>
      <c r="E242" s="71" t="s">
        <v>119</v>
      </c>
      <c r="F242" s="25" t="s">
        <v>274</v>
      </c>
      <c r="G242" s="1" t="s">
        <v>35</v>
      </c>
      <c r="H242" s="25"/>
      <c r="I242" s="25"/>
      <c r="J242" s="25"/>
      <c r="K242" s="25">
        <f t="shared" si="2"/>
        <v>6</v>
      </c>
      <c r="L242" s="25" t="str">
        <f t="shared" si="8"/>
        <v>العبدالكريم</v>
      </c>
      <c r="M242" s="25" t="str">
        <f t="shared" si="3"/>
        <v>عبدالعزيز بن عبدالله بن محمد عبدالله</v>
      </c>
      <c r="N242" s="25" t="str">
        <f t="shared" si="4"/>
        <v>عبدالعزيز bin عبدالله bin محمد Al-عبدالله</v>
      </c>
      <c r="O242" s="25" t="str">
        <f t="shared" si="5"/>
        <v/>
      </c>
      <c r="P242" s="25">
        <f t="shared" si="6"/>
        <v>0</v>
      </c>
      <c r="Q242" s="25"/>
      <c r="R242" s="25"/>
      <c r="S242" s="25" t="str">
        <f t="shared" si="7"/>
        <v>Living</v>
      </c>
    </row>
    <row r="243" ht="15.75" customHeight="1">
      <c r="A243" s="25" t="str">
        <f t="shared" si="1"/>
        <v>P242</v>
      </c>
      <c r="B243" s="71" t="s">
        <v>119</v>
      </c>
      <c r="C243" s="71" t="s">
        <v>100</v>
      </c>
      <c r="D243" s="71" t="s">
        <v>119</v>
      </c>
      <c r="E243" s="71" t="s">
        <v>100</v>
      </c>
      <c r="F243" s="25" t="s">
        <v>275</v>
      </c>
      <c r="G243" s="1" t="s">
        <v>35</v>
      </c>
      <c r="H243" s="25"/>
      <c r="I243" s="25"/>
      <c r="J243" s="25"/>
      <c r="K243" s="25">
        <f t="shared" si="2"/>
        <v>7</v>
      </c>
      <c r="L243" s="25" t="str">
        <f t="shared" si="8"/>
        <v>العبدالكريم</v>
      </c>
      <c r="M243" s="25" t="str">
        <f t="shared" si="3"/>
        <v>عبدالله بن محمد بن عبدالله محمد</v>
      </c>
      <c r="N243" s="25" t="str">
        <f t="shared" si="4"/>
        <v>عبدالله bin محمد bin عبدالله Al-محمد</v>
      </c>
      <c r="O243" s="25" t="str">
        <f t="shared" si="5"/>
        <v/>
      </c>
      <c r="P243" s="25">
        <f t="shared" si="6"/>
        <v>0</v>
      </c>
      <c r="Q243" s="25"/>
      <c r="R243" s="25"/>
      <c r="S243" s="25" t="str">
        <f t="shared" si="7"/>
        <v>Living</v>
      </c>
    </row>
    <row r="244" ht="15.75" customHeight="1">
      <c r="A244" s="25" t="str">
        <f t="shared" si="1"/>
        <v>P243</v>
      </c>
      <c r="B244" s="71" t="s">
        <v>108</v>
      </c>
      <c r="C244" s="71" t="s">
        <v>100</v>
      </c>
      <c r="D244" s="71" t="s">
        <v>119</v>
      </c>
      <c r="E244" s="71" t="s">
        <v>100</v>
      </c>
      <c r="F244" s="25" t="s">
        <v>275</v>
      </c>
      <c r="G244" s="1" t="s">
        <v>35</v>
      </c>
      <c r="H244" s="25"/>
      <c r="I244" s="25"/>
      <c r="J244" s="25"/>
      <c r="K244" s="25">
        <f t="shared" si="2"/>
        <v>7</v>
      </c>
      <c r="L244" s="25" t="str">
        <f t="shared" si="8"/>
        <v>العبدالكريم</v>
      </c>
      <c r="M244" s="25" t="str">
        <f t="shared" si="3"/>
        <v>عبدالعزيز بن محمد بن عبدالله محمد</v>
      </c>
      <c r="N244" s="25" t="str">
        <f t="shared" si="4"/>
        <v>عبدالعزيز bin محمد bin عبدالله Al-محمد</v>
      </c>
      <c r="O244" s="25" t="str">
        <f t="shared" si="5"/>
        <v/>
      </c>
      <c r="P244" s="25">
        <f t="shared" si="6"/>
        <v>0</v>
      </c>
      <c r="Q244" s="25"/>
      <c r="R244" s="25"/>
      <c r="S244" s="25" t="str">
        <f t="shared" si="7"/>
        <v>Living</v>
      </c>
    </row>
    <row r="245" ht="15.75" customHeight="1">
      <c r="A245" s="25" t="str">
        <f t="shared" si="1"/>
        <v>P244</v>
      </c>
      <c r="B245" s="71" t="s">
        <v>254</v>
      </c>
      <c r="C245" s="71" t="s">
        <v>100</v>
      </c>
      <c r="D245" s="71" t="s">
        <v>119</v>
      </c>
      <c r="E245" s="71" t="s">
        <v>100</v>
      </c>
      <c r="F245" s="25" t="s">
        <v>275</v>
      </c>
      <c r="G245" s="1" t="s">
        <v>35</v>
      </c>
      <c r="H245" s="25"/>
      <c r="I245" s="25"/>
      <c r="J245" s="25"/>
      <c r="K245" s="25">
        <f t="shared" si="2"/>
        <v>7</v>
      </c>
      <c r="L245" s="25" t="str">
        <f t="shared" si="8"/>
        <v>العبدالكريم</v>
      </c>
      <c r="M245" s="25" t="str">
        <f t="shared" si="3"/>
        <v>يوسف بن محمد بن عبدالله محمد</v>
      </c>
      <c r="N245" s="25" t="str">
        <f t="shared" si="4"/>
        <v>يوسف bin محمد bin عبدالله Al-محمد</v>
      </c>
      <c r="O245" s="25" t="str">
        <f t="shared" si="5"/>
        <v/>
      </c>
      <c r="P245" s="25">
        <f t="shared" si="6"/>
        <v>0</v>
      </c>
      <c r="Q245" s="25"/>
      <c r="R245" s="25"/>
      <c r="S245" s="25" t="str">
        <f t="shared" si="7"/>
        <v>Living</v>
      </c>
    </row>
    <row r="246" ht="15.75" customHeight="1">
      <c r="A246" s="25" t="str">
        <f t="shared" si="1"/>
        <v>P245</v>
      </c>
      <c r="B246" s="71" t="s">
        <v>276</v>
      </c>
      <c r="C246" s="71" t="s">
        <v>100</v>
      </c>
      <c r="D246" s="71" t="s">
        <v>119</v>
      </c>
      <c r="E246" s="71" t="s">
        <v>100</v>
      </c>
      <c r="F246" s="25" t="s">
        <v>275</v>
      </c>
      <c r="G246" s="1" t="s">
        <v>132</v>
      </c>
      <c r="H246" s="25"/>
      <c r="I246" s="25"/>
      <c r="J246" s="25"/>
      <c r="K246" s="25">
        <f t="shared" si="2"/>
        <v>7</v>
      </c>
      <c r="L246" s="25" t="str">
        <f t="shared" si="8"/>
        <v>العبدالكريم</v>
      </c>
      <c r="M246" s="25" t="str">
        <f t="shared" si="3"/>
        <v>ربى بن محمد بن عبدالله محمد</v>
      </c>
      <c r="N246" s="25" t="str">
        <f t="shared" si="4"/>
        <v>ربى bin محمد bin عبدالله Al-محمد</v>
      </c>
      <c r="O246" s="25" t="str">
        <f t="shared" si="5"/>
        <v/>
      </c>
      <c r="P246" s="25">
        <f t="shared" si="6"/>
        <v>0</v>
      </c>
      <c r="Q246" s="25"/>
      <c r="R246" s="25"/>
      <c r="S246" s="25" t="str">
        <f t="shared" si="7"/>
        <v>Living</v>
      </c>
    </row>
    <row r="247" ht="15.75" customHeight="1">
      <c r="A247" s="25" t="str">
        <f t="shared" si="1"/>
        <v>P246</v>
      </c>
      <c r="B247" s="71" t="s">
        <v>277</v>
      </c>
      <c r="C247" s="71" t="s">
        <v>100</v>
      </c>
      <c r="D247" s="71" t="s">
        <v>119</v>
      </c>
      <c r="E247" s="71" t="s">
        <v>100</v>
      </c>
      <c r="F247" s="25" t="s">
        <v>275</v>
      </c>
      <c r="G247" s="1" t="s">
        <v>132</v>
      </c>
      <c r="H247" s="25"/>
      <c r="I247" s="25"/>
      <c r="J247" s="25"/>
      <c r="K247" s="25">
        <f t="shared" si="2"/>
        <v>7</v>
      </c>
      <c r="L247" s="25" t="str">
        <f t="shared" si="8"/>
        <v>العبدالكريم</v>
      </c>
      <c r="M247" s="25" t="str">
        <f t="shared" si="3"/>
        <v>سارة بن محمد بن عبدالله محمد</v>
      </c>
      <c r="N247" s="25" t="str">
        <f t="shared" si="4"/>
        <v>سارة bin محمد bin عبدالله Al-محمد</v>
      </c>
      <c r="O247" s="25" t="str">
        <f t="shared" si="5"/>
        <v/>
      </c>
      <c r="P247" s="25">
        <f t="shared" si="6"/>
        <v>0</v>
      </c>
      <c r="Q247" s="25"/>
      <c r="R247" s="25"/>
      <c r="S247" s="25" t="str">
        <f t="shared" si="7"/>
        <v>Living</v>
      </c>
    </row>
    <row r="248" ht="15.75" customHeight="1">
      <c r="A248" s="25" t="str">
        <f t="shared" si="1"/>
        <v>P247</v>
      </c>
      <c r="B248" s="71" t="s">
        <v>278</v>
      </c>
      <c r="C248" s="71" t="s">
        <v>100</v>
      </c>
      <c r="D248" s="71" t="s">
        <v>119</v>
      </c>
      <c r="E248" s="71" t="s">
        <v>100</v>
      </c>
      <c r="F248" s="25" t="s">
        <v>275</v>
      </c>
      <c r="G248" s="1" t="s">
        <v>132</v>
      </c>
      <c r="H248" s="25"/>
      <c r="I248" s="25"/>
      <c r="J248" s="25"/>
      <c r="K248" s="25">
        <f t="shared" si="2"/>
        <v>7</v>
      </c>
      <c r="L248" s="25" t="str">
        <f t="shared" si="8"/>
        <v>العبدالكريم</v>
      </c>
      <c r="M248" s="25" t="str">
        <f t="shared" si="3"/>
        <v>ديما بن محمد بن عبدالله محمد</v>
      </c>
      <c r="N248" s="25" t="str">
        <f t="shared" si="4"/>
        <v>ديما bin محمد bin عبدالله Al-محمد</v>
      </c>
      <c r="O248" s="25" t="str">
        <f t="shared" si="5"/>
        <v/>
      </c>
      <c r="P248" s="25">
        <f t="shared" si="6"/>
        <v>0</v>
      </c>
      <c r="Q248" s="25"/>
      <c r="R248" s="25"/>
      <c r="S248" s="25" t="str">
        <f t="shared" si="7"/>
        <v>Living</v>
      </c>
    </row>
    <row r="249" ht="15.75" customHeight="1">
      <c r="A249" s="25" t="str">
        <f t="shared" si="1"/>
        <v>P248</v>
      </c>
      <c r="B249" s="71" t="s">
        <v>241</v>
      </c>
      <c r="C249" s="71" t="s">
        <v>100</v>
      </c>
      <c r="D249" s="71" t="s">
        <v>119</v>
      </c>
      <c r="E249" s="71" t="s">
        <v>100</v>
      </c>
      <c r="F249" s="25" t="s">
        <v>275</v>
      </c>
      <c r="G249" s="1" t="s">
        <v>35</v>
      </c>
      <c r="H249" s="25"/>
      <c r="I249" s="25"/>
      <c r="J249" s="25"/>
      <c r="K249" s="25">
        <f t="shared" si="2"/>
        <v>7</v>
      </c>
      <c r="L249" s="25" t="str">
        <f t="shared" si="8"/>
        <v>العبدالكريم</v>
      </c>
      <c r="M249" s="25" t="str">
        <f t="shared" si="3"/>
        <v>عمر بن محمد بن عبدالله محمد</v>
      </c>
      <c r="N249" s="25" t="str">
        <f t="shared" si="4"/>
        <v>عمر bin محمد bin عبدالله Al-محمد</v>
      </c>
      <c r="O249" s="25" t="str">
        <f t="shared" si="5"/>
        <v/>
      </c>
      <c r="P249" s="25">
        <f t="shared" si="6"/>
        <v>0</v>
      </c>
      <c r="Q249" s="25"/>
      <c r="R249" s="25"/>
      <c r="S249" s="25" t="str">
        <f t="shared" si="7"/>
        <v>Living</v>
      </c>
    </row>
    <row r="250" ht="15.75" customHeight="1">
      <c r="A250" s="25" t="str">
        <f t="shared" si="1"/>
        <v>P249</v>
      </c>
      <c r="B250" s="71" t="s">
        <v>279</v>
      </c>
      <c r="C250" s="71" t="s">
        <v>100</v>
      </c>
      <c r="D250" s="71" t="s">
        <v>119</v>
      </c>
      <c r="E250" s="71" t="s">
        <v>100</v>
      </c>
      <c r="F250" s="25" t="s">
        <v>275</v>
      </c>
      <c r="G250" s="1" t="s">
        <v>132</v>
      </c>
      <c r="H250" s="25"/>
      <c r="I250" s="25"/>
      <c r="J250" s="25"/>
      <c r="K250" s="25">
        <f t="shared" si="2"/>
        <v>7</v>
      </c>
      <c r="L250" s="25" t="str">
        <f t="shared" si="8"/>
        <v>العبدالكريم</v>
      </c>
      <c r="M250" s="25" t="str">
        <f t="shared" si="3"/>
        <v>الين بن محمد بن عبدالله محمد</v>
      </c>
      <c r="N250" s="25" t="str">
        <f t="shared" si="4"/>
        <v>الين bin محمد bin عبدالله Al-محمد</v>
      </c>
      <c r="O250" s="25" t="str">
        <f t="shared" si="5"/>
        <v/>
      </c>
      <c r="P250" s="25">
        <f t="shared" si="6"/>
        <v>0</v>
      </c>
      <c r="Q250" s="25"/>
      <c r="R250" s="25"/>
      <c r="S250" s="25" t="str">
        <f t="shared" si="7"/>
        <v>Living</v>
      </c>
    </row>
    <row r="251" ht="15.75" customHeight="1">
      <c r="A251" s="25" t="str">
        <f t="shared" si="1"/>
        <v>P250</v>
      </c>
      <c r="B251" s="71" t="s">
        <v>154</v>
      </c>
      <c r="C251" s="71" t="s">
        <v>100</v>
      </c>
      <c r="D251" s="71" t="s">
        <v>119</v>
      </c>
      <c r="E251" s="71" t="s">
        <v>100</v>
      </c>
      <c r="F251" s="25" t="s">
        <v>275</v>
      </c>
      <c r="G251" s="1" t="s">
        <v>132</v>
      </c>
      <c r="H251" s="25"/>
      <c r="I251" s="25"/>
      <c r="J251" s="25"/>
      <c r="K251" s="25">
        <f t="shared" si="2"/>
        <v>7</v>
      </c>
      <c r="L251" s="25" t="str">
        <f t="shared" si="8"/>
        <v>العبدالكريم</v>
      </c>
      <c r="M251" s="25" t="str">
        <f t="shared" si="3"/>
        <v>ريما بن محمد بن عبدالله محمد</v>
      </c>
      <c r="N251" s="25" t="str">
        <f t="shared" si="4"/>
        <v>ريما bin محمد bin عبدالله Al-محمد</v>
      </c>
      <c r="O251" s="25" t="str">
        <f t="shared" si="5"/>
        <v/>
      </c>
      <c r="P251" s="25">
        <f t="shared" si="6"/>
        <v>0</v>
      </c>
      <c r="Q251" s="25"/>
      <c r="R251" s="25"/>
      <c r="S251" s="25" t="str">
        <f t="shared" si="7"/>
        <v>Living</v>
      </c>
    </row>
    <row r="252" ht="15.75" customHeight="1">
      <c r="A252" s="25" t="str">
        <f t="shared" si="1"/>
        <v>P251</v>
      </c>
      <c r="B252" s="71" t="s">
        <v>280</v>
      </c>
      <c r="C252" s="71" t="s">
        <v>108</v>
      </c>
      <c r="D252" s="71" t="s">
        <v>119</v>
      </c>
      <c r="E252" s="71" t="s">
        <v>100</v>
      </c>
      <c r="F252" s="25" t="s">
        <v>281</v>
      </c>
      <c r="G252" s="1" t="s">
        <v>132</v>
      </c>
      <c r="H252" s="25"/>
      <c r="I252" s="25"/>
      <c r="J252" s="25"/>
      <c r="K252" s="25">
        <f t="shared" si="2"/>
        <v>7</v>
      </c>
      <c r="L252" s="25" t="str">
        <f t="shared" si="8"/>
        <v>العبدالكريم</v>
      </c>
      <c r="M252" s="25" t="str">
        <f t="shared" si="3"/>
        <v>لبنى بن عبدالعزيز بن عبدالله محمد</v>
      </c>
      <c r="N252" s="25" t="str">
        <f t="shared" si="4"/>
        <v>لبنى bin عبدالعزيز bin عبدالله Al-محمد</v>
      </c>
      <c r="O252" s="25" t="str">
        <f t="shared" si="5"/>
        <v/>
      </c>
      <c r="P252" s="25">
        <f t="shared" si="6"/>
        <v>0</v>
      </c>
      <c r="Q252" s="25"/>
      <c r="R252" s="25"/>
      <c r="S252" s="25" t="str">
        <f t="shared" si="7"/>
        <v>Living</v>
      </c>
    </row>
    <row r="253" ht="15.75" customHeight="1">
      <c r="A253" s="25" t="str">
        <f t="shared" si="1"/>
        <v>P252</v>
      </c>
      <c r="B253" s="71" t="s">
        <v>187</v>
      </c>
      <c r="C253" s="71" t="s">
        <v>108</v>
      </c>
      <c r="D253" s="71" t="s">
        <v>119</v>
      </c>
      <c r="E253" s="71" t="s">
        <v>100</v>
      </c>
      <c r="F253" s="25" t="s">
        <v>281</v>
      </c>
      <c r="G253" s="1" t="s">
        <v>132</v>
      </c>
      <c r="H253" s="25"/>
      <c r="I253" s="25"/>
      <c r="J253" s="25"/>
      <c r="K253" s="25">
        <f t="shared" si="2"/>
        <v>7</v>
      </c>
      <c r="L253" s="25" t="str">
        <f t="shared" si="8"/>
        <v>العبدالكريم</v>
      </c>
      <c r="M253" s="25" t="str">
        <f t="shared" si="3"/>
        <v>لمى بن عبدالعزيز بن عبدالله محمد</v>
      </c>
      <c r="N253" s="25" t="str">
        <f t="shared" si="4"/>
        <v>لمى bin عبدالعزيز bin عبدالله Al-محمد</v>
      </c>
      <c r="O253" s="25" t="str">
        <f t="shared" si="5"/>
        <v/>
      </c>
      <c r="P253" s="25">
        <f t="shared" si="6"/>
        <v>0</v>
      </c>
      <c r="Q253" s="25"/>
      <c r="R253" s="25"/>
      <c r="S253" s="25" t="str">
        <f t="shared" si="7"/>
        <v>Living</v>
      </c>
    </row>
    <row r="254" ht="15.75" customHeight="1">
      <c r="A254" s="25" t="str">
        <f t="shared" si="1"/>
        <v>P253</v>
      </c>
      <c r="B254" s="71" t="s">
        <v>282</v>
      </c>
      <c r="C254" s="71" t="s">
        <v>108</v>
      </c>
      <c r="D254" s="71" t="s">
        <v>119</v>
      </c>
      <c r="E254" s="71" t="s">
        <v>100</v>
      </c>
      <c r="F254" s="25" t="s">
        <v>281</v>
      </c>
      <c r="G254" s="1" t="s">
        <v>132</v>
      </c>
      <c r="H254" s="25"/>
      <c r="I254" s="25"/>
      <c r="J254" s="25"/>
      <c r="K254" s="25">
        <f t="shared" si="2"/>
        <v>7</v>
      </c>
      <c r="L254" s="25" t="str">
        <f t="shared" si="8"/>
        <v>العبدالكريم</v>
      </c>
      <c r="M254" s="25" t="str">
        <f t="shared" si="3"/>
        <v>لينا بن عبدالعزيز بن عبدالله محمد</v>
      </c>
      <c r="N254" s="25" t="str">
        <f t="shared" si="4"/>
        <v>لينا bin عبدالعزيز bin عبدالله Al-محمد</v>
      </c>
      <c r="O254" s="25" t="str">
        <f t="shared" si="5"/>
        <v/>
      </c>
      <c r="P254" s="25">
        <f t="shared" si="6"/>
        <v>0</v>
      </c>
      <c r="Q254" s="25"/>
      <c r="R254" s="25"/>
      <c r="S254" s="25" t="str">
        <f t="shared" si="7"/>
        <v>Living</v>
      </c>
    </row>
    <row r="255" ht="15.75" customHeight="1">
      <c r="A255" s="25" t="str">
        <f t="shared" si="1"/>
        <v>P254</v>
      </c>
      <c r="B255" s="71" t="s">
        <v>283</v>
      </c>
      <c r="C255" s="71" t="s">
        <v>108</v>
      </c>
      <c r="D255" s="71" t="s">
        <v>119</v>
      </c>
      <c r="E255" s="71" t="s">
        <v>100</v>
      </c>
      <c r="F255" s="25" t="s">
        <v>281</v>
      </c>
      <c r="G255" s="1" t="s">
        <v>35</v>
      </c>
      <c r="H255" s="25"/>
      <c r="I255" s="25"/>
      <c r="J255" s="25"/>
      <c r="K255" s="25">
        <f t="shared" si="2"/>
        <v>7</v>
      </c>
      <c r="L255" s="25" t="str">
        <f t="shared" si="8"/>
        <v>العبدالكريم</v>
      </c>
      <c r="M255" s="25" t="str">
        <f t="shared" si="3"/>
        <v>عبدالله  بن عبدالعزيز بن عبدالله محمد</v>
      </c>
      <c r="N255" s="25" t="str">
        <f t="shared" si="4"/>
        <v>عبدالله  bin عبدالعزيز bin عبدالله Al-محمد</v>
      </c>
      <c r="O255" s="25" t="str">
        <f t="shared" si="5"/>
        <v/>
      </c>
      <c r="P255" s="25">
        <f t="shared" si="6"/>
        <v>0</v>
      </c>
      <c r="Q255" s="25"/>
      <c r="R255" s="25"/>
      <c r="S255" s="25" t="str">
        <f t="shared" si="7"/>
        <v>Living</v>
      </c>
    </row>
    <row r="256" ht="15.75" customHeight="1">
      <c r="A256" s="25" t="str">
        <f t="shared" si="1"/>
        <v>P255</v>
      </c>
      <c r="B256" s="71" t="s">
        <v>111</v>
      </c>
      <c r="C256" s="71" t="s">
        <v>108</v>
      </c>
      <c r="D256" s="71" t="s">
        <v>119</v>
      </c>
      <c r="E256" s="71" t="s">
        <v>100</v>
      </c>
      <c r="F256" s="25" t="s">
        <v>281</v>
      </c>
      <c r="G256" s="1" t="s">
        <v>35</v>
      </c>
      <c r="H256" s="25"/>
      <c r="I256" s="25"/>
      <c r="J256" s="25"/>
      <c r="K256" s="25">
        <f t="shared" si="2"/>
        <v>7</v>
      </c>
      <c r="L256" s="25" t="str">
        <f t="shared" si="8"/>
        <v>العبدالكريم</v>
      </c>
      <c r="M256" s="25" t="str">
        <f t="shared" si="3"/>
        <v>فهد بن عبدالعزيز بن عبدالله محمد</v>
      </c>
      <c r="N256" s="25" t="str">
        <f t="shared" si="4"/>
        <v>فهد bin عبدالعزيز bin عبدالله Al-محمد</v>
      </c>
      <c r="O256" s="25" t="str">
        <f t="shared" si="5"/>
        <v/>
      </c>
      <c r="P256" s="25">
        <f t="shared" si="6"/>
        <v>0</v>
      </c>
      <c r="Q256" s="25"/>
      <c r="R256" s="25"/>
      <c r="S256" s="25" t="str">
        <f t="shared" si="7"/>
        <v>Living</v>
      </c>
    </row>
    <row r="257" ht="15.75" customHeight="1">
      <c r="A257" s="25" t="str">
        <f t="shared" si="1"/>
        <v>P256</v>
      </c>
      <c r="B257" s="71" t="s">
        <v>190</v>
      </c>
      <c r="C257" s="71" t="s">
        <v>119</v>
      </c>
      <c r="D257" s="71" t="s">
        <v>100</v>
      </c>
      <c r="E257" s="71" t="s">
        <v>119</v>
      </c>
      <c r="F257" s="25" t="s">
        <v>274</v>
      </c>
      <c r="G257" s="1" t="s">
        <v>132</v>
      </c>
      <c r="H257" s="25"/>
      <c r="I257" s="25"/>
      <c r="J257" s="25"/>
      <c r="K257" s="25">
        <f t="shared" si="2"/>
        <v>6</v>
      </c>
      <c r="L257" s="25" t="str">
        <f t="shared" si="8"/>
        <v>العبدالكريم</v>
      </c>
      <c r="M257" s="25" t="str">
        <f t="shared" si="3"/>
        <v>الجوهرة بن عبدالله بن محمد عبدالله</v>
      </c>
      <c r="N257" s="25" t="str">
        <f t="shared" si="4"/>
        <v>الجوهرة bin عبدالله bin محمد Al-عبدالله</v>
      </c>
      <c r="O257" s="25" t="str">
        <f t="shared" si="5"/>
        <v/>
      </c>
      <c r="P257" s="25">
        <f t="shared" si="6"/>
        <v>0</v>
      </c>
      <c r="Q257" s="25"/>
      <c r="R257" s="25"/>
      <c r="S257" s="25" t="str">
        <f t="shared" si="7"/>
        <v>Living</v>
      </c>
    </row>
    <row r="258" ht="15.75" customHeight="1">
      <c r="A258" s="25" t="str">
        <f t="shared" si="1"/>
        <v>P257</v>
      </c>
      <c r="B258" s="71" t="s">
        <v>216</v>
      </c>
      <c r="C258" s="71" t="s">
        <v>119</v>
      </c>
      <c r="D258" s="71" t="s">
        <v>100</v>
      </c>
      <c r="E258" s="71" t="s">
        <v>119</v>
      </c>
      <c r="F258" s="25" t="s">
        <v>274</v>
      </c>
      <c r="G258" s="1" t="s">
        <v>132</v>
      </c>
      <c r="H258" s="25"/>
      <c r="I258" s="25"/>
      <c r="J258" s="25"/>
      <c r="K258" s="25">
        <f t="shared" si="2"/>
        <v>6</v>
      </c>
      <c r="L258" s="25" t="str">
        <f t="shared" si="8"/>
        <v>العبدالكريم</v>
      </c>
      <c r="M258" s="25" t="str">
        <f t="shared" si="3"/>
        <v>قماشة بن عبدالله بن محمد عبدالله</v>
      </c>
      <c r="N258" s="25" t="str">
        <f t="shared" si="4"/>
        <v>قماشة bin عبدالله bin محمد Al-عبدالله</v>
      </c>
      <c r="O258" s="25" t="str">
        <f t="shared" si="5"/>
        <v/>
      </c>
      <c r="P258" s="25">
        <f t="shared" si="6"/>
        <v>0</v>
      </c>
      <c r="Q258" s="25"/>
      <c r="R258" s="25"/>
      <c r="S258" s="25" t="str">
        <f t="shared" si="7"/>
        <v>Living</v>
      </c>
    </row>
    <row r="259" ht="15.75" customHeight="1">
      <c r="A259" s="25" t="str">
        <f t="shared" si="1"/>
        <v>P258</v>
      </c>
      <c r="B259" s="71" t="s">
        <v>284</v>
      </c>
      <c r="C259" s="71" t="s">
        <v>119</v>
      </c>
      <c r="D259" s="71" t="s">
        <v>100</v>
      </c>
      <c r="E259" s="71" t="s">
        <v>119</v>
      </c>
      <c r="F259" s="25" t="s">
        <v>274</v>
      </c>
      <c r="G259" s="1" t="s">
        <v>132</v>
      </c>
      <c r="H259" s="25"/>
      <c r="I259" s="25"/>
      <c r="J259" s="25"/>
      <c r="K259" s="25">
        <f t="shared" si="2"/>
        <v>6</v>
      </c>
      <c r="L259" s="25" t="str">
        <f t="shared" si="8"/>
        <v>العبدالكريم</v>
      </c>
      <c r="M259" s="25" t="str">
        <f t="shared" si="3"/>
        <v>هند بن عبدالله بن محمد عبدالله</v>
      </c>
      <c r="N259" s="25" t="str">
        <f t="shared" si="4"/>
        <v>هند bin عبدالله bin محمد Al-عبدالله</v>
      </c>
      <c r="O259" s="25" t="str">
        <f t="shared" si="5"/>
        <v/>
      </c>
      <c r="P259" s="25">
        <f t="shared" si="6"/>
        <v>0</v>
      </c>
      <c r="Q259" s="25"/>
      <c r="R259" s="25"/>
      <c r="S259" s="25" t="str">
        <f t="shared" si="7"/>
        <v>Living</v>
      </c>
    </row>
    <row r="260" ht="15.75" customHeight="1">
      <c r="A260" s="25" t="str">
        <f t="shared" si="1"/>
        <v>P259</v>
      </c>
      <c r="B260" s="71" t="s">
        <v>285</v>
      </c>
      <c r="C260" s="71" t="s">
        <v>119</v>
      </c>
      <c r="D260" s="71" t="s">
        <v>100</v>
      </c>
      <c r="E260" s="71" t="s">
        <v>119</v>
      </c>
      <c r="F260" s="25" t="s">
        <v>274</v>
      </c>
      <c r="G260" s="1" t="s">
        <v>132</v>
      </c>
      <c r="H260" s="25"/>
      <c r="I260" s="25"/>
      <c r="J260" s="25"/>
      <c r="K260" s="25">
        <f t="shared" si="2"/>
        <v>6</v>
      </c>
      <c r="L260" s="25" t="str">
        <f t="shared" si="8"/>
        <v>العبدالكريم</v>
      </c>
      <c r="M260" s="25" t="str">
        <f t="shared" si="3"/>
        <v>لولوة بن عبدالله بن محمد عبدالله</v>
      </c>
      <c r="N260" s="25" t="str">
        <f t="shared" si="4"/>
        <v>لولوة bin عبدالله bin محمد Al-عبدالله</v>
      </c>
      <c r="O260" s="25" t="str">
        <f t="shared" si="5"/>
        <v/>
      </c>
      <c r="P260" s="25">
        <f t="shared" si="6"/>
        <v>0</v>
      </c>
      <c r="Q260" s="25"/>
      <c r="R260" s="25"/>
      <c r="S260" s="25" t="str">
        <f t="shared" si="7"/>
        <v>Living</v>
      </c>
    </row>
    <row r="261" ht="15.75" customHeight="1">
      <c r="A261" s="25" t="str">
        <f t="shared" si="1"/>
        <v>P260</v>
      </c>
      <c r="B261" s="71" t="s">
        <v>218</v>
      </c>
      <c r="C261" s="71" t="s">
        <v>119</v>
      </c>
      <c r="D261" s="71" t="s">
        <v>100</v>
      </c>
      <c r="E261" s="71" t="s">
        <v>119</v>
      </c>
      <c r="F261" s="25" t="s">
        <v>274</v>
      </c>
      <c r="G261" s="1" t="s">
        <v>132</v>
      </c>
      <c r="H261" s="25"/>
      <c r="I261" s="25"/>
      <c r="J261" s="25"/>
      <c r="K261" s="25">
        <f t="shared" si="2"/>
        <v>6</v>
      </c>
      <c r="L261" s="25" t="str">
        <f t="shared" si="8"/>
        <v>العبدالكريم</v>
      </c>
      <c r="M261" s="25" t="str">
        <f t="shared" si="3"/>
        <v>فوزية بن عبدالله بن محمد عبدالله</v>
      </c>
      <c r="N261" s="25" t="str">
        <f t="shared" si="4"/>
        <v>فوزية bin عبدالله bin محمد Al-عبدالله</v>
      </c>
      <c r="O261" s="25" t="str">
        <f t="shared" si="5"/>
        <v/>
      </c>
      <c r="P261" s="25">
        <f t="shared" si="6"/>
        <v>0</v>
      </c>
      <c r="Q261" s="25"/>
      <c r="R261" s="25"/>
      <c r="S261" s="25" t="str">
        <f t="shared" si="7"/>
        <v>Living</v>
      </c>
    </row>
    <row r="262" ht="15.75" customHeight="1">
      <c r="A262" s="25" t="str">
        <f t="shared" si="1"/>
        <v>P261</v>
      </c>
      <c r="B262" s="71" t="s">
        <v>286</v>
      </c>
      <c r="C262" s="71" t="s">
        <v>119</v>
      </c>
      <c r="D262" s="71" t="s">
        <v>100</v>
      </c>
      <c r="E262" s="71" t="s">
        <v>119</v>
      </c>
      <c r="F262" s="25" t="s">
        <v>274</v>
      </c>
      <c r="G262" s="1" t="s">
        <v>132</v>
      </c>
      <c r="H262" s="25"/>
      <c r="I262" s="25"/>
      <c r="J262" s="25"/>
      <c r="K262" s="25">
        <f t="shared" si="2"/>
        <v>6</v>
      </c>
      <c r="L262" s="25" t="str">
        <f t="shared" si="8"/>
        <v>العبدالكريم</v>
      </c>
      <c r="M262" s="25" t="str">
        <f t="shared" si="3"/>
        <v>اسماء بن عبدالله بن محمد عبدالله</v>
      </c>
      <c r="N262" s="25" t="str">
        <f t="shared" si="4"/>
        <v>اسماء bin عبدالله bin محمد Al-عبدالله</v>
      </c>
      <c r="O262" s="25" t="str">
        <f t="shared" si="5"/>
        <v/>
      </c>
      <c r="P262" s="25">
        <f t="shared" si="6"/>
        <v>0</v>
      </c>
      <c r="Q262" s="25"/>
      <c r="R262" s="25"/>
      <c r="S262" s="25" t="str">
        <f t="shared" si="7"/>
        <v>Living</v>
      </c>
    </row>
    <row r="263" ht="15.75" customHeight="1">
      <c r="A263" s="25" t="str">
        <f t="shared" si="1"/>
        <v>P262</v>
      </c>
      <c r="B263" s="71" t="s">
        <v>217</v>
      </c>
      <c r="C263" s="71" t="s">
        <v>119</v>
      </c>
      <c r="D263" s="71" t="s">
        <v>100</v>
      </c>
      <c r="E263" s="71" t="s">
        <v>119</v>
      </c>
      <c r="F263" s="25" t="s">
        <v>274</v>
      </c>
      <c r="G263" s="1" t="s">
        <v>132</v>
      </c>
      <c r="H263" s="25"/>
      <c r="I263" s="25"/>
      <c r="J263" s="25"/>
      <c r="K263" s="25">
        <f t="shared" si="2"/>
        <v>6</v>
      </c>
      <c r="L263" s="25" t="str">
        <f t="shared" si="8"/>
        <v>العبدالكريم</v>
      </c>
      <c r="M263" s="25" t="str">
        <f t="shared" si="3"/>
        <v>منيرة بن عبدالله بن محمد عبدالله</v>
      </c>
      <c r="N263" s="25" t="str">
        <f t="shared" si="4"/>
        <v>منيرة bin عبدالله bin محمد Al-عبدالله</v>
      </c>
      <c r="O263" s="25" t="str">
        <f t="shared" si="5"/>
        <v/>
      </c>
      <c r="P263" s="25">
        <f t="shared" si="6"/>
        <v>0</v>
      </c>
      <c r="Q263" s="25"/>
      <c r="R263" s="25"/>
      <c r="S263" s="25" t="str">
        <f t="shared" si="7"/>
        <v>Living</v>
      </c>
    </row>
    <row r="264" ht="15.75" hidden="1" customHeight="1">
      <c r="A264" s="25" t="str">
        <f t="shared" si="1"/>
        <v>P263</v>
      </c>
      <c r="B264" s="71" t="s">
        <v>27</v>
      </c>
      <c r="C264" s="71" t="s">
        <v>108</v>
      </c>
      <c r="D264" s="71" t="s">
        <v>27</v>
      </c>
      <c r="E264" s="71" t="s">
        <v>102</v>
      </c>
      <c r="F264" s="1" t="s">
        <v>287</v>
      </c>
      <c r="G264" s="1" t="s">
        <v>35</v>
      </c>
      <c r="H264" s="25"/>
      <c r="I264" s="25"/>
      <c r="J264" s="25"/>
      <c r="K264" s="25">
        <f t="shared" si="2"/>
        <v>6</v>
      </c>
      <c r="L264" s="25" t="str">
        <f t="shared" si="8"/>
        <v>الابراهيم</v>
      </c>
      <c r="M264" s="25" t="str">
        <f t="shared" si="3"/>
        <v>ابراهيم بن عبدالعزيز بن ابراهيم ناصر</v>
      </c>
      <c r="N264" s="25" t="str">
        <f t="shared" si="4"/>
        <v>ابراهيم bin عبدالعزيز bin ابراهيم Al-ناصر</v>
      </c>
      <c r="O264" s="25" t="str">
        <f t="shared" si="5"/>
        <v/>
      </c>
      <c r="P264" s="25">
        <f t="shared" si="6"/>
        <v>0</v>
      </c>
      <c r="Q264" s="25"/>
      <c r="R264" s="25"/>
      <c r="S264" s="25" t="str">
        <f t="shared" si="7"/>
        <v>Living</v>
      </c>
    </row>
    <row r="265" ht="15.75" hidden="1" customHeight="1">
      <c r="A265" s="25" t="str">
        <f t="shared" si="1"/>
        <v>P264</v>
      </c>
      <c r="B265" s="71" t="s">
        <v>112</v>
      </c>
      <c r="C265" s="71" t="s">
        <v>108</v>
      </c>
      <c r="D265" s="71" t="s">
        <v>27</v>
      </c>
      <c r="E265" s="71" t="s">
        <v>102</v>
      </c>
      <c r="F265" s="1" t="s">
        <v>287</v>
      </c>
      <c r="G265" s="1" t="s">
        <v>35</v>
      </c>
      <c r="H265" s="25"/>
      <c r="I265" s="25"/>
      <c r="J265" s="25"/>
      <c r="K265" s="25">
        <f t="shared" si="2"/>
        <v>6</v>
      </c>
      <c r="L265" s="25" t="str">
        <f t="shared" si="8"/>
        <v>الابراهيم</v>
      </c>
      <c r="M265" s="25" t="str">
        <f t="shared" si="3"/>
        <v>خالد بن عبدالعزيز بن ابراهيم ناصر</v>
      </c>
      <c r="N265" s="25" t="str">
        <f t="shared" si="4"/>
        <v>خالد bin عبدالعزيز bin ابراهيم Al-ناصر</v>
      </c>
      <c r="O265" s="25" t="str">
        <f t="shared" si="5"/>
        <v/>
      </c>
      <c r="P265" s="25">
        <f t="shared" si="6"/>
        <v>0</v>
      </c>
      <c r="Q265" s="25"/>
      <c r="R265" s="25"/>
      <c r="S265" s="25" t="str">
        <f t="shared" si="7"/>
        <v>Living</v>
      </c>
    </row>
    <row r="266" ht="15.75" hidden="1" customHeight="1">
      <c r="A266" s="25" t="str">
        <f t="shared" si="1"/>
        <v>P265</v>
      </c>
      <c r="B266" s="71" t="s">
        <v>119</v>
      </c>
      <c r="C266" s="71" t="s">
        <v>108</v>
      </c>
      <c r="D266" s="71" t="s">
        <v>27</v>
      </c>
      <c r="E266" s="71" t="s">
        <v>102</v>
      </c>
      <c r="F266" s="1" t="s">
        <v>287</v>
      </c>
      <c r="G266" s="1" t="s">
        <v>35</v>
      </c>
      <c r="H266" s="25"/>
      <c r="I266" s="25"/>
      <c r="J266" s="25"/>
      <c r="K266" s="25">
        <f t="shared" si="2"/>
        <v>6</v>
      </c>
      <c r="L266" s="25" t="str">
        <f t="shared" si="8"/>
        <v>الابراهيم</v>
      </c>
      <c r="M266" s="25" t="str">
        <f t="shared" si="3"/>
        <v>عبدالله بن عبدالعزيز بن ابراهيم ناصر</v>
      </c>
      <c r="N266" s="25" t="str">
        <f t="shared" si="4"/>
        <v>عبدالله bin عبدالعزيز bin ابراهيم Al-ناصر</v>
      </c>
      <c r="O266" s="25" t="str">
        <f t="shared" si="5"/>
        <v/>
      </c>
      <c r="P266" s="25">
        <f t="shared" si="6"/>
        <v>0</v>
      </c>
      <c r="Q266" s="25"/>
      <c r="R266" s="25"/>
      <c r="S266" s="25" t="str">
        <f t="shared" si="7"/>
        <v>Living</v>
      </c>
    </row>
    <row r="267" ht="15.75" hidden="1" customHeight="1">
      <c r="A267" s="25" t="str">
        <f t="shared" si="1"/>
        <v>P266</v>
      </c>
      <c r="B267" s="71" t="s">
        <v>288</v>
      </c>
      <c r="C267" s="71" t="s">
        <v>108</v>
      </c>
      <c r="D267" s="71" t="s">
        <v>27</v>
      </c>
      <c r="E267" s="71" t="s">
        <v>102</v>
      </c>
      <c r="F267" s="1" t="s">
        <v>287</v>
      </c>
      <c r="G267" s="1" t="s">
        <v>132</v>
      </c>
      <c r="H267" s="25"/>
      <c r="I267" s="25"/>
      <c r="J267" s="25"/>
      <c r="K267" s="25">
        <f t="shared" si="2"/>
        <v>6</v>
      </c>
      <c r="L267" s="25" t="str">
        <f t="shared" si="8"/>
        <v>الابراهيم</v>
      </c>
      <c r="M267" s="25" t="str">
        <f t="shared" si="3"/>
        <v>وسمية بن عبدالعزيز بن ابراهيم ناصر</v>
      </c>
      <c r="N267" s="25" t="str">
        <f t="shared" si="4"/>
        <v>وسمية bin عبدالعزيز bin ابراهيم Al-ناصر</v>
      </c>
      <c r="O267" s="25" t="str">
        <f t="shared" si="5"/>
        <v/>
      </c>
      <c r="P267" s="25">
        <f t="shared" si="6"/>
        <v>0</v>
      </c>
      <c r="Q267" s="25"/>
      <c r="R267" s="25"/>
      <c r="S267" s="25" t="str">
        <f t="shared" si="7"/>
        <v>Living</v>
      </c>
    </row>
    <row r="268" ht="15.75" hidden="1" customHeight="1">
      <c r="A268" s="25" t="str">
        <f t="shared" si="1"/>
        <v>P267</v>
      </c>
      <c r="B268" s="71" t="s">
        <v>156</v>
      </c>
      <c r="C268" s="71" t="s">
        <v>108</v>
      </c>
      <c r="D268" s="71" t="s">
        <v>27</v>
      </c>
      <c r="E268" s="71" t="s">
        <v>102</v>
      </c>
      <c r="F268" s="1" t="s">
        <v>287</v>
      </c>
      <c r="G268" s="1" t="s">
        <v>132</v>
      </c>
      <c r="H268" s="25"/>
      <c r="I268" s="25"/>
      <c r="J268" s="25"/>
      <c r="K268" s="25">
        <f t="shared" si="2"/>
        <v>6</v>
      </c>
      <c r="L268" s="25" t="str">
        <f t="shared" si="8"/>
        <v>الابراهيم</v>
      </c>
      <c r="M268" s="25" t="str">
        <f t="shared" si="3"/>
        <v>خلود بن عبدالعزيز بن ابراهيم ناصر</v>
      </c>
      <c r="N268" s="25" t="str">
        <f t="shared" si="4"/>
        <v>خلود bin عبدالعزيز bin ابراهيم Al-ناصر</v>
      </c>
      <c r="O268" s="25" t="str">
        <f t="shared" si="5"/>
        <v/>
      </c>
      <c r="P268" s="25">
        <f t="shared" si="6"/>
        <v>0</v>
      </c>
      <c r="Q268" s="25"/>
      <c r="R268" s="25"/>
      <c r="S268" s="25" t="str">
        <f t="shared" si="7"/>
        <v>Living</v>
      </c>
    </row>
    <row r="269" ht="15.75" hidden="1" customHeight="1">
      <c r="A269" s="25" t="str">
        <f t="shared" si="1"/>
        <v>P268</v>
      </c>
      <c r="B269" s="71" t="s">
        <v>289</v>
      </c>
      <c r="C269" s="71" t="s">
        <v>108</v>
      </c>
      <c r="D269" s="71" t="s">
        <v>27</v>
      </c>
      <c r="E269" s="71" t="s">
        <v>102</v>
      </c>
      <c r="F269" s="1" t="s">
        <v>287</v>
      </c>
      <c r="G269" s="1" t="s">
        <v>132</v>
      </c>
      <c r="H269" s="25"/>
      <c r="I269" s="25"/>
      <c r="J269" s="25"/>
      <c r="K269" s="25">
        <f t="shared" si="2"/>
        <v>6</v>
      </c>
      <c r="L269" s="25" t="str">
        <f t="shared" si="8"/>
        <v>الابراهيم</v>
      </c>
      <c r="M269" s="25" t="str">
        <f t="shared" si="3"/>
        <v>هالة بن عبدالعزيز بن ابراهيم ناصر</v>
      </c>
      <c r="N269" s="25" t="str">
        <f t="shared" si="4"/>
        <v>هالة bin عبدالعزيز bin ابراهيم Al-ناصر</v>
      </c>
      <c r="O269" s="25" t="str">
        <f t="shared" si="5"/>
        <v/>
      </c>
      <c r="P269" s="25">
        <f t="shared" si="6"/>
        <v>0</v>
      </c>
      <c r="Q269" s="25"/>
      <c r="R269" s="25"/>
      <c r="S269" s="25" t="str">
        <f t="shared" si="7"/>
        <v>Living</v>
      </c>
    </row>
    <row r="270" ht="15.75" customHeight="1">
      <c r="A270" s="25" t="str">
        <f t="shared" si="1"/>
        <v>P269</v>
      </c>
      <c r="B270" s="71" t="s">
        <v>272</v>
      </c>
      <c r="C270" s="71" t="s">
        <v>96</v>
      </c>
      <c r="D270" s="71" t="s">
        <v>31</v>
      </c>
      <c r="E270" s="25"/>
      <c r="F270" s="1" t="s">
        <v>270</v>
      </c>
      <c r="G270" s="1" t="s">
        <v>35</v>
      </c>
      <c r="H270" s="25"/>
      <c r="I270" s="25"/>
      <c r="J270" s="25"/>
      <c r="K270" s="25">
        <f t="shared" si="2"/>
        <v>3</v>
      </c>
      <c r="L270" s="25" t="str">
        <f t="shared" si="8"/>
        <v>العبدالكريم</v>
      </c>
      <c r="M270" s="25" t="str">
        <f t="shared" si="3"/>
        <v>عثمان بن عبدالكريم بن حمد </v>
      </c>
      <c r="N270" s="25" t="str">
        <f t="shared" si="4"/>
        <v>عثمان bin عبدالكريم bin حمد Al-</v>
      </c>
      <c r="O270" s="25" t="str">
        <f t="shared" si="5"/>
        <v/>
      </c>
      <c r="P270" s="25">
        <f t="shared" si="6"/>
        <v>0</v>
      </c>
      <c r="Q270" s="25"/>
      <c r="R270" s="25"/>
      <c r="S270" s="25" t="str">
        <f t="shared" si="7"/>
        <v>Living</v>
      </c>
    </row>
    <row r="271" ht="15.75" customHeight="1">
      <c r="A271" s="25" t="str">
        <f t="shared" si="1"/>
        <v>P270</v>
      </c>
      <c r="B271" s="71" t="s">
        <v>105</v>
      </c>
      <c r="C271" s="71" t="s">
        <v>272</v>
      </c>
      <c r="D271" s="71" t="s">
        <v>96</v>
      </c>
      <c r="E271" s="71" t="s">
        <v>31</v>
      </c>
      <c r="F271" s="25" t="s">
        <v>290</v>
      </c>
      <c r="G271" s="1" t="s">
        <v>35</v>
      </c>
      <c r="H271" s="25"/>
      <c r="I271" s="25"/>
      <c r="J271" s="25"/>
      <c r="K271" s="25">
        <f t="shared" si="2"/>
        <v>4</v>
      </c>
      <c r="L271" s="25" t="str">
        <f t="shared" si="8"/>
        <v>العبدالكريم</v>
      </c>
      <c r="M271" s="25" t="str">
        <f t="shared" si="3"/>
        <v>عبدالرحمن بن عثمان بن عبدالكريم حمد</v>
      </c>
      <c r="N271" s="25" t="str">
        <f t="shared" si="4"/>
        <v>عبدالرحمن bin عثمان bin عبدالكريم Al-حمد</v>
      </c>
      <c r="O271" s="25" t="str">
        <f t="shared" si="5"/>
        <v/>
      </c>
      <c r="P271" s="25">
        <f t="shared" si="6"/>
        <v>0</v>
      </c>
      <c r="Q271" s="25"/>
      <c r="R271" s="25"/>
      <c r="S271" s="25" t="str">
        <f t="shared" si="7"/>
        <v>Living</v>
      </c>
    </row>
    <row r="272" ht="15.75" customHeight="1">
      <c r="A272" s="25" t="str">
        <f t="shared" si="1"/>
        <v>P271</v>
      </c>
      <c r="B272" s="71" t="s">
        <v>96</v>
      </c>
      <c r="C272" s="71" t="s">
        <v>272</v>
      </c>
      <c r="D272" s="71" t="s">
        <v>96</v>
      </c>
      <c r="E272" s="71" t="s">
        <v>31</v>
      </c>
      <c r="F272" s="25" t="s">
        <v>290</v>
      </c>
      <c r="G272" s="1" t="s">
        <v>35</v>
      </c>
      <c r="H272" s="25"/>
      <c r="I272" s="25"/>
      <c r="J272" s="25"/>
      <c r="K272" s="25">
        <f t="shared" si="2"/>
        <v>4</v>
      </c>
      <c r="L272" s="25" t="str">
        <f t="shared" si="8"/>
        <v>العبدالكريم</v>
      </c>
      <c r="M272" s="25" t="str">
        <f t="shared" si="3"/>
        <v>عبدالكريم بن عثمان بن عبدالكريم حمد</v>
      </c>
      <c r="N272" s="25" t="str">
        <f t="shared" si="4"/>
        <v>عبدالكريم bin عثمان bin عبدالكريم Al-حمد</v>
      </c>
      <c r="O272" s="25" t="str">
        <f t="shared" si="5"/>
        <v/>
      </c>
      <c r="P272" s="25">
        <f t="shared" si="6"/>
        <v>0</v>
      </c>
      <c r="Q272" s="25"/>
      <c r="R272" s="25"/>
      <c r="S272" s="25" t="str">
        <f t="shared" si="7"/>
        <v>Living</v>
      </c>
    </row>
    <row r="273" ht="15.75" customHeight="1">
      <c r="A273" s="25" t="str">
        <f t="shared" si="1"/>
        <v>P272</v>
      </c>
      <c r="B273" s="71" t="s">
        <v>291</v>
      </c>
      <c r="C273" s="71" t="s">
        <v>272</v>
      </c>
      <c r="D273" s="71" t="s">
        <v>96</v>
      </c>
      <c r="E273" s="71" t="s">
        <v>31</v>
      </c>
      <c r="F273" s="25" t="s">
        <v>290</v>
      </c>
      <c r="G273" s="1" t="s">
        <v>35</v>
      </c>
      <c r="H273" s="25"/>
      <c r="I273" s="25"/>
      <c r="J273" s="25"/>
      <c r="K273" s="25">
        <f t="shared" si="2"/>
        <v>4</v>
      </c>
      <c r="L273" s="25" t="str">
        <f t="shared" si="8"/>
        <v>العبدالكريم</v>
      </c>
      <c r="M273" s="25" t="str">
        <f t="shared" si="3"/>
        <v>دخيل بن عثمان بن عبدالكريم حمد</v>
      </c>
      <c r="N273" s="25" t="str">
        <f t="shared" si="4"/>
        <v>دخيل bin عثمان bin عبدالكريم Al-حمد</v>
      </c>
      <c r="O273" s="25" t="str">
        <f t="shared" si="5"/>
        <v/>
      </c>
      <c r="P273" s="25">
        <f t="shared" si="6"/>
        <v>0</v>
      </c>
      <c r="Q273" s="25"/>
      <c r="R273" s="25"/>
      <c r="S273" s="25" t="str">
        <f t="shared" si="7"/>
        <v>Living</v>
      </c>
    </row>
    <row r="274" ht="15.75" customHeight="1">
      <c r="A274" s="25" t="str">
        <f t="shared" si="1"/>
        <v>P273</v>
      </c>
      <c r="B274" s="71" t="s">
        <v>272</v>
      </c>
      <c r="C274" s="71" t="s">
        <v>96</v>
      </c>
      <c r="D274" s="71" t="s">
        <v>272</v>
      </c>
      <c r="E274" s="71" t="s">
        <v>96</v>
      </c>
      <c r="F274" s="25" t="s">
        <v>292</v>
      </c>
      <c r="G274" s="1" t="s">
        <v>35</v>
      </c>
      <c r="H274" s="25"/>
      <c r="I274" s="25"/>
      <c r="J274" s="25"/>
      <c r="K274" s="25">
        <f t="shared" si="2"/>
        <v>5</v>
      </c>
      <c r="L274" s="25" t="str">
        <f t="shared" si="8"/>
        <v>العبدالكريم</v>
      </c>
      <c r="M274" s="25" t="str">
        <f t="shared" si="3"/>
        <v>عثمان بن عبدالكريم بن عثمان عبدالكريم</v>
      </c>
      <c r="N274" s="25" t="str">
        <f t="shared" si="4"/>
        <v>عثمان bin عبدالكريم bin عثمان Al-عبدالكريم</v>
      </c>
      <c r="O274" s="25" t="str">
        <f t="shared" si="5"/>
        <v/>
      </c>
      <c r="P274" s="25">
        <f t="shared" si="6"/>
        <v>0</v>
      </c>
      <c r="Q274" s="25"/>
      <c r="R274" s="25"/>
      <c r="S274" s="25" t="str">
        <f t="shared" si="7"/>
        <v>Living</v>
      </c>
    </row>
    <row r="275" ht="15.75" customHeight="1">
      <c r="A275" s="25" t="str">
        <f t="shared" si="1"/>
        <v>P274</v>
      </c>
      <c r="B275" s="71" t="s">
        <v>105</v>
      </c>
      <c r="C275" s="71" t="s">
        <v>96</v>
      </c>
      <c r="D275" s="71" t="s">
        <v>272</v>
      </c>
      <c r="E275" s="71" t="s">
        <v>96</v>
      </c>
      <c r="F275" s="25" t="s">
        <v>292</v>
      </c>
      <c r="G275" s="1" t="s">
        <v>35</v>
      </c>
      <c r="H275" s="25"/>
      <c r="I275" s="25"/>
      <c r="J275" s="25"/>
      <c r="K275" s="25">
        <f t="shared" si="2"/>
        <v>5</v>
      </c>
      <c r="L275" s="25" t="str">
        <f t="shared" si="8"/>
        <v>العبدالكريم</v>
      </c>
      <c r="M275" s="25" t="str">
        <f t="shared" si="3"/>
        <v>عبدالرحمن بن عبدالكريم بن عثمان عبدالكريم</v>
      </c>
      <c r="N275" s="25" t="str">
        <f t="shared" si="4"/>
        <v>عبدالرحمن bin عبدالكريم bin عثمان Al-عبدالكريم</v>
      </c>
      <c r="O275" s="25" t="str">
        <f t="shared" si="5"/>
        <v/>
      </c>
      <c r="P275" s="25">
        <f t="shared" si="6"/>
        <v>0</v>
      </c>
      <c r="Q275" s="25"/>
      <c r="R275" s="25"/>
      <c r="S275" s="25" t="str">
        <f t="shared" si="7"/>
        <v>Living</v>
      </c>
    </row>
    <row r="276" ht="15.75" customHeight="1">
      <c r="A276" s="25" t="str">
        <f t="shared" si="1"/>
        <v>P275</v>
      </c>
      <c r="B276" s="71" t="s">
        <v>100</v>
      </c>
      <c r="C276" s="71" t="s">
        <v>272</v>
      </c>
      <c r="D276" s="71" t="s">
        <v>96</v>
      </c>
      <c r="E276" s="71" t="s">
        <v>272</v>
      </c>
      <c r="F276" s="25" t="s">
        <v>293</v>
      </c>
      <c r="G276" s="1" t="s">
        <v>35</v>
      </c>
      <c r="H276" s="25"/>
      <c r="I276" s="25"/>
      <c r="J276" s="25"/>
      <c r="K276" s="25">
        <f t="shared" si="2"/>
        <v>6</v>
      </c>
      <c r="L276" s="25" t="str">
        <f t="shared" si="8"/>
        <v>العبدالكريم</v>
      </c>
      <c r="M276" s="25" t="str">
        <f t="shared" si="3"/>
        <v>محمد بن عثمان بن عبدالكريم عثمان</v>
      </c>
      <c r="N276" s="25" t="str">
        <f t="shared" si="4"/>
        <v>محمد bin عثمان bin عبدالكريم Al-عثمان</v>
      </c>
      <c r="O276" s="25" t="str">
        <f t="shared" si="5"/>
        <v/>
      </c>
      <c r="P276" s="25">
        <f t="shared" si="6"/>
        <v>0</v>
      </c>
      <c r="Q276" s="25"/>
      <c r="R276" s="25"/>
      <c r="S276" s="25" t="str">
        <f t="shared" si="7"/>
        <v>Living</v>
      </c>
    </row>
    <row r="277" ht="15.75" customHeight="1">
      <c r="A277" s="25" t="str">
        <f t="shared" si="1"/>
        <v>P276</v>
      </c>
      <c r="B277" s="71" t="s">
        <v>96</v>
      </c>
      <c r="C277" s="71" t="s">
        <v>272</v>
      </c>
      <c r="D277" s="71" t="s">
        <v>96</v>
      </c>
      <c r="E277" s="71" t="s">
        <v>272</v>
      </c>
      <c r="F277" s="25" t="s">
        <v>293</v>
      </c>
      <c r="G277" s="1" t="s">
        <v>35</v>
      </c>
      <c r="H277" s="25"/>
      <c r="I277" s="25"/>
      <c r="J277" s="25"/>
      <c r="K277" s="25">
        <f t="shared" si="2"/>
        <v>6</v>
      </c>
      <c r="L277" s="25" t="str">
        <f t="shared" si="8"/>
        <v>العبدالكريم</v>
      </c>
      <c r="M277" s="25" t="str">
        <f t="shared" si="3"/>
        <v>عبدالكريم بن عثمان بن عبدالكريم عثمان</v>
      </c>
      <c r="N277" s="25" t="str">
        <f t="shared" si="4"/>
        <v>عبدالكريم bin عثمان bin عبدالكريم Al-عثمان</v>
      </c>
      <c r="O277" s="25" t="str">
        <f t="shared" si="5"/>
        <v/>
      </c>
      <c r="P277" s="25">
        <f t="shared" si="6"/>
        <v>0</v>
      </c>
      <c r="Q277" s="25"/>
      <c r="R277" s="25"/>
      <c r="S277" s="25" t="str">
        <f t="shared" si="7"/>
        <v>Living</v>
      </c>
    </row>
    <row r="278" ht="15.75" customHeight="1">
      <c r="A278" s="25" t="str">
        <f t="shared" si="1"/>
        <v>P277</v>
      </c>
      <c r="B278" s="71" t="s">
        <v>113</v>
      </c>
      <c r="C278" s="71" t="s">
        <v>272</v>
      </c>
      <c r="D278" s="71" t="s">
        <v>96</v>
      </c>
      <c r="E278" s="71" t="s">
        <v>272</v>
      </c>
      <c r="F278" s="25" t="s">
        <v>293</v>
      </c>
      <c r="G278" s="1" t="s">
        <v>35</v>
      </c>
      <c r="H278" s="25"/>
      <c r="I278" s="25"/>
      <c r="J278" s="25"/>
      <c r="K278" s="25">
        <f t="shared" si="2"/>
        <v>6</v>
      </c>
      <c r="L278" s="25" t="str">
        <f t="shared" si="8"/>
        <v>العبدالكريم</v>
      </c>
      <c r="M278" s="25" t="str">
        <f t="shared" si="3"/>
        <v>شايع بن عثمان بن عبدالكريم عثمان</v>
      </c>
      <c r="N278" s="25" t="str">
        <f t="shared" si="4"/>
        <v>شايع bin عثمان bin عبدالكريم Al-عثمان</v>
      </c>
      <c r="O278" s="25" t="str">
        <f t="shared" si="5"/>
        <v/>
      </c>
      <c r="P278" s="25">
        <f t="shared" si="6"/>
        <v>0</v>
      </c>
      <c r="Q278" s="25"/>
      <c r="R278" s="25"/>
      <c r="S278" s="25" t="str">
        <f t="shared" si="7"/>
        <v>Living</v>
      </c>
    </row>
    <row r="279" ht="15.75" customHeight="1">
      <c r="A279" s="25" t="str">
        <f t="shared" si="1"/>
        <v>P278</v>
      </c>
      <c r="B279" s="71" t="s">
        <v>112</v>
      </c>
      <c r="C279" s="71" t="s">
        <v>272</v>
      </c>
      <c r="D279" s="71" t="s">
        <v>96</v>
      </c>
      <c r="E279" s="71" t="s">
        <v>272</v>
      </c>
      <c r="F279" s="25" t="s">
        <v>293</v>
      </c>
      <c r="G279" s="1" t="s">
        <v>35</v>
      </c>
      <c r="H279" s="25"/>
      <c r="I279" s="25"/>
      <c r="J279" s="25"/>
      <c r="K279" s="25">
        <f t="shared" si="2"/>
        <v>6</v>
      </c>
      <c r="L279" s="25" t="str">
        <f t="shared" si="8"/>
        <v>العبدالكريم</v>
      </c>
      <c r="M279" s="25" t="str">
        <f t="shared" si="3"/>
        <v>خالد بن عثمان بن عبدالكريم عثمان</v>
      </c>
      <c r="N279" s="25" t="str">
        <f t="shared" si="4"/>
        <v>خالد bin عثمان bin عبدالكريم Al-عثمان</v>
      </c>
      <c r="O279" s="25" t="str">
        <f t="shared" si="5"/>
        <v/>
      </c>
      <c r="P279" s="25">
        <f t="shared" si="6"/>
        <v>0</v>
      </c>
      <c r="Q279" s="25"/>
      <c r="R279" s="25"/>
      <c r="S279" s="25" t="str">
        <f t="shared" si="7"/>
        <v>Living</v>
      </c>
    </row>
    <row r="280" ht="15.75" customHeight="1">
      <c r="A280" s="25" t="str">
        <f t="shared" si="1"/>
        <v>P279</v>
      </c>
      <c r="B280" s="71" t="s">
        <v>294</v>
      </c>
      <c r="C280" s="71" t="s">
        <v>100</v>
      </c>
      <c r="D280" s="71" t="s">
        <v>272</v>
      </c>
      <c r="E280" s="71" t="s">
        <v>96</v>
      </c>
      <c r="F280" s="25" t="s">
        <v>295</v>
      </c>
      <c r="G280" s="1" t="s">
        <v>35</v>
      </c>
      <c r="H280" s="25"/>
      <c r="I280" s="25"/>
      <c r="J280" s="25"/>
      <c r="K280" s="25">
        <f t="shared" si="2"/>
        <v>7</v>
      </c>
      <c r="L280" s="25" t="str">
        <f t="shared" si="8"/>
        <v>العبدالكريم</v>
      </c>
      <c r="M280" s="25" t="str">
        <f t="shared" si="3"/>
        <v>تركي بن محمد بن عثمان عبدالكريم</v>
      </c>
      <c r="N280" s="25" t="str">
        <f t="shared" si="4"/>
        <v>تركي bin محمد bin عثمان Al-عبدالكريم</v>
      </c>
      <c r="O280" s="25" t="str">
        <f t="shared" si="5"/>
        <v/>
      </c>
      <c r="P280" s="25">
        <f t="shared" si="6"/>
        <v>0</v>
      </c>
      <c r="Q280" s="25"/>
      <c r="R280" s="25"/>
      <c r="S280" s="25" t="str">
        <f t="shared" si="7"/>
        <v>Living</v>
      </c>
    </row>
    <row r="281" ht="15.75" customHeight="1">
      <c r="A281" s="25" t="str">
        <f t="shared" si="1"/>
        <v>P280</v>
      </c>
      <c r="B281" s="71" t="s">
        <v>105</v>
      </c>
      <c r="C281" s="71" t="s">
        <v>100</v>
      </c>
      <c r="D281" s="71" t="s">
        <v>272</v>
      </c>
      <c r="E281" s="71" t="s">
        <v>96</v>
      </c>
      <c r="F281" s="25" t="s">
        <v>295</v>
      </c>
      <c r="G281" s="1" t="s">
        <v>35</v>
      </c>
      <c r="H281" s="25"/>
      <c r="I281" s="25"/>
      <c r="J281" s="25"/>
      <c r="K281" s="25">
        <f t="shared" si="2"/>
        <v>7</v>
      </c>
      <c r="L281" s="25" t="str">
        <f t="shared" si="8"/>
        <v>العبدالكريم</v>
      </c>
      <c r="M281" s="25" t="str">
        <f t="shared" si="3"/>
        <v>عبدالرحمن بن محمد بن عثمان عبدالكريم</v>
      </c>
      <c r="N281" s="25" t="str">
        <f t="shared" si="4"/>
        <v>عبدالرحمن bin محمد bin عثمان Al-عبدالكريم</v>
      </c>
      <c r="O281" s="25" t="str">
        <f t="shared" si="5"/>
        <v/>
      </c>
      <c r="P281" s="25">
        <f t="shared" si="6"/>
        <v>0</v>
      </c>
      <c r="Q281" s="25"/>
      <c r="R281" s="25"/>
      <c r="S281" s="25" t="str">
        <f t="shared" si="7"/>
        <v>Living</v>
      </c>
    </row>
    <row r="282" ht="15.75" customHeight="1">
      <c r="A282" s="25" t="str">
        <f t="shared" si="1"/>
        <v>P281</v>
      </c>
      <c r="B282" s="71" t="s">
        <v>96</v>
      </c>
      <c r="C282" s="71" t="s">
        <v>113</v>
      </c>
      <c r="D282" s="71" t="s">
        <v>272</v>
      </c>
      <c r="E282" s="71" t="s">
        <v>96</v>
      </c>
      <c r="F282" s="25" t="s">
        <v>296</v>
      </c>
      <c r="G282" s="1" t="s">
        <v>35</v>
      </c>
      <c r="H282" s="25"/>
      <c r="I282" s="25"/>
      <c r="J282" s="25"/>
      <c r="K282" s="25">
        <f t="shared" si="2"/>
        <v>7</v>
      </c>
      <c r="L282" s="25" t="str">
        <f t="shared" si="8"/>
        <v>العبدالكريم</v>
      </c>
      <c r="M282" s="25" t="str">
        <f t="shared" si="3"/>
        <v>عبدالكريم بن شايع بن عثمان عبدالكريم</v>
      </c>
      <c r="N282" s="25" t="str">
        <f t="shared" si="4"/>
        <v>عبدالكريم bin شايع bin عثمان Al-عبدالكريم</v>
      </c>
      <c r="O282" s="25" t="str">
        <f t="shared" si="5"/>
        <v/>
      </c>
      <c r="P282" s="25">
        <f t="shared" si="6"/>
        <v>0</v>
      </c>
      <c r="Q282" s="25"/>
      <c r="R282" s="25"/>
      <c r="S282" s="25" t="str">
        <f t="shared" si="7"/>
        <v>Living</v>
      </c>
    </row>
    <row r="283" ht="15.75" customHeight="1">
      <c r="A283" s="25" t="str">
        <f t="shared" si="1"/>
        <v>P282</v>
      </c>
      <c r="B283" s="71" t="s">
        <v>108</v>
      </c>
      <c r="C283" s="71" t="s">
        <v>105</v>
      </c>
      <c r="D283" s="71" t="s">
        <v>96</v>
      </c>
      <c r="E283" s="71" t="s">
        <v>272</v>
      </c>
      <c r="F283" s="25" t="s">
        <v>297</v>
      </c>
      <c r="G283" s="1" t="s">
        <v>35</v>
      </c>
      <c r="H283" s="25"/>
      <c r="I283" s="25"/>
      <c r="J283" s="25"/>
      <c r="K283" s="25">
        <f t="shared" si="2"/>
        <v>6</v>
      </c>
      <c r="L283" s="25" t="str">
        <f t="shared" si="8"/>
        <v>العبدالكريم</v>
      </c>
      <c r="M283" s="25" t="str">
        <f t="shared" si="3"/>
        <v>عبدالعزيز بن عبدالرحمن بن عبدالكريم عثمان</v>
      </c>
      <c r="N283" s="25" t="str">
        <f t="shared" si="4"/>
        <v>عبدالعزيز bin عبدالرحمن bin عبدالكريم Al-عثمان</v>
      </c>
      <c r="O283" s="25" t="str">
        <f t="shared" si="5"/>
        <v/>
      </c>
      <c r="P283" s="25">
        <f t="shared" si="6"/>
        <v>0</v>
      </c>
      <c r="Q283" s="25"/>
      <c r="R283" s="25"/>
      <c r="S283" s="25" t="str">
        <f t="shared" si="7"/>
        <v>Living</v>
      </c>
    </row>
    <row r="284" ht="15.75" customHeight="1">
      <c r="A284" s="25" t="str">
        <f t="shared" si="1"/>
        <v>P283</v>
      </c>
      <c r="B284" s="71" t="s">
        <v>119</v>
      </c>
      <c r="C284" s="71" t="s">
        <v>105</v>
      </c>
      <c r="D284" s="71" t="s">
        <v>96</v>
      </c>
      <c r="E284" s="71" t="s">
        <v>272</v>
      </c>
      <c r="F284" s="25" t="s">
        <v>297</v>
      </c>
      <c r="G284" s="1" t="s">
        <v>35</v>
      </c>
      <c r="H284" s="25"/>
      <c r="I284" s="25"/>
      <c r="J284" s="25"/>
      <c r="K284" s="25">
        <f t="shared" si="2"/>
        <v>6</v>
      </c>
      <c r="L284" s="25" t="str">
        <f t="shared" si="8"/>
        <v>العبدالكريم</v>
      </c>
      <c r="M284" s="25" t="str">
        <f t="shared" si="3"/>
        <v>عبدالله بن عبدالرحمن بن عبدالكريم عثمان</v>
      </c>
      <c r="N284" s="25" t="str">
        <f t="shared" si="4"/>
        <v>عبدالله bin عبدالرحمن bin عبدالكريم Al-عثمان</v>
      </c>
      <c r="O284" s="25" t="str">
        <f t="shared" si="5"/>
        <v/>
      </c>
      <c r="P284" s="25">
        <f t="shared" si="6"/>
        <v>0</v>
      </c>
      <c r="Q284" s="25"/>
      <c r="R284" s="25"/>
      <c r="S284" s="25" t="str">
        <f t="shared" si="7"/>
        <v>Living</v>
      </c>
    </row>
    <row r="285" ht="15.75" customHeight="1">
      <c r="A285" s="25" t="str">
        <f t="shared" si="1"/>
        <v>P284</v>
      </c>
      <c r="B285" s="71" t="s">
        <v>251</v>
      </c>
      <c r="C285" s="71" t="s">
        <v>105</v>
      </c>
      <c r="D285" s="71" t="s">
        <v>96</v>
      </c>
      <c r="E285" s="71" t="s">
        <v>272</v>
      </c>
      <c r="F285" s="25" t="s">
        <v>297</v>
      </c>
      <c r="G285" s="1" t="s">
        <v>35</v>
      </c>
      <c r="H285" s="25"/>
      <c r="I285" s="25"/>
      <c r="J285" s="25"/>
      <c r="K285" s="25">
        <f t="shared" si="2"/>
        <v>6</v>
      </c>
      <c r="L285" s="25" t="str">
        <f t="shared" si="8"/>
        <v>العبدالكريم</v>
      </c>
      <c r="M285" s="25" t="str">
        <f t="shared" si="3"/>
        <v>صالح بن عبدالرحمن بن عبدالكريم عثمان</v>
      </c>
      <c r="N285" s="25" t="str">
        <f t="shared" si="4"/>
        <v>صالح bin عبدالرحمن bin عبدالكريم Al-عثمان</v>
      </c>
      <c r="O285" s="25" t="str">
        <f t="shared" si="5"/>
        <v/>
      </c>
      <c r="P285" s="25">
        <f t="shared" si="6"/>
        <v>0</v>
      </c>
      <c r="Q285" s="25"/>
      <c r="R285" s="25"/>
      <c r="S285" s="25" t="str">
        <f t="shared" si="7"/>
        <v>Living</v>
      </c>
    </row>
    <row r="286" ht="15.75" customHeight="1">
      <c r="A286" s="25" t="str">
        <f t="shared" si="1"/>
        <v>P285</v>
      </c>
      <c r="B286" s="71" t="s">
        <v>96</v>
      </c>
      <c r="C286" s="71" t="s">
        <v>105</v>
      </c>
      <c r="D286" s="71" t="s">
        <v>96</v>
      </c>
      <c r="E286" s="71" t="s">
        <v>272</v>
      </c>
      <c r="F286" s="25" t="s">
        <v>297</v>
      </c>
      <c r="G286" s="1" t="s">
        <v>35</v>
      </c>
      <c r="H286" s="25"/>
      <c r="I286" s="25"/>
      <c r="J286" s="25"/>
      <c r="K286" s="25">
        <f t="shared" si="2"/>
        <v>6</v>
      </c>
      <c r="L286" s="25" t="str">
        <f t="shared" si="8"/>
        <v>العبدالكريم</v>
      </c>
      <c r="M286" s="25" t="str">
        <f t="shared" si="3"/>
        <v>عبدالكريم بن عبدالرحمن بن عبدالكريم عثمان</v>
      </c>
      <c r="N286" s="25" t="str">
        <f t="shared" si="4"/>
        <v>عبدالكريم bin عبدالرحمن bin عبدالكريم Al-عثمان</v>
      </c>
      <c r="O286" s="25" t="str">
        <f t="shared" si="5"/>
        <v/>
      </c>
      <c r="P286" s="25">
        <f t="shared" si="6"/>
        <v>0</v>
      </c>
      <c r="Q286" s="25"/>
      <c r="R286" s="25"/>
      <c r="S286" s="25" t="str">
        <f t="shared" si="7"/>
        <v>Living</v>
      </c>
    </row>
    <row r="287" ht="15.75" customHeight="1">
      <c r="A287" s="25" t="str">
        <f t="shared" si="1"/>
        <v>P286</v>
      </c>
      <c r="B287" s="71" t="s">
        <v>291</v>
      </c>
      <c r="C287" s="71" t="s">
        <v>105</v>
      </c>
      <c r="D287" s="71" t="s">
        <v>96</v>
      </c>
      <c r="E287" s="71" t="s">
        <v>272</v>
      </c>
      <c r="F287" s="25" t="s">
        <v>297</v>
      </c>
      <c r="G287" s="1" t="s">
        <v>35</v>
      </c>
      <c r="H287" s="25"/>
      <c r="I287" s="25"/>
      <c r="J287" s="25"/>
      <c r="K287" s="25">
        <f t="shared" si="2"/>
        <v>6</v>
      </c>
      <c r="L287" s="25" t="str">
        <f t="shared" si="8"/>
        <v>العبدالكريم</v>
      </c>
      <c r="M287" s="25" t="str">
        <f t="shared" si="3"/>
        <v>دخيل بن عبدالرحمن بن عبدالكريم عثمان</v>
      </c>
      <c r="N287" s="25" t="str">
        <f t="shared" si="4"/>
        <v>دخيل bin عبدالرحمن bin عبدالكريم Al-عثمان</v>
      </c>
      <c r="O287" s="25" t="str">
        <f t="shared" si="5"/>
        <v/>
      </c>
      <c r="P287" s="25">
        <f t="shared" si="6"/>
        <v>0</v>
      </c>
      <c r="Q287" s="25"/>
      <c r="R287" s="25"/>
      <c r="S287" s="25" t="str">
        <f t="shared" si="7"/>
        <v>Living</v>
      </c>
    </row>
    <row r="288" ht="15.75" customHeight="1">
      <c r="A288" s="25" t="str">
        <f t="shared" si="1"/>
        <v>P287</v>
      </c>
      <c r="B288" s="71" t="s">
        <v>298</v>
      </c>
      <c r="C288" s="71" t="s">
        <v>108</v>
      </c>
      <c r="D288" s="71" t="s">
        <v>105</v>
      </c>
      <c r="E288" s="71" t="s">
        <v>96</v>
      </c>
      <c r="F288" s="25" t="s">
        <v>299</v>
      </c>
      <c r="G288" s="1" t="s">
        <v>35</v>
      </c>
      <c r="H288" s="25"/>
      <c r="I288" s="25"/>
      <c r="J288" s="25"/>
      <c r="K288" s="25">
        <f t="shared" si="2"/>
        <v>7</v>
      </c>
      <c r="L288" s="25" t="str">
        <f t="shared" si="8"/>
        <v>العبدالكريم</v>
      </c>
      <c r="M288" s="25" t="str">
        <f t="shared" si="3"/>
        <v>سامي بن عبدالعزيز بن عبدالرحمن عبدالكريم</v>
      </c>
      <c r="N288" s="25" t="str">
        <f t="shared" si="4"/>
        <v>سامي bin عبدالعزيز bin عبدالرحمن Al-عبدالكريم</v>
      </c>
      <c r="O288" s="25" t="str">
        <f t="shared" si="5"/>
        <v/>
      </c>
      <c r="P288" s="25">
        <f t="shared" si="6"/>
        <v>0</v>
      </c>
      <c r="Q288" s="25"/>
      <c r="R288" s="25"/>
      <c r="S288" s="25" t="str">
        <f t="shared" si="7"/>
        <v>Living</v>
      </c>
    </row>
    <row r="289" ht="15.75" customHeight="1">
      <c r="A289" s="25" t="str">
        <f t="shared" si="1"/>
        <v>P288</v>
      </c>
      <c r="B289" s="71" t="s">
        <v>119</v>
      </c>
      <c r="C289" s="71" t="s">
        <v>108</v>
      </c>
      <c r="D289" s="71" t="s">
        <v>105</v>
      </c>
      <c r="E289" s="71" t="s">
        <v>96</v>
      </c>
      <c r="F289" s="25" t="s">
        <v>299</v>
      </c>
      <c r="G289" s="1" t="s">
        <v>35</v>
      </c>
      <c r="H289" s="25"/>
      <c r="I289" s="25"/>
      <c r="J289" s="25"/>
      <c r="K289" s="25">
        <f t="shared" si="2"/>
        <v>7</v>
      </c>
      <c r="L289" s="25" t="str">
        <f t="shared" si="8"/>
        <v>العبدالكريم</v>
      </c>
      <c r="M289" s="25" t="str">
        <f t="shared" si="3"/>
        <v>عبدالله بن عبدالعزيز بن عبدالرحمن عبدالكريم</v>
      </c>
      <c r="N289" s="25" t="str">
        <f t="shared" si="4"/>
        <v>عبدالله bin عبدالعزيز bin عبدالرحمن Al-عبدالكريم</v>
      </c>
      <c r="O289" s="25" t="str">
        <f t="shared" si="5"/>
        <v/>
      </c>
      <c r="P289" s="25">
        <f t="shared" si="6"/>
        <v>0</v>
      </c>
      <c r="Q289" s="25"/>
      <c r="R289" s="25"/>
      <c r="S289" s="25" t="str">
        <f t="shared" si="7"/>
        <v>Living</v>
      </c>
    </row>
    <row r="290" ht="15.75" customHeight="1">
      <c r="A290" s="25" t="str">
        <f t="shared" si="1"/>
        <v>P289</v>
      </c>
      <c r="B290" s="71" t="s">
        <v>105</v>
      </c>
      <c r="C290" s="71" t="s">
        <v>108</v>
      </c>
      <c r="D290" s="71" t="s">
        <v>105</v>
      </c>
      <c r="E290" s="71" t="s">
        <v>96</v>
      </c>
      <c r="F290" s="25" t="s">
        <v>299</v>
      </c>
      <c r="G290" s="1" t="s">
        <v>35</v>
      </c>
      <c r="H290" s="25"/>
      <c r="I290" s="25"/>
      <c r="J290" s="25"/>
      <c r="K290" s="25">
        <f t="shared" si="2"/>
        <v>7</v>
      </c>
      <c r="L290" s="25" t="str">
        <f t="shared" si="8"/>
        <v>العبدالكريم</v>
      </c>
      <c r="M290" s="25" t="str">
        <f t="shared" si="3"/>
        <v>عبدالرحمن بن عبدالعزيز بن عبدالرحمن عبدالكريم</v>
      </c>
      <c r="N290" s="25" t="str">
        <f t="shared" si="4"/>
        <v>عبدالرحمن bin عبدالعزيز bin عبدالرحمن Al-عبدالكريم</v>
      </c>
      <c r="O290" s="25" t="str">
        <f t="shared" si="5"/>
        <v/>
      </c>
      <c r="P290" s="25">
        <f t="shared" si="6"/>
        <v>0</v>
      </c>
      <c r="Q290" s="25"/>
      <c r="R290" s="25"/>
      <c r="S290" s="25" t="str">
        <f t="shared" si="7"/>
        <v>Living</v>
      </c>
    </row>
    <row r="291" ht="15.75" customHeight="1">
      <c r="A291" s="25" t="str">
        <f t="shared" si="1"/>
        <v>P290</v>
      </c>
      <c r="B291" s="71" t="s">
        <v>112</v>
      </c>
      <c r="C291" s="71" t="s">
        <v>108</v>
      </c>
      <c r="D291" s="71" t="s">
        <v>105</v>
      </c>
      <c r="E291" s="71" t="s">
        <v>96</v>
      </c>
      <c r="F291" s="25" t="s">
        <v>299</v>
      </c>
      <c r="G291" s="1" t="s">
        <v>35</v>
      </c>
      <c r="H291" s="25"/>
      <c r="I291" s="25"/>
      <c r="J291" s="25"/>
      <c r="K291" s="25">
        <f t="shared" si="2"/>
        <v>7</v>
      </c>
      <c r="L291" s="25" t="str">
        <f t="shared" si="8"/>
        <v>العبدالكريم</v>
      </c>
      <c r="M291" s="25" t="str">
        <f t="shared" si="3"/>
        <v>خالد بن عبدالعزيز بن عبدالرحمن عبدالكريم</v>
      </c>
      <c r="N291" s="25" t="str">
        <f t="shared" si="4"/>
        <v>خالد bin عبدالعزيز bin عبدالرحمن Al-عبدالكريم</v>
      </c>
      <c r="O291" s="25" t="str">
        <f t="shared" si="5"/>
        <v/>
      </c>
      <c r="P291" s="25">
        <f t="shared" si="6"/>
        <v>0</v>
      </c>
      <c r="Q291" s="25"/>
      <c r="R291" s="25"/>
      <c r="S291" s="25" t="str">
        <f t="shared" si="7"/>
        <v>Living</v>
      </c>
    </row>
    <row r="292" ht="15.75" customHeight="1">
      <c r="A292" s="25" t="str">
        <f t="shared" si="1"/>
        <v>P291</v>
      </c>
      <c r="B292" s="71" t="s">
        <v>300</v>
      </c>
      <c r="C292" s="71" t="s">
        <v>108</v>
      </c>
      <c r="D292" s="71" t="s">
        <v>105</v>
      </c>
      <c r="E292" s="71" t="s">
        <v>96</v>
      </c>
      <c r="F292" s="25" t="s">
        <v>299</v>
      </c>
      <c r="G292" s="1" t="s">
        <v>35</v>
      </c>
      <c r="H292" s="25"/>
      <c r="I292" s="25"/>
      <c r="J292" s="25"/>
      <c r="K292" s="25">
        <f t="shared" si="2"/>
        <v>7</v>
      </c>
      <c r="L292" s="25" t="str">
        <f t="shared" si="8"/>
        <v>العبدالكريم</v>
      </c>
      <c r="M292" s="25" t="str">
        <f t="shared" si="3"/>
        <v>رياض بن عبدالعزيز بن عبدالرحمن عبدالكريم</v>
      </c>
      <c r="N292" s="25" t="str">
        <f t="shared" si="4"/>
        <v>رياض bin عبدالعزيز bin عبدالرحمن Al-عبدالكريم</v>
      </c>
      <c r="O292" s="25" t="str">
        <f t="shared" si="5"/>
        <v/>
      </c>
      <c r="P292" s="25">
        <f t="shared" si="6"/>
        <v>0</v>
      </c>
      <c r="Q292" s="25"/>
      <c r="R292" s="25"/>
      <c r="S292" s="25" t="str">
        <f t="shared" si="7"/>
        <v>Living</v>
      </c>
    </row>
    <row r="293" ht="15.75" customHeight="1">
      <c r="A293" s="25" t="str">
        <f t="shared" si="1"/>
        <v>P292</v>
      </c>
      <c r="B293" s="71" t="s">
        <v>301</v>
      </c>
      <c r="C293" s="71" t="s">
        <v>108</v>
      </c>
      <c r="D293" s="71" t="s">
        <v>105</v>
      </c>
      <c r="E293" s="71" t="s">
        <v>96</v>
      </c>
      <c r="F293" s="25" t="s">
        <v>299</v>
      </c>
      <c r="G293" s="1" t="s">
        <v>35</v>
      </c>
      <c r="H293" s="25"/>
      <c r="I293" s="25"/>
      <c r="J293" s="25"/>
      <c r="K293" s="25">
        <f t="shared" si="2"/>
        <v>7</v>
      </c>
      <c r="L293" s="25" t="str">
        <f t="shared" si="8"/>
        <v>العبدالكريم</v>
      </c>
      <c r="M293" s="25" t="str">
        <f t="shared" si="3"/>
        <v>رائد بن عبدالعزيز بن عبدالرحمن عبدالكريم</v>
      </c>
      <c r="N293" s="25" t="str">
        <f t="shared" si="4"/>
        <v>رائد bin عبدالعزيز bin عبدالرحمن Al-عبدالكريم</v>
      </c>
      <c r="O293" s="25" t="str">
        <f t="shared" si="5"/>
        <v/>
      </c>
      <c r="P293" s="25">
        <f t="shared" si="6"/>
        <v>0</v>
      </c>
      <c r="Q293" s="25"/>
      <c r="R293" s="25"/>
      <c r="S293" s="25" t="str">
        <f t="shared" si="7"/>
        <v>Living</v>
      </c>
    </row>
    <row r="294" ht="15.75" customHeight="1">
      <c r="A294" s="25" t="str">
        <f t="shared" si="1"/>
        <v>P293</v>
      </c>
      <c r="B294" s="71" t="s">
        <v>241</v>
      </c>
      <c r="C294" s="71" t="s">
        <v>251</v>
      </c>
      <c r="D294" s="71" t="s">
        <v>105</v>
      </c>
      <c r="E294" s="71" t="s">
        <v>96</v>
      </c>
      <c r="F294" s="25" t="s">
        <v>302</v>
      </c>
      <c r="G294" s="1" t="s">
        <v>35</v>
      </c>
      <c r="H294" s="25"/>
      <c r="I294" s="25"/>
      <c r="J294" s="25"/>
      <c r="K294" s="25">
        <f t="shared" si="2"/>
        <v>7</v>
      </c>
      <c r="L294" s="25" t="str">
        <f t="shared" si="8"/>
        <v>العبدالكريم</v>
      </c>
      <c r="M294" s="25" t="str">
        <f t="shared" si="3"/>
        <v>عمر بن صالح بن عبدالرحمن عبدالكريم</v>
      </c>
      <c r="N294" s="25" t="str">
        <f t="shared" si="4"/>
        <v>عمر bin صالح bin عبدالرحمن Al-عبدالكريم</v>
      </c>
      <c r="O294" s="25" t="str">
        <f t="shared" si="5"/>
        <v/>
      </c>
      <c r="P294" s="25">
        <f t="shared" si="6"/>
        <v>0</v>
      </c>
      <c r="Q294" s="25"/>
      <c r="R294" s="25"/>
      <c r="S294" s="25" t="str">
        <f t="shared" si="7"/>
        <v>Living</v>
      </c>
    </row>
    <row r="295" ht="15.75" customHeight="1">
      <c r="A295" s="25" t="str">
        <f t="shared" si="1"/>
        <v>P294</v>
      </c>
      <c r="B295" s="71" t="s">
        <v>119</v>
      </c>
      <c r="C295" s="71" t="s">
        <v>96</v>
      </c>
      <c r="D295" s="71" t="s">
        <v>105</v>
      </c>
      <c r="E295" s="71" t="s">
        <v>96</v>
      </c>
      <c r="F295" s="25" t="s">
        <v>303</v>
      </c>
      <c r="G295" s="1" t="s">
        <v>35</v>
      </c>
      <c r="H295" s="25"/>
      <c r="I295" s="25"/>
      <c r="J295" s="25"/>
      <c r="K295" s="25">
        <f t="shared" si="2"/>
        <v>7</v>
      </c>
      <c r="L295" s="25" t="str">
        <f t="shared" si="8"/>
        <v>العبدالكريم</v>
      </c>
      <c r="M295" s="25" t="str">
        <f t="shared" si="3"/>
        <v>عبدالله بن عبدالكريم بن عبدالرحمن عبدالكريم</v>
      </c>
      <c r="N295" s="25" t="str">
        <f t="shared" si="4"/>
        <v>عبدالله bin عبدالكريم bin عبدالرحمن Al-عبدالكريم</v>
      </c>
      <c r="O295" s="25" t="str">
        <f t="shared" si="5"/>
        <v/>
      </c>
      <c r="P295" s="25">
        <f t="shared" si="6"/>
        <v>0</v>
      </c>
      <c r="Q295" s="25"/>
      <c r="R295" s="25"/>
      <c r="S295" s="25" t="str">
        <f t="shared" si="7"/>
        <v>Living</v>
      </c>
    </row>
    <row r="296" ht="15.75" customHeight="1">
      <c r="A296" s="25" t="str">
        <f t="shared" si="1"/>
        <v>P295</v>
      </c>
      <c r="B296" s="71" t="s">
        <v>142</v>
      </c>
      <c r="C296" s="71" t="s">
        <v>96</v>
      </c>
      <c r="D296" s="71" t="s">
        <v>105</v>
      </c>
      <c r="E296" s="71" t="s">
        <v>96</v>
      </c>
      <c r="F296" s="25" t="s">
        <v>303</v>
      </c>
      <c r="G296" s="1" t="s">
        <v>35</v>
      </c>
      <c r="H296" s="25"/>
      <c r="I296" s="25"/>
      <c r="J296" s="25"/>
      <c r="K296" s="25">
        <f t="shared" si="2"/>
        <v>7</v>
      </c>
      <c r="L296" s="25" t="str">
        <f t="shared" si="8"/>
        <v>العبدالكريم</v>
      </c>
      <c r="M296" s="25" t="str">
        <f t="shared" si="3"/>
        <v>تميم بن عبدالكريم بن عبدالرحمن عبدالكريم</v>
      </c>
      <c r="N296" s="25" t="str">
        <f t="shared" si="4"/>
        <v>تميم bin عبدالكريم bin عبدالرحمن Al-عبدالكريم</v>
      </c>
      <c r="O296" s="25" t="str">
        <f t="shared" si="5"/>
        <v/>
      </c>
      <c r="P296" s="25">
        <f t="shared" si="6"/>
        <v>0</v>
      </c>
      <c r="Q296" s="25"/>
      <c r="R296" s="25"/>
      <c r="S296" s="25" t="str">
        <f t="shared" si="7"/>
        <v>Living</v>
      </c>
    </row>
    <row r="297" ht="15.75" customHeight="1">
      <c r="A297" s="25" t="str">
        <f t="shared" si="1"/>
        <v>P296</v>
      </c>
      <c r="B297" s="71" t="s">
        <v>254</v>
      </c>
      <c r="C297" s="71" t="s">
        <v>96</v>
      </c>
      <c r="D297" s="71" t="s">
        <v>105</v>
      </c>
      <c r="E297" s="71" t="s">
        <v>96</v>
      </c>
      <c r="F297" s="25" t="s">
        <v>303</v>
      </c>
      <c r="G297" s="1" t="s">
        <v>35</v>
      </c>
      <c r="H297" s="25"/>
      <c r="I297" s="25"/>
      <c r="J297" s="25"/>
      <c r="K297" s="25">
        <f t="shared" si="2"/>
        <v>7</v>
      </c>
      <c r="L297" s="25" t="str">
        <f t="shared" si="8"/>
        <v>العبدالكريم</v>
      </c>
      <c r="M297" s="25" t="str">
        <f t="shared" si="3"/>
        <v>يوسف بن عبدالكريم بن عبدالرحمن عبدالكريم</v>
      </c>
      <c r="N297" s="25" t="str">
        <f t="shared" si="4"/>
        <v>يوسف bin عبدالكريم bin عبدالرحمن Al-عبدالكريم</v>
      </c>
      <c r="O297" s="25" t="str">
        <f t="shared" si="5"/>
        <v/>
      </c>
      <c r="P297" s="25">
        <f t="shared" si="6"/>
        <v>0</v>
      </c>
      <c r="Q297" s="25"/>
      <c r="R297" s="25"/>
      <c r="S297" s="25" t="str">
        <f t="shared" si="7"/>
        <v>Living</v>
      </c>
    </row>
    <row r="298" ht="15.75" customHeight="1">
      <c r="A298" s="25" t="str">
        <f t="shared" si="1"/>
        <v>P297</v>
      </c>
      <c r="B298" s="71" t="s">
        <v>111</v>
      </c>
      <c r="C298" s="71" t="s">
        <v>291</v>
      </c>
      <c r="D298" s="71" t="s">
        <v>105</v>
      </c>
      <c r="E298" s="71" t="s">
        <v>96</v>
      </c>
      <c r="F298" s="25" t="s">
        <v>304</v>
      </c>
      <c r="G298" s="1" t="s">
        <v>35</v>
      </c>
      <c r="H298" s="25"/>
      <c r="I298" s="25"/>
      <c r="J298" s="25"/>
      <c r="K298" s="25">
        <f t="shared" si="2"/>
        <v>7</v>
      </c>
      <c r="L298" s="25" t="str">
        <f t="shared" si="8"/>
        <v>العبدالكريم</v>
      </c>
      <c r="M298" s="25" t="str">
        <f t="shared" si="3"/>
        <v>فهد بن دخيل بن عبدالرحمن عبدالكريم</v>
      </c>
      <c r="N298" s="25" t="str">
        <f t="shared" si="4"/>
        <v>فهد bin دخيل bin عبدالرحمن Al-عبدالكريم</v>
      </c>
      <c r="O298" s="25" t="str">
        <f t="shared" si="5"/>
        <v/>
      </c>
      <c r="P298" s="25">
        <f t="shared" si="6"/>
        <v>0</v>
      </c>
      <c r="Q298" s="25"/>
      <c r="R298" s="25"/>
      <c r="S298" s="25" t="str">
        <f t="shared" si="7"/>
        <v>Living</v>
      </c>
    </row>
    <row r="299" ht="15.75" customHeight="1">
      <c r="A299" s="25" t="str">
        <f t="shared" si="1"/>
        <v>P298</v>
      </c>
      <c r="B299" s="71" t="s">
        <v>119</v>
      </c>
      <c r="C299" s="71" t="s">
        <v>291</v>
      </c>
      <c r="D299" s="71" t="s">
        <v>105</v>
      </c>
      <c r="E299" s="71" t="s">
        <v>96</v>
      </c>
      <c r="F299" s="25" t="s">
        <v>304</v>
      </c>
      <c r="G299" s="1" t="s">
        <v>35</v>
      </c>
      <c r="H299" s="25"/>
      <c r="I299" s="25"/>
      <c r="J299" s="25"/>
      <c r="K299" s="25">
        <f t="shared" si="2"/>
        <v>7</v>
      </c>
      <c r="L299" s="25" t="str">
        <f t="shared" si="8"/>
        <v>العبدالكريم</v>
      </c>
      <c r="M299" s="25" t="str">
        <f t="shared" si="3"/>
        <v>عبدالله بن دخيل بن عبدالرحمن عبدالكريم</v>
      </c>
      <c r="N299" s="25" t="str">
        <f t="shared" si="4"/>
        <v>عبدالله bin دخيل bin عبدالرحمن Al-عبدالكريم</v>
      </c>
      <c r="O299" s="25" t="str">
        <f t="shared" si="5"/>
        <v/>
      </c>
      <c r="P299" s="25">
        <f t="shared" si="6"/>
        <v>0</v>
      </c>
      <c r="Q299" s="25"/>
      <c r="R299" s="25"/>
      <c r="S299" s="25" t="str">
        <f t="shared" si="7"/>
        <v>Living</v>
      </c>
    </row>
    <row r="300" ht="15.75" customHeight="1">
      <c r="A300" s="25" t="str">
        <f t="shared" si="1"/>
        <v>P299</v>
      </c>
      <c r="B300" s="71" t="s">
        <v>112</v>
      </c>
      <c r="C300" s="71" t="s">
        <v>291</v>
      </c>
      <c r="D300" s="71" t="s">
        <v>105</v>
      </c>
      <c r="E300" s="71" t="s">
        <v>96</v>
      </c>
      <c r="F300" s="25" t="s">
        <v>304</v>
      </c>
      <c r="G300" s="1" t="s">
        <v>35</v>
      </c>
      <c r="H300" s="25"/>
      <c r="I300" s="25"/>
      <c r="J300" s="25"/>
      <c r="K300" s="25">
        <f t="shared" si="2"/>
        <v>7</v>
      </c>
      <c r="L300" s="25" t="str">
        <f t="shared" si="8"/>
        <v>العبدالكريم</v>
      </c>
      <c r="M300" s="25" t="str">
        <f t="shared" si="3"/>
        <v>خالد بن دخيل بن عبدالرحمن عبدالكريم</v>
      </c>
      <c r="N300" s="25" t="str">
        <f t="shared" si="4"/>
        <v>خالد bin دخيل bin عبدالرحمن Al-عبدالكريم</v>
      </c>
      <c r="O300" s="25" t="str">
        <f t="shared" si="5"/>
        <v/>
      </c>
      <c r="P300" s="25">
        <f t="shared" si="6"/>
        <v>0</v>
      </c>
      <c r="Q300" s="25"/>
      <c r="R300" s="25"/>
      <c r="S300" s="25" t="str">
        <f t="shared" si="7"/>
        <v>Living</v>
      </c>
    </row>
    <row r="301" ht="15.75" customHeight="1">
      <c r="A301" s="25" t="str">
        <f t="shared" si="1"/>
        <v>P300</v>
      </c>
      <c r="B301" s="71" t="s">
        <v>105</v>
      </c>
      <c r="C301" s="71" t="s">
        <v>291</v>
      </c>
      <c r="D301" s="71" t="s">
        <v>105</v>
      </c>
      <c r="E301" s="71" t="s">
        <v>96</v>
      </c>
      <c r="F301" s="25" t="s">
        <v>304</v>
      </c>
      <c r="G301" s="1" t="s">
        <v>35</v>
      </c>
      <c r="H301" s="25"/>
      <c r="I301" s="25"/>
      <c r="J301" s="25"/>
      <c r="K301" s="25">
        <f t="shared" si="2"/>
        <v>7</v>
      </c>
      <c r="L301" s="25" t="str">
        <f t="shared" si="8"/>
        <v>العبدالكريم</v>
      </c>
      <c r="M301" s="25" t="str">
        <f t="shared" si="3"/>
        <v>عبدالرحمن بن دخيل بن عبدالرحمن عبدالكريم</v>
      </c>
      <c r="N301" s="25" t="str">
        <f t="shared" si="4"/>
        <v>عبدالرحمن bin دخيل bin عبدالرحمن Al-عبدالكريم</v>
      </c>
      <c r="O301" s="25" t="str">
        <f t="shared" si="5"/>
        <v/>
      </c>
      <c r="P301" s="25">
        <f t="shared" si="6"/>
        <v>0</v>
      </c>
      <c r="Q301" s="25"/>
      <c r="R301" s="25"/>
      <c r="S301" s="25" t="str">
        <f t="shared" si="7"/>
        <v>Living</v>
      </c>
    </row>
    <row r="302" ht="15.75" customHeight="1">
      <c r="A302" s="25" t="str">
        <f t="shared" si="1"/>
        <v>P301</v>
      </c>
      <c r="B302" s="71" t="s">
        <v>272</v>
      </c>
      <c r="C302" s="71" t="s">
        <v>291</v>
      </c>
      <c r="D302" s="71" t="s">
        <v>272</v>
      </c>
      <c r="E302" s="71" t="s">
        <v>96</v>
      </c>
      <c r="F302" s="25" t="s">
        <v>305</v>
      </c>
      <c r="G302" s="1" t="s">
        <v>35</v>
      </c>
      <c r="H302" s="25"/>
      <c r="I302" s="25"/>
      <c r="J302" s="25"/>
      <c r="K302" s="25">
        <f t="shared" si="2"/>
        <v>5</v>
      </c>
      <c r="L302" s="25" t="str">
        <f t="shared" si="8"/>
        <v>العبدالكريم</v>
      </c>
      <c r="M302" s="25" t="str">
        <f t="shared" si="3"/>
        <v>عثمان بن دخيل بن عثمان عبدالكريم</v>
      </c>
      <c r="N302" s="25" t="str">
        <f t="shared" si="4"/>
        <v>عثمان bin دخيل bin عثمان Al-عبدالكريم</v>
      </c>
      <c r="O302" s="25" t="str">
        <f t="shared" si="5"/>
        <v/>
      </c>
      <c r="P302" s="25">
        <f t="shared" si="6"/>
        <v>0</v>
      </c>
      <c r="Q302" s="25"/>
      <c r="R302" s="25"/>
      <c r="S302" s="25" t="str">
        <f t="shared" si="7"/>
        <v>Living</v>
      </c>
    </row>
    <row r="303" ht="15.75" customHeight="1">
      <c r="A303" s="25" t="str">
        <f t="shared" si="1"/>
        <v>P302</v>
      </c>
      <c r="B303" s="71" t="s">
        <v>100</v>
      </c>
      <c r="C303" s="71" t="s">
        <v>291</v>
      </c>
      <c r="D303" s="71" t="s">
        <v>272</v>
      </c>
      <c r="E303" s="71" t="s">
        <v>96</v>
      </c>
      <c r="F303" s="25" t="s">
        <v>305</v>
      </c>
      <c r="G303" s="1" t="s">
        <v>35</v>
      </c>
      <c r="H303" s="25"/>
      <c r="I303" s="25"/>
      <c r="J303" s="25"/>
      <c r="K303" s="25">
        <f t="shared" si="2"/>
        <v>5</v>
      </c>
      <c r="L303" s="25" t="str">
        <f t="shared" si="8"/>
        <v>العبدالكريم</v>
      </c>
      <c r="M303" s="25" t="str">
        <f t="shared" si="3"/>
        <v>محمد بن دخيل بن عثمان عبدالكريم</v>
      </c>
      <c r="N303" s="25" t="str">
        <f t="shared" si="4"/>
        <v>محمد bin دخيل bin عثمان Al-عبدالكريم</v>
      </c>
      <c r="O303" s="25" t="str">
        <f t="shared" si="5"/>
        <v/>
      </c>
      <c r="P303" s="25">
        <f t="shared" si="6"/>
        <v>0</v>
      </c>
      <c r="Q303" s="25"/>
      <c r="R303" s="25"/>
      <c r="S303" s="25" t="str">
        <f t="shared" si="7"/>
        <v>Living</v>
      </c>
    </row>
    <row r="304" ht="15.75" customHeight="1">
      <c r="A304" s="25" t="str">
        <f t="shared" si="1"/>
        <v>P303</v>
      </c>
      <c r="B304" s="71" t="s">
        <v>306</v>
      </c>
      <c r="C304" s="71" t="s">
        <v>100</v>
      </c>
      <c r="D304" s="71" t="s">
        <v>291</v>
      </c>
      <c r="E304" s="71" t="s">
        <v>272</v>
      </c>
      <c r="F304" s="25" t="s">
        <v>307</v>
      </c>
      <c r="G304" s="1" t="s">
        <v>35</v>
      </c>
      <c r="H304" s="25"/>
      <c r="I304" s="25"/>
      <c r="J304" s="25"/>
      <c r="K304" s="25">
        <f t="shared" si="2"/>
        <v>6</v>
      </c>
      <c r="L304" s="25" t="str">
        <f t="shared" si="8"/>
        <v>العبدالكريم</v>
      </c>
      <c r="M304" s="25" t="str">
        <f t="shared" si="3"/>
        <v>بشار بن محمد بن دخيل عثمان</v>
      </c>
      <c r="N304" s="25" t="str">
        <f t="shared" si="4"/>
        <v>بشار bin محمد bin دخيل Al-عثمان</v>
      </c>
      <c r="O304" s="25" t="str">
        <f t="shared" si="5"/>
        <v/>
      </c>
      <c r="P304" s="25">
        <f t="shared" si="6"/>
        <v>0</v>
      </c>
      <c r="Q304" s="25"/>
      <c r="R304" s="25"/>
      <c r="S304" s="25" t="str">
        <f t="shared" si="7"/>
        <v>Living</v>
      </c>
    </row>
    <row r="305" ht="15.75" customHeight="1">
      <c r="A305" s="25" t="str">
        <f t="shared" si="1"/>
        <v>P304</v>
      </c>
      <c r="B305" s="71" t="s">
        <v>105</v>
      </c>
      <c r="C305" s="71" t="s">
        <v>272</v>
      </c>
      <c r="D305" s="71" t="s">
        <v>291</v>
      </c>
      <c r="E305" s="71" t="s">
        <v>272</v>
      </c>
      <c r="F305" s="25" t="s">
        <v>308</v>
      </c>
      <c r="G305" s="1" t="s">
        <v>35</v>
      </c>
      <c r="H305" s="25"/>
      <c r="I305" s="25"/>
      <c r="J305" s="25"/>
      <c r="K305" s="25">
        <f t="shared" si="2"/>
        <v>6</v>
      </c>
      <c r="L305" s="25" t="str">
        <f t="shared" si="8"/>
        <v>العبدالكريم</v>
      </c>
      <c r="M305" s="25" t="str">
        <f t="shared" si="3"/>
        <v>عبدالرحمن بن عثمان بن دخيل عثمان</v>
      </c>
      <c r="N305" s="25" t="str">
        <f t="shared" si="4"/>
        <v>عبدالرحمن bin عثمان bin دخيل Al-عثمان</v>
      </c>
      <c r="O305" s="25" t="str">
        <f t="shared" si="5"/>
        <v/>
      </c>
      <c r="P305" s="25">
        <f t="shared" si="6"/>
        <v>0</v>
      </c>
      <c r="Q305" s="25"/>
      <c r="R305" s="25"/>
      <c r="S305" s="25" t="str">
        <f t="shared" si="7"/>
        <v>Living</v>
      </c>
    </row>
    <row r="306" ht="15.75" customHeight="1">
      <c r="A306" s="25" t="str">
        <f t="shared" si="1"/>
        <v>P305</v>
      </c>
      <c r="B306" s="71" t="s">
        <v>291</v>
      </c>
      <c r="C306" s="71" t="s">
        <v>272</v>
      </c>
      <c r="D306" s="71" t="s">
        <v>291</v>
      </c>
      <c r="E306" s="71" t="s">
        <v>272</v>
      </c>
      <c r="F306" s="25" t="s">
        <v>308</v>
      </c>
      <c r="G306" s="1" t="s">
        <v>35</v>
      </c>
      <c r="H306" s="25"/>
      <c r="I306" s="25"/>
      <c r="J306" s="25"/>
      <c r="K306" s="25">
        <f t="shared" si="2"/>
        <v>6</v>
      </c>
      <c r="L306" s="25" t="str">
        <f t="shared" si="8"/>
        <v>العبدالكريم</v>
      </c>
      <c r="M306" s="25" t="str">
        <f t="shared" si="3"/>
        <v>دخيل بن عثمان بن دخيل عثمان</v>
      </c>
      <c r="N306" s="25" t="str">
        <f t="shared" si="4"/>
        <v>دخيل bin عثمان bin دخيل Al-عثمان</v>
      </c>
      <c r="O306" s="25" t="str">
        <f t="shared" si="5"/>
        <v/>
      </c>
      <c r="P306" s="25">
        <f t="shared" si="6"/>
        <v>0</v>
      </c>
      <c r="Q306" s="25"/>
      <c r="R306" s="25"/>
      <c r="S306" s="25" t="str">
        <f t="shared" si="7"/>
        <v>Living</v>
      </c>
    </row>
    <row r="307" ht="15.75" customHeight="1">
      <c r="A307" s="25" t="str">
        <f t="shared" si="1"/>
        <v>P306</v>
      </c>
      <c r="B307" s="71" t="s">
        <v>96</v>
      </c>
      <c r="C307" s="71" t="s">
        <v>272</v>
      </c>
      <c r="D307" s="71" t="s">
        <v>291</v>
      </c>
      <c r="E307" s="71" t="s">
        <v>272</v>
      </c>
      <c r="F307" s="25" t="s">
        <v>308</v>
      </c>
      <c r="G307" s="1" t="s">
        <v>35</v>
      </c>
      <c r="H307" s="25"/>
      <c r="I307" s="25"/>
      <c r="J307" s="25"/>
      <c r="K307" s="25">
        <f t="shared" si="2"/>
        <v>6</v>
      </c>
      <c r="L307" s="25" t="str">
        <f t="shared" si="8"/>
        <v>العبدالكريم</v>
      </c>
      <c r="M307" s="25" t="str">
        <f t="shared" si="3"/>
        <v>عبدالكريم بن عثمان بن دخيل عثمان</v>
      </c>
      <c r="N307" s="25" t="str">
        <f t="shared" si="4"/>
        <v>عبدالكريم bin عثمان bin دخيل Al-عثمان</v>
      </c>
      <c r="O307" s="25" t="str">
        <f t="shared" si="5"/>
        <v/>
      </c>
      <c r="P307" s="25">
        <f t="shared" si="6"/>
        <v>0</v>
      </c>
      <c r="Q307" s="25"/>
      <c r="R307" s="25"/>
      <c r="S307" s="25" t="str">
        <f t="shared" si="7"/>
        <v>Living</v>
      </c>
    </row>
    <row r="308" ht="15.75" customHeight="1">
      <c r="A308" s="25" t="str">
        <f t="shared" si="1"/>
        <v>P307</v>
      </c>
      <c r="B308" s="71" t="s">
        <v>100</v>
      </c>
      <c r="C308" s="71" t="s">
        <v>272</v>
      </c>
      <c r="D308" s="71" t="s">
        <v>291</v>
      </c>
      <c r="E308" s="71" t="s">
        <v>272</v>
      </c>
      <c r="F308" s="25" t="s">
        <v>308</v>
      </c>
      <c r="G308" s="1" t="s">
        <v>35</v>
      </c>
      <c r="H308" s="25"/>
      <c r="I308" s="25"/>
      <c r="J308" s="25"/>
      <c r="K308" s="25">
        <f t="shared" si="2"/>
        <v>6</v>
      </c>
      <c r="L308" s="25" t="str">
        <f t="shared" si="8"/>
        <v>العبدالكريم</v>
      </c>
      <c r="M308" s="25" t="str">
        <f t="shared" si="3"/>
        <v>محمد بن عثمان بن دخيل عثمان</v>
      </c>
      <c r="N308" s="25" t="str">
        <f t="shared" si="4"/>
        <v>محمد bin عثمان bin دخيل Al-عثمان</v>
      </c>
      <c r="O308" s="25" t="str">
        <f t="shared" si="5"/>
        <v/>
      </c>
      <c r="P308" s="25">
        <f t="shared" si="6"/>
        <v>0</v>
      </c>
      <c r="Q308" s="25"/>
      <c r="R308" s="25"/>
      <c r="S308" s="25" t="str">
        <f t="shared" si="7"/>
        <v>Living</v>
      </c>
    </row>
    <row r="309" ht="15.75" customHeight="1">
      <c r="A309" s="25" t="str">
        <f t="shared" si="1"/>
        <v>P308</v>
      </c>
      <c r="B309" s="71" t="s">
        <v>100</v>
      </c>
      <c r="C309" s="71" t="s">
        <v>105</v>
      </c>
      <c r="D309" s="71" t="s">
        <v>272</v>
      </c>
      <c r="E309" s="71" t="s">
        <v>291</v>
      </c>
      <c r="F309" s="25" t="s">
        <v>309</v>
      </c>
      <c r="G309" s="1" t="s">
        <v>35</v>
      </c>
      <c r="H309" s="25"/>
      <c r="I309" s="25"/>
      <c r="J309" s="25"/>
      <c r="K309" s="25">
        <f t="shared" si="2"/>
        <v>7</v>
      </c>
      <c r="L309" s="25" t="str">
        <f t="shared" si="8"/>
        <v>العبدالكريم</v>
      </c>
      <c r="M309" s="25" t="str">
        <f t="shared" si="3"/>
        <v>محمد بن عبدالرحمن بن عثمان دخيل</v>
      </c>
      <c r="N309" s="25" t="str">
        <f t="shared" si="4"/>
        <v>محمد bin عبدالرحمن bin عثمان Al-دخيل</v>
      </c>
      <c r="O309" s="25" t="str">
        <f t="shared" si="5"/>
        <v/>
      </c>
      <c r="P309" s="25">
        <f t="shared" si="6"/>
        <v>0</v>
      </c>
      <c r="Q309" s="25"/>
      <c r="R309" s="25"/>
      <c r="S309" s="25" t="str">
        <f t="shared" si="7"/>
        <v>Living</v>
      </c>
    </row>
    <row r="310" ht="15.75" customHeight="1">
      <c r="A310" s="25" t="str">
        <f t="shared" si="1"/>
        <v>P309</v>
      </c>
      <c r="B310" s="71" t="s">
        <v>108</v>
      </c>
      <c r="C310" s="71" t="s">
        <v>105</v>
      </c>
      <c r="D310" s="71" t="s">
        <v>272</v>
      </c>
      <c r="E310" s="71" t="s">
        <v>291</v>
      </c>
      <c r="F310" s="25" t="s">
        <v>309</v>
      </c>
      <c r="G310" s="1" t="s">
        <v>35</v>
      </c>
      <c r="H310" s="25"/>
      <c r="I310" s="25"/>
      <c r="J310" s="25"/>
      <c r="K310" s="25">
        <f t="shared" si="2"/>
        <v>7</v>
      </c>
      <c r="L310" s="25" t="str">
        <f t="shared" si="8"/>
        <v>العبدالكريم</v>
      </c>
      <c r="M310" s="25" t="str">
        <f t="shared" si="3"/>
        <v>عبدالعزيز بن عبدالرحمن بن عثمان دخيل</v>
      </c>
      <c r="N310" s="25" t="str">
        <f t="shared" si="4"/>
        <v>عبدالعزيز bin عبدالرحمن bin عثمان Al-دخيل</v>
      </c>
      <c r="O310" s="25" t="str">
        <f t="shared" si="5"/>
        <v/>
      </c>
      <c r="P310" s="25">
        <f t="shared" si="6"/>
        <v>0</v>
      </c>
      <c r="Q310" s="25"/>
      <c r="R310" s="25"/>
      <c r="S310" s="25" t="str">
        <f t="shared" si="7"/>
        <v>Living</v>
      </c>
    </row>
    <row r="311" ht="15.75" customHeight="1">
      <c r="A311" s="25" t="str">
        <f t="shared" si="1"/>
        <v>P310</v>
      </c>
      <c r="B311" s="71" t="s">
        <v>119</v>
      </c>
      <c r="C311" s="71" t="s">
        <v>105</v>
      </c>
      <c r="D311" s="71" t="s">
        <v>272</v>
      </c>
      <c r="E311" s="71" t="s">
        <v>291</v>
      </c>
      <c r="F311" s="25" t="s">
        <v>309</v>
      </c>
      <c r="G311" s="1" t="s">
        <v>35</v>
      </c>
      <c r="H311" s="25"/>
      <c r="I311" s="25"/>
      <c r="J311" s="25"/>
      <c r="K311" s="25">
        <f t="shared" si="2"/>
        <v>7</v>
      </c>
      <c r="L311" s="25" t="str">
        <f t="shared" si="8"/>
        <v>العبدالكريم</v>
      </c>
      <c r="M311" s="25" t="str">
        <f t="shared" si="3"/>
        <v>عبدالله بن عبدالرحمن بن عثمان دخيل</v>
      </c>
      <c r="N311" s="25" t="str">
        <f t="shared" si="4"/>
        <v>عبدالله bin عبدالرحمن bin عثمان Al-دخيل</v>
      </c>
      <c r="O311" s="25" t="str">
        <f t="shared" si="5"/>
        <v/>
      </c>
      <c r="P311" s="25">
        <f t="shared" si="6"/>
        <v>0</v>
      </c>
      <c r="Q311" s="25"/>
      <c r="R311" s="25"/>
      <c r="S311" s="25" t="str">
        <f t="shared" si="7"/>
        <v>Living</v>
      </c>
    </row>
    <row r="312" ht="15.75" customHeight="1">
      <c r="A312" s="25" t="str">
        <f t="shared" si="1"/>
        <v>P311</v>
      </c>
      <c r="B312" s="71" t="s">
        <v>310</v>
      </c>
      <c r="C312" s="71" t="s">
        <v>105</v>
      </c>
      <c r="D312" s="71" t="s">
        <v>272</v>
      </c>
      <c r="E312" s="71" t="s">
        <v>291</v>
      </c>
      <c r="F312" s="25" t="s">
        <v>309</v>
      </c>
      <c r="G312" s="1" t="s">
        <v>35</v>
      </c>
      <c r="H312" s="25"/>
      <c r="I312" s="25"/>
      <c r="J312" s="25"/>
      <c r="K312" s="25">
        <f t="shared" si="2"/>
        <v>7</v>
      </c>
      <c r="L312" s="25" t="str">
        <f t="shared" si="8"/>
        <v>العبدالكريم</v>
      </c>
      <c r="M312" s="25" t="str">
        <f t="shared" si="3"/>
        <v>سليمان بن عبدالرحمن بن عثمان دخيل</v>
      </c>
      <c r="N312" s="25" t="str">
        <f t="shared" si="4"/>
        <v>سليمان bin عبدالرحمن bin عثمان Al-دخيل</v>
      </c>
      <c r="O312" s="25" t="str">
        <f t="shared" si="5"/>
        <v/>
      </c>
      <c r="P312" s="25">
        <f t="shared" si="6"/>
        <v>0</v>
      </c>
      <c r="Q312" s="25"/>
      <c r="R312" s="25"/>
      <c r="S312" s="25" t="str">
        <f t="shared" si="7"/>
        <v>Living</v>
      </c>
    </row>
    <row r="313" ht="15.75" customHeight="1">
      <c r="A313" s="25" t="str">
        <f t="shared" si="1"/>
        <v>P312</v>
      </c>
      <c r="B313" s="71" t="s">
        <v>272</v>
      </c>
      <c r="C313" s="71" t="s">
        <v>105</v>
      </c>
      <c r="D313" s="71" t="s">
        <v>272</v>
      </c>
      <c r="E313" s="71" t="s">
        <v>291</v>
      </c>
      <c r="F313" s="25" t="s">
        <v>309</v>
      </c>
      <c r="G313" s="1" t="s">
        <v>35</v>
      </c>
      <c r="H313" s="25"/>
      <c r="I313" s="25"/>
      <c r="J313" s="25"/>
      <c r="K313" s="25">
        <f t="shared" si="2"/>
        <v>7</v>
      </c>
      <c r="L313" s="25" t="str">
        <f t="shared" si="8"/>
        <v>العبدالكريم</v>
      </c>
      <c r="M313" s="25" t="str">
        <f t="shared" si="3"/>
        <v>عثمان بن عبدالرحمن بن عثمان دخيل</v>
      </c>
      <c r="N313" s="25" t="str">
        <f t="shared" si="4"/>
        <v>عثمان bin عبدالرحمن bin عثمان Al-دخيل</v>
      </c>
      <c r="O313" s="25" t="str">
        <f t="shared" si="5"/>
        <v/>
      </c>
      <c r="P313" s="25">
        <f t="shared" si="6"/>
        <v>0</v>
      </c>
      <c r="Q313" s="25"/>
      <c r="R313" s="25"/>
      <c r="S313" s="25" t="str">
        <f t="shared" si="7"/>
        <v>Living</v>
      </c>
    </row>
    <row r="314" ht="15.75" customHeight="1">
      <c r="A314" s="25" t="str">
        <f t="shared" si="1"/>
        <v>P313</v>
      </c>
      <c r="B314" s="71" t="s">
        <v>115</v>
      </c>
      <c r="C314" s="71" t="s">
        <v>105</v>
      </c>
      <c r="D314" s="71" t="s">
        <v>272</v>
      </c>
      <c r="E314" s="71" t="s">
        <v>291</v>
      </c>
      <c r="F314" s="25" t="s">
        <v>309</v>
      </c>
      <c r="G314" s="1" t="s">
        <v>35</v>
      </c>
      <c r="H314" s="25"/>
      <c r="I314" s="25"/>
      <c r="J314" s="25"/>
      <c r="K314" s="25">
        <f t="shared" si="2"/>
        <v>7</v>
      </c>
      <c r="L314" s="25" t="str">
        <f t="shared" si="8"/>
        <v>العبدالكريم</v>
      </c>
      <c r="M314" s="25" t="str">
        <f t="shared" si="3"/>
        <v>وليد بن عبدالرحمن بن عثمان دخيل</v>
      </c>
      <c r="N314" s="25" t="str">
        <f t="shared" si="4"/>
        <v>وليد bin عبدالرحمن bin عثمان Al-دخيل</v>
      </c>
      <c r="O314" s="25" t="str">
        <f t="shared" si="5"/>
        <v/>
      </c>
      <c r="P314" s="25">
        <f t="shared" si="6"/>
        <v>0</v>
      </c>
      <c r="Q314" s="25"/>
      <c r="R314" s="25"/>
      <c r="S314" s="25" t="str">
        <f t="shared" si="7"/>
        <v>Living</v>
      </c>
    </row>
    <row r="315" ht="15.75" customHeight="1">
      <c r="A315" s="25" t="str">
        <f t="shared" si="1"/>
        <v>P314</v>
      </c>
      <c r="B315" s="71" t="s">
        <v>111</v>
      </c>
      <c r="C315" s="71" t="s">
        <v>291</v>
      </c>
      <c r="D315" s="71" t="s">
        <v>272</v>
      </c>
      <c r="E315" s="71" t="s">
        <v>291</v>
      </c>
      <c r="F315" s="25" t="s">
        <v>311</v>
      </c>
      <c r="G315" s="1" t="s">
        <v>35</v>
      </c>
      <c r="H315" s="25"/>
      <c r="I315" s="25"/>
      <c r="J315" s="25"/>
      <c r="K315" s="25">
        <f t="shared" si="2"/>
        <v>7</v>
      </c>
      <c r="L315" s="25" t="str">
        <f t="shared" si="8"/>
        <v>العبدالكريم</v>
      </c>
      <c r="M315" s="25" t="str">
        <f t="shared" si="3"/>
        <v>فهد بن دخيل بن عثمان دخيل</v>
      </c>
      <c r="N315" s="25" t="str">
        <f t="shared" si="4"/>
        <v>فهد bin دخيل bin عثمان Al-دخيل</v>
      </c>
      <c r="O315" s="25" t="str">
        <f t="shared" si="5"/>
        <v/>
      </c>
      <c r="P315" s="25">
        <f t="shared" si="6"/>
        <v>0</v>
      </c>
      <c r="Q315" s="25"/>
      <c r="R315" s="25"/>
      <c r="S315" s="25" t="str">
        <f t="shared" si="7"/>
        <v>Living</v>
      </c>
    </row>
    <row r="316" ht="15.75" customHeight="1">
      <c r="A316" s="25" t="str">
        <f t="shared" si="1"/>
        <v>P315</v>
      </c>
      <c r="B316" s="71" t="s">
        <v>272</v>
      </c>
      <c r="C316" s="71" t="s">
        <v>291</v>
      </c>
      <c r="D316" s="71" t="s">
        <v>272</v>
      </c>
      <c r="E316" s="71" t="s">
        <v>291</v>
      </c>
      <c r="F316" s="25" t="s">
        <v>311</v>
      </c>
      <c r="G316" s="1" t="s">
        <v>35</v>
      </c>
      <c r="H316" s="25"/>
      <c r="I316" s="25"/>
      <c r="J316" s="25"/>
      <c r="K316" s="25">
        <f t="shared" si="2"/>
        <v>7</v>
      </c>
      <c r="L316" s="25" t="str">
        <f t="shared" si="8"/>
        <v>العبدالكريم</v>
      </c>
      <c r="M316" s="25" t="str">
        <f t="shared" si="3"/>
        <v>عثمان بن دخيل بن عثمان دخيل</v>
      </c>
      <c r="N316" s="25" t="str">
        <f t="shared" si="4"/>
        <v>عثمان bin دخيل bin عثمان Al-دخيل</v>
      </c>
      <c r="O316" s="25" t="str">
        <f t="shared" si="5"/>
        <v/>
      </c>
      <c r="P316" s="25">
        <f t="shared" si="6"/>
        <v>0</v>
      </c>
      <c r="Q316" s="25"/>
      <c r="R316" s="25"/>
      <c r="S316" s="25" t="str">
        <f t="shared" si="7"/>
        <v>Living</v>
      </c>
    </row>
    <row r="317" ht="15.75" customHeight="1">
      <c r="A317" s="25" t="str">
        <f t="shared" si="1"/>
        <v>P316</v>
      </c>
      <c r="B317" s="71" t="s">
        <v>272</v>
      </c>
      <c r="C317" s="71" t="s">
        <v>96</v>
      </c>
      <c r="D317" s="71" t="s">
        <v>272</v>
      </c>
      <c r="E317" s="71" t="s">
        <v>291</v>
      </c>
      <c r="F317" s="25" t="s">
        <v>312</v>
      </c>
      <c r="G317" s="1" t="s">
        <v>35</v>
      </c>
      <c r="H317" s="25"/>
      <c r="I317" s="25"/>
      <c r="J317" s="25"/>
      <c r="K317" s="25">
        <f t="shared" si="2"/>
        <v>7</v>
      </c>
      <c r="L317" s="25" t="str">
        <f t="shared" si="8"/>
        <v>العبدالكريم</v>
      </c>
      <c r="M317" s="25" t="str">
        <f t="shared" si="3"/>
        <v>عثمان بن عبدالكريم بن عثمان دخيل</v>
      </c>
      <c r="N317" s="25" t="str">
        <f t="shared" si="4"/>
        <v>عثمان bin عبدالكريم bin عثمان Al-دخيل</v>
      </c>
      <c r="O317" s="25" t="str">
        <f t="shared" si="5"/>
        <v/>
      </c>
      <c r="P317" s="25">
        <f t="shared" si="6"/>
        <v>0</v>
      </c>
      <c r="Q317" s="25"/>
      <c r="R317" s="25"/>
      <c r="S317" s="25" t="str">
        <f t="shared" si="7"/>
        <v>Living</v>
      </c>
    </row>
    <row r="318" ht="15.75" customHeight="1">
      <c r="A318" s="25" t="str">
        <f t="shared" si="1"/>
        <v>P317</v>
      </c>
      <c r="B318" s="71" t="s">
        <v>141</v>
      </c>
      <c r="C318" s="71" t="s">
        <v>96</v>
      </c>
      <c r="D318" s="71" t="s">
        <v>272</v>
      </c>
      <c r="E318" s="71" t="s">
        <v>291</v>
      </c>
      <c r="F318" s="25" t="s">
        <v>312</v>
      </c>
      <c r="G318" s="1" t="s">
        <v>35</v>
      </c>
      <c r="H318" s="25"/>
      <c r="I318" s="25"/>
      <c r="J318" s="25"/>
      <c r="K318" s="25">
        <f t="shared" si="2"/>
        <v>7</v>
      </c>
      <c r="L318" s="25" t="str">
        <f t="shared" si="8"/>
        <v>العبدالكريم</v>
      </c>
      <c r="M318" s="25" t="str">
        <f t="shared" si="3"/>
        <v>معاذ بن عبدالكريم بن عثمان دخيل</v>
      </c>
      <c r="N318" s="25" t="str">
        <f t="shared" si="4"/>
        <v>معاذ bin عبدالكريم bin عثمان Al-دخيل</v>
      </c>
      <c r="O318" s="25" t="str">
        <f t="shared" si="5"/>
        <v/>
      </c>
      <c r="P318" s="25">
        <f t="shared" si="6"/>
        <v>0</v>
      </c>
      <c r="Q318" s="25"/>
      <c r="R318" s="25"/>
      <c r="S318" s="25" t="str">
        <f t="shared" si="7"/>
        <v>Living</v>
      </c>
    </row>
    <row r="319" ht="15.75" customHeight="1">
      <c r="A319" s="25" t="str">
        <f t="shared" si="1"/>
        <v>P318</v>
      </c>
      <c r="B319" s="71" t="s">
        <v>31</v>
      </c>
      <c r="C319" s="81" t="s">
        <v>96</v>
      </c>
      <c r="D319" s="81" t="s">
        <v>31</v>
      </c>
      <c r="E319" s="25"/>
      <c r="F319" s="1" t="s">
        <v>270</v>
      </c>
      <c r="G319" s="1" t="s">
        <v>35</v>
      </c>
      <c r="H319" s="25"/>
      <c r="I319" s="25"/>
      <c r="J319" s="25"/>
      <c r="K319" s="25">
        <f t="shared" si="2"/>
        <v>3</v>
      </c>
      <c r="L319" s="25" t="str">
        <f t="shared" si="8"/>
        <v>العبدالكريم</v>
      </c>
      <c r="M319" s="25" t="str">
        <f t="shared" si="3"/>
        <v>حمد بن عبدالكريم بن حمد </v>
      </c>
      <c r="N319" s="25" t="str">
        <f t="shared" si="4"/>
        <v>حمد bin عبدالكريم bin حمد Al-</v>
      </c>
      <c r="O319" s="25" t="str">
        <f t="shared" si="5"/>
        <v/>
      </c>
      <c r="P319" s="25">
        <f t="shared" si="6"/>
        <v>0</v>
      </c>
      <c r="Q319" s="25"/>
      <c r="R319" s="25"/>
      <c r="S319" s="25" t="str">
        <f t="shared" si="7"/>
        <v>Living</v>
      </c>
    </row>
    <row r="320" ht="15.75" customHeight="1">
      <c r="A320" s="25" t="str">
        <f t="shared" si="1"/>
        <v>P319</v>
      </c>
      <c r="B320" s="71" t="s">
        <v>96</v>
      </c>
      <c r="C320" s="71" t="s">
        <v>31</v>
      </c>
      <c r="D320" s="81" t="s">
        <v>96</v>
      </c>
      <c r="E320" s="81" t="s">
        <v>31</v>
      </c>
      <c r="F320" s="25" t="s">
        <v>313</v>
      </c>
      <c r="G320" s="1" t="s">
        <v>35</v>
      </c>
      <c r="H320" s="25"/>
      <c r="I320" s="25"/>
      <c r="J320" s="25"/>
      <c r="K320" s="25">
        <f t="shared" si="2"/>
        <v>4</v>
      </c>
      <c r="L320" s="25" t="str">
        <f t="shared" si="8"/>
        <v>العبدالكريم</v>
      </c>
      <c r="M320" s="25" t="str">
        <f t="shared" si="3"/>
        <v>عبدالكريم بن حمد بن عبدالكريم حمد</v>
      </c>
      <c r="N320" s="25" t="str">
        <f t="shared" si="4"/>
        <v>عبدالكريم bin حمد bin عبدالكريم Al-حمد</v>
      </c>
      <c r="O320" s="25" t="str">
        <f t="shared" si="5"/>
        <v/>
      </c>
      <c r="P320" s="25">
        <f t="shared" si="6"/>
        <v>0</v>
      </c>
      <c r="Q320" s="25"/>
      <c r="R320" s="25"/>
      <c r="S320" s="25" t="str">
        <f t="shared" si="7"/>
        <v>Living</v>
      </c>
    </row>
    <row r="321" ht="15.75" customHeight="1">
      <c r="A321" s="25" t="str">
        <f t="shared" si="1"/>
        <v>P320</v>
      </c>
      <c r="B321" s="71" t="s">
        <v>108</v>
      </c>
      <c r="C321" s="71" t="s">
        <v>31</v>
      </c>
      <c r="D321" s="81" t="s">
        <v>96</v>
      </c>
      <c r="E321" s="81" t="s">
        <v>31</v>
      </c>
      <c r="F321" s="25" t="s">
        <v>313</v>
      </c>
      <c r="G321" s="1" t="s">
        <v>35</v>
      </c>
      <c r="H321" s="25"/>
      <c r="I321" s="25"/>
      <c r="J321" s="25"/>
      <c r="K321" s="25">
        <f t="shared" si="2"/>
        <v>4</v>
      </c>
      <c r="L321" s="25" t="str">
        <f t="shared" si="8"/>
        <v>العبدالكريم</v>
      </c>
      <c r="M321" s="25" t="str">
        <f t="shared" si="3"/>
        <v>عبدالعزيز بن حمد بن عبدالكريم حمد</v>
      </c>
      <c r="N321" s="25" t="str">
        <f t="shared" si="4"/>
        <v>عبدالعزيز bin حمد bin عبدالكريم Al-حمد</v>
      </c>
      <c r="O321" s="25" t="str">
        <f t="shared" si="5"/>
        <v/>
      </c>
      <c r="P321" s="25">
        <f t="shared" si="6"/>
        <v>0</v>
      </c>
      <c r="Q321" s="25"/>
      <c r="R321" s="25"/>
      <c r="S321" s="25" t="str">
        <f t="shared" si="7"/>
        <v>Living</v>
      </c>
    </row>
    <row r="322" ht="15.75" customHeight="1">
      <c r="A322" s="25" t="str">
        <f t="shared" si="1"/>
        <v>P321</v>
      </c>
      <c r="B322" s="71" t="s">
        <v>314</v>
      </c>
      <c r="C322" s="71" t="s">
        <v>31</v>
      </c>
      <c r="D322" s="81" t="s">
        <v>96</v>
      </c>
      <c r="E322" s="81" t="s">
        <v>31</v>
      </c>
      <c r="F322" s="25" t="s">
        <v>313</v>
      </c>
      <c r="G322" s="1" t="s">
        <v>35</v>
      </c>
      <c r="H322" s="25"/>
      <c r="I322" s="25"/>
      <c r="J322" s="25"/>
      <c r="K322" s="25">
        <f t="shared" si="2"/>
        <v>4</v>
      </c>
      <c r="L322" s="25" t="str">
        <f t="shared" si="8"/>
        <v>العبدالكريم</v>
      </c>
      <c r="M322" s="25" t="str">
        <f t="shared" si="3"/>
        <v>محمد (ابو حمد ) بن حمد بن عبدالكريم حمد</v>
      </c>
      <c r="N322" s="25" t="str">
        <f t="shared" si="4"/>
        <v>محمد (ابو حمد ) bin حمد bin عبدالكريم Al-حمد</v>
      </c>
      <c r="O322" s="25" t="str">
        <f t="shared" si="5"/>
        <v/>
      </c>
      <c r="P322" s="25">
        <f t="shared" si="6"/>
        <v>0</v>
      </c>
      <c r="Q322" s="25"/>
      <c r="R322" s="25"/>
      <c r="S322" s="25" t="str">
        <f t="shared" si="7"/>
        <v>Living</v>
      </c>
    </row>
    <row r="323" ht="15.75" customHeight="1">
      <c r="A323" s="25" t="str">
        <f t="shared" si="1"/>
        <v>P322</v>
      </c>
      <c r="B323" s="71" t="s">
        <v>100</v>
      </c>
      <c r="C323" s="71" t="s">
        <v>96</v>
      </c>
      <c r="D323" s="71" t="s">
        <v>31</v>
      </c>
      <c r="E323" s="81" t="s">
        <v>96</v>
      </c>
      <c r="F323" s="25" t="s">
        <v>315</v>
      </c>
      <c r="G323" s="1" t="s">
        <v>35</v>
      </c>
      <c r="H323" s="25"/>
      <c r="I323" s="25"/>
      <c r="J323" s="25"/>
      <c r="K323" s="25">
        <f t="shared" si="2"/>
        <v>5</v>
      </c>
      <c r="L323" s="25" t="str">
        <f t="shared" si="8"/>
        <v>العبدالكريم</v>
      </c>
      <c r="M323" s="25" t="str">
        <f t="shared" si="3"/>
        <v>محمد بن عبدالكريم بن حمد عبدالكريم</v>
      </c>
      <c r="N323" s="25" t="str">
        <f t="shared" si="4"/>
        <v>محمد bin عبدالكريم bin حمد Al-عبدالكريم</v>
      </c>
      <c r="O323" s="25" t="str">
        <f t="shared" si="5"/>
        <v/>
      </c>
      <c r="P323" s="25">
        <f t="shared" si="6"/>
        <v>0</v>
      </c>
      <c r="Q323" s="25"/>
      <c r="R323" s="25"/>
      <c r="S323" s="25" t="str">
        <f t="shared" si="7"/>
        <v>Living</v>
      </c>
    </row>
    <row r="324" ht="15.75" customHeight="1">
      <c r="A324" s="25" t="str">
        <f t="shared" si="1"/>
        <v>P323</v>
      </c>
      <c r="B324" s="71" t="s">
        <v>119</v>
      </c>
      <c r="C324" s="71" t="s">
        <v>96</v>
      </c>
      <c r="D324" s="71" t="s">
        <v>31</v>
      </c>
      <c r="E324" s="81" t="s">
        <v>96</v>
      </c>
      <c r="F324" s="25" t="s">
        <v>315</v>
      </c>
      <c r="G324" s="1" t="s">
        <v>35</v>
      </c>
      <c r="H324" s="25"/>
      <c r="I324" s="25"/>
      <c r="J324" s="25"/>
      <c r="K324" s="25">
        <f t="shared" si="2"/>
        <v>5</v>
      </c>
      <c r="L324" s="25" t="str">
        <f t="shared" si="8"/>
        <v>العبدالكريم</v>
      </c>
      <c r="M324" s="25" t="str">
        <f t="shared" si="3"/>
        <v>عبدالله بن عبدالكريم بن حمد عبدالكريم</v>
      </c>
      <c r="N324" s="25" t="str">
        <f t="shared" si="4"/>
        <v>عبدالله bin عبدالكريم bin حمد Al-عبدالكريم</v>
      </c>
      <c r="O324" s="25" t="str">
        <f t="shared" si="5"/>
        <v/>
      </c>
      <c r="P324" s="25">
        <f t="shared" si="6"/>
        <v>0</v>
      </c>
      <c r="Q324" s="25"/>
      <c r="R324" s="25"/>
      <c r="S324" s="25" t="str">
        <f t="shared" si="7"/>
        <v>Living</v>
      </c>
    </row>
    <row r="325" ht="15.75" customHeight="1">
      <c r="A325" s="25" t="str">
        <f t="shared" si="1"/>
        <v>P324</v>
      </c>
      <c r="B325" s="71" t="s">
        <v>27</v>
      </c>
      <c r="C325" s="71" t="s">
        <v>96</v>
      </c>
      <c r="D325" s="71" t="s">
        <v>31</v>
      </c>
      <c r="E325" s="81" t="s">
        <v>96</v>
      </c>
      <c r="F325" s="25" t="s">
        <v>315</v>
      </c>
      <c r="G325" s="1" t="s">
        <v>35</v>
      </c>
      <c r="H325" s="25"/>
      <c r="I325" s="25"/>
      <c r="J325" s="25"/>
      <c r="K325" s="25">
        <f t="shared" si="2"/>
        <v>5</v>
      </c>
      <c r="L325" s="25" t="str">
        <f t="shared" si="8"/>
        <v>العبدالكريم</v>
      </c>
      <c r="M325" s="25" t="str">
        <f t="shared" si="3"/>
        <v>ابراهيم بن عبدالكريم بن حمد عبدالكريم</v>
      </c>
      <c r="N325" s="25" t="str">
        <f t="shared" si="4"/>
        <v>ابراهيم bin عبدالكريم bin حمد Al-عبدالكريم</v>
      </c>
      <c r="O325" s="25" t="str">
        <f t="shared" si="5"/>
        <v/>
      </c>
      <c r="P325" s="25">
        <f t="shared" si="6"/>
        <v>0</v>
      </c>
      <c r="Q325" s="25"/>
      <c r="R325" s="25"/>
      <c r="S325" s="25" t="str">
        <f t="shared" si="7"/>
        <v>Living</v>
      </c>
    </row>
    <row r="326" ht="15.75" customHeight="1">
      <c r="A326" s="25" t="str">
        <f t="shared" si="1"/>
        <v>P325</v>
      </c>
      <c r="B326" s="71" t="s">
        <v>105</v>
      </c>
      <c r="C326" s="71" t="s">
        <v>96</v>
      </c>
      <c r="D326" s="71" t="s">
        <v>31</v>
      </c>
      <c r="E326" s="81" t="s">
        <v>96</v>
      </c>
      <c r="F326" s="25" t="s">
        <v>315</v>
      </c>
      <c r="G326" s="1" t="s">
        <v>35</v>
      </c>
      <c r="H326" s="25"/>
      <c r="I326" s="25"/>
      <c r="J326" s="25"/>
      <c r="K326" s="25">
        <f t="shared" si="2"/>
        <v>5</v>
      </c>
      <c r="L326" s="25" t="str">
        <f t="shared" si="8"/>
        <v>العبدالكريم</v>
      </c>
      <c r="M326" s="25" t="str">
        <f t="shared" si="3"/>
        <v>عبدالرحمن بن عبدالكريم بن حمد عبدالكريم</v>
      </c>
      <c r="N326" s="25" t="str">
        <f t="shared" si="4"/>
        <v>عبدالرحمن bin عبدالكريم bin حمد Al-عبدالكريم</v>
      </c>
      <c r="O326" s="25" t="str">
        <f t="shared" si="5"/>
        <v/>
      </c>
      <c r="P326" s="25">
        <f t="shared" si="6"/>
        <v>0</v>
      </c>
      <c r="Q326" s="25"/>
      <c r="R326" s="25"/>
      <c r="S326" s="25" t="str">
        <f t="shared" si="7"/>
        <v>Living</v>
      </c>
    </row>
    <row r="327" ht="15.75" customHeight="1">
      <c r="A327" s="25" t="str">
        <f t="shared" si="1"/>
        <v>P326</v>
      </c>
      <c r="B327" s="71" t="s">
        <v>108</v>
      </c>
      <c r="C327" s="71" t="s">
        <v>96</v>
      </c>
      <c r="D327" s="71" t="s">
        <v>31</v>
      </c>
      <c r="E327" s="81" t="s">
        <v>96</v>
      </c>
      <c r="F327" s="25" t="s">
        <v>315</v>
      </c>
      <c r="G327" s="1" t="s">
        <v>35</v>
      </c>
      <c r="H327" s="25"/>
      <c r="I327" s="25"/>
      <c r="J327" s="25"/>
      <c r="K327" s="25">
        <f t="shared" si="2"/>
        <v>5</v>
      </c>
      <c r="L327" s="25" t="str">
        <f t="shared" si="8"/>
        <v>العبدالكريم</v>
      </c>
      <c r="M327" s="25" t="str">
        <f t="shared" si="3"/>
        <v>عبدالعزيز بن عبدالكريم بن حمد عبدالكريم</v>
      </c>
      <c r="N327" s="25" t="str">
        <f t="shared" si="4"/>
        <v>عبدالعزيز bin عبدالكريم bin حمد Al-عبدالكريم</v>
      </c>
      <c r="O327" s="25" t="str">
        <f t="shared" si="5"/>
        <v/>
      </c>
      <c r="P327" s="25">
        <f t="shared" si="6"/>
        <v>0</v>
      </c>
      <c r="Q327" s="25"/>
      <c r="R327" s="25"/>
      <c r="S327" s="25" t="str">
        <f t="shared" si="7"/>
        <v>Living</v>
      </c>
    </row>
    <row r="328" ht="15.75" customHeight="1">
      <c r="A328" s="25" t="str">
        <f t="shared" si="1"/>
        <v>P327</v>
      </c>
      <c r="B328" s="71" t="s">
        <v>31</v>
      </c>
      <c r="C328" s="71" t="s">
        <v>100</v>
      </c>
      <c r="D328" s="71" t="s">
        <v>96</v>
      </c>
      <c r="E328" s="71" t="s">
        <v>31</v>
      </c>
      <c r="F328" s="25" t="s">
        <v>316</v>
      </c>
      <c r="G328" s="1" t="s">
        <v>35</v>
      </c>
      <c r="H328" s="25"/>
      <c r="I328" s="25"/>
      <c r="J328" s="25"/>
      <c r="K328" s="25">
        <f t="shared" si="2"/>
        <v>6</v>
      </c>
      <c r="L328" s="25" t="str">
        <f t="shared" si="8"/>
        <v>العبدالكريم</v>
      </c>
      <c r="M328" s="25" t="str">
        <f t="shared" si="3"/>
        <v>حمد بن محمد بن عبدالكريم حمد</v>
      </c>
      <c r="N328" s="25" t="str">
        <f t="shared" si="4"/>
        <v>حمد bin محمد bin عبدالكريم Al-حمد</v>
      </c>
      <c r="O328" s="25" t="str">
        <f t="shared" si="5"/>
        <v/>
      </c>
      <c r="P328" s="25">
        <f t="shared" si="6"/>
        <v>0</v>
      </c>
      <c r="Q328" s="25"/>
      <c r="R328" s="25"/>
      <c r="S328" s="25" t="str">
        <f t="shared" si="7"/>
        <v>Living</v>
      </c>
    </row>
    <row r="329" ht="15.75" customHeight="1">
      <c r="A329" s="25" t="str">
        <f t="shared" si="1"/>
        <v>P328</v>
      </c>
      <c r="B329" s="71" t="s">
        <v>96</v>
      </c>
      <c r="C329" s="71" t="s">
        <v>100</v>
      </c>
      <c r="D329" s="71" t="s">
        <v>96</v>
      </c>
      <c r="E329" s="71" t="s">
        <v>31</v>
      </c>
      <c r="F329" s="25" t="s">
        <v>316</v>
      </c>
      <c r="G329" s="1" t="s">
        <v>35</v>
      </c>
      <c r="H329" s="25"/>
      <c r="I329" s="25"/>
      <c r="J329" s="25"/>
      <c r="K329" s="25">
        <f t="shared" si="2"/>
        <v>6</v>
      </c>
      <c r="L329" s="25" t="str">
        <f t="shared" si="8"/>
        <v>العبدالكريم</v>
      </c>
      <c r="M329" s="25" t="str">
        <f t="shared" si="3"/>
        <v>عبدالكريم بن محمد بن عبدالكريم حمد</v>
      </c>
      <c r="N329" s="25" t="str">
        <f t="shared" si="4"/>
        <v>عبدالكريم bin محمد bin عبدالكريم Al-حمد</v>
      </c>
      <c r="O329" s="25" t="str">
        <f t="shared" si="5"/>
        <v/>
      </c>
      <c r="P329" s="25">
        <f t="shared" si="6"/>
        <v>0</v>
      </c>
      <c r="Q329" s="25"/>
      <c r="R329" s="25"/>
      <c r="S329" s="25" t="str">
        <f t="shared" si="7"/>
        <v>Living</v>
      </c>
    </row>
    <row r="330" ht="15.75" customHeight="1">
      <c r="A330" s="25" t="str">
        <f t="shared" si="1"/>
        <v>P329</v>
      </c>
      <c r="B330" s="71" t="s">
        <v>100</v>
      </c>
      <c r="C330" s="71" t="s">
        <v>100</v>
      </c>
      <c r="D330" s="71" t="s">
        <v>96</v>
      </c>
      <c r="E330" s="71" t="s">
        <v>31</v>
      </c>
      <c r="F330" s="25" t="s">
        <v>316</v>
      </c>
      <c r="G330" s="1" t="s">
        <v>35</v>
      </c>
      <c r="H330" s="25"/>
      <c r="I330" s="25"/>
      <c r="J330" s="25"/>
      <c r="K330" s="25">
        <f t="shared" si="2"/>
        <v>6</v>
      </c>
      <c r="L330" s="25" t="str">
        <f t="shared" si="8"/>
        <v>العبدالكريم</v>
      </c>
      <c r="M330" s="25" t="str">
        <f t="shared" si="3"/>
        <v>محمد بن محمد بن عبدالكريم حمد</v>
      </c>
      <c r="N330" s="25" t="str">
        <f t="shared" si="4"/>
        <v>محمد bin محمد bin عبدالكريم Al-حمد</v>
      </c>
      <c r="O330" s="25" t="str">
        <f t="shared" si="5"/>
        <v/>
      </c>
      <c r="P330" s="25">
        <f t="shared" si="6"/>
        <v>0</v>
      </c>
      <c r="Q330" s="25"/>
      <c r="R330" s="25"/>
      <c r="S330" s="25" t="str">
        <f t="shared" si="7"/>
        <v>Living</v>
      </c>
    </row>
    <row r="331" ht="15.75" customHeight="1">
      <c r="A331" s="25" t="str">
        <f t="shared" si="1"/>
        <v>P330</v>
      </c>
      <c r="B331" s="71" t="s">
        <v>135</v>
      </c>
      <c r="C331" s="71" t="s">
        <v>100</v>
      </c>
      <c r="D331" s="71" t="s">
        <v>96</v>
      </c>
      <c r="E331" s="71" t="s">
        <v>31</v>
      </c>
      <c r="F331" s="25" t="s">
        <v>316</v>
      </c>
      <c r="G331" s="1" t="s">
        <v>35</v>
      </c>
      <c r="H331" s="25"/>
      <c r="I331" s="25"/>
      <c r="J331" s="25"/>
      <c r="K331" s="25">
        <f t="shared" si="2"/>
        <v>6</v>
      </c>
      <c r="L331" s="25" t="str">
        <f t="shared" si="8"/>
        <v>العبدالكريم</v>
      </c>
      <c r="M331" s="25" t="str">
        <f t="shared" si="3"/>
        <v>مساعد بن محمد بن عبدالكريم حمد</v>
      </c>
      <c r="N331" s="25" t="str">
        <f t="shared" si="4"/>
        <v>مساعد bin محمد bin عبدالكريم Al-حمد</v>
      </c>
      <c r="O331" s="25" t="str">
        <f t="shared" si="5"/>
        <v/>
      </c>
      <c r="P331" s="25">
        <f t="shared" si="6"/>
        <v>0</v>
      </c>
      <c r="Q331" s="25"/>
      <c r="R331" s="25"/>
      <c r="S331" s="25" t="str">
        <f t="shared" si="7"/>
        <v>Living</v>
      </c>
    </row>
    <row r="332" ht="15.75" customHeight="1">
      <c r="A332" s="25" t="str">
        <f t="shared" si="1"/>
        <v>P331</v>
      </c>
      <c r="B332" s="71" t="s">
        <v>100</v>
      </c>
      <c r="C332" s="71" t="s">
        <v>31</v>
      </c>
      <c r="D332" s="71" t="s">
        <v>100</v>
      </c>
      <c r="E332" s="71" t="s">
        <v>96</v>
      </c>
      <c r="F332" s="25" t="s">
        <v>317</v>
      </c>
      <c r="G332" s="1" t="s">
        <v>35</v>
      </c>
      <c r="H332" s="25"/>
      <c r="I332" s="25"/>
      <c r="J332" s="25"/>
      <c r="K332" s="25">
        <f t="shared" si="2"/>
        <v>7</v>
      </c>
      <c r="L332" s="25" t="str">
        <f t="shared" si="8"/>
        <v>العبدالكريم</v>
      </c>
      <c r="M332" s="25" t="str">
        <f t="shared" si="3"/>
        <v>محمد بن حمد بن محمد عبدالكريم</v>
      </c>
      <c r="N332" s="25" t="str">
        <f t="shared" si="4"/>
        <v>محمد bin حمد bin محمد Al-عبدالكريم</v>
      </c>
      <c r="O332" s="25" t="str">
        <f t="shared" si="5"/>
        <v/>
      </c>
      <c r="P332" s="25">
        <f t="shared" si="6"/>
        <v>0</v>
      </c>
      <c r="Q332" s="25"/>
      <c r="R332" s="25"/>
      <c r="S332" s="25" t="str">
        <f t="shared" si="7"/>
        <v>Living</v>
      </c>
    </row>
    <row r="333" ht="15.75" customHeight="1">
      <c r="A333" s="25" t="str">
        <f t="shared" si="1"/>
        <v>P332</v>
      </c>
      <c r="B333" s="71" t="s">
        <v>142</v>
      </c>
      <c r="C333" s="71" t="s">
        <v>31</v>
      </c>
      <c r="D333" s="71" t="s">
        <v>100</v>
      </c>
      <c r="E333" s="71" t="s">
        <v>96</v>
      </c>
      <c r="F333" s="25" t="s">
        <v>317</v>
      </c>
      <c r="G333" s="1" t="s">
        <v>35</v>
      </c>
      <c r="H333" s="25"/>
      <c r="I333" s="25"/>
      <c r="J333" s="25"/>
      <c r="K333" s="25">
        <f t="shared" si="2"/>
        <v>7</v>
      </c>
      <c r="L333" s="25" t="str">
        <f t="shared" si="8"/>
        <v>العبدالكريم</v>
      </c>
      <c r="M333" s="25" t="str">
        <f t="shared" si="3"/>
        <v>تميم بن حمد بن محمد عبدالكريم</v>
      </c>
      <c r="N333" s="25" t="str">
        <f t="shared" si="4"/>
        <v>تميم bin حمد bin محمد Al-عبدالكريم</v>
      </c>
      <c r="O333" s="25" t="str">
        <f t="shared" si="5"/>
        <v/>
      </c>
      <c r="P333" s="25">
        <f t="shared" si="6"/>
        <v>0</v>
      </c>
      <c r="Q333" s="25"/>
      <c r="R333" s="25"/>
      <c r="S333" s="25" t="str">
        <f t="shared" si="7"/>
        <v>Living</v>
      </c>
    </row>
    <row r="334" ht="15.75" customHeight="1">
      <c r="A334" s="25" t="str">
        <f t="shared" si="1"/>
        <v>P333</v>
      </c>
      <c r="B334" s="71" t="s">
        <v>119</v>
      </c>
      <c r="C334" s="71" t="s">
        <v>31</v>
      </c>
      <c r="D334" s="71" t="s">
        <v>100</v>
      </c>
      <c r="E334" s="71" t="s">
        <v>96</v>
      </c>
      <c r="F334" s="25" t="s">
        <v>317</v>
      </c>
      <c r="G334" s="1" t="s">
        <v>35</v>
      </c>
      <c r="H334" s="25"/>
      <c r="I334" s="25"/>
      <c r="J334" s="25"/>
      <c r="K334" s="25">
        <f t="shared" si="2"/>
        <v>7</v>
      </c>
      <c r="L334" s="25" t="str">
        <f t="shared" si="8"/>
        <v>العبدالكريم</v>
      </c>
      <c r="M334" s="25" t="str">
        <f t="shared" si="3"/>
        <v>عبدالله بن حمد بن محمد عبدالكريم</v>
      </c>
      <c r="N334" s="25" t="str">
        <f t="shared" si="4"/>
        <v>عبدالله bin حمد bin محمد Al-عبدالكريم</v>
      </c>
      <c r="O334" s="25" t="str">
        <f t="shared" si="5"/>
        <v/>
      </c>
      <c r="P334" s="25">
        <f t="shared" si="6"/>
        <v>0</v>
      </c>
      <c r="Q334" s="25"/>
      <c r="R334" s="25"/>
      <c r="S334" s="25" t="str">
        <f t="shared" si="7"/>
        <v>Living</v>
      </c>
    </row>
    <row r="335" ht="15.75" customHeight="1">
      <c r="A335" s="25" t="str">
        <f t="shared" si="1"/>
        <v>P334</v>
      </c>
      <c r="B335" s="71" t="s">
        <v>111</v>
      </c>
      <c r="C335" s="71" t="s">
        <v>119</v>
      </c>
      <c r="D335" s="71" t="s">
        <v>96</v>
      </c>
      <c r="E335" s="71" t="s">
        <v>31</v>
      </c>
      <c r="F335" s="25" t="s">
        <v>318</v>
      </c>
      <c r="G335" s="1" t="s">
        <v>35</v>
      </c>
      <c r="H335" s="25"/>
      <c r="I335" s="25"/>
      <c r="J335" s="25"/>
      <c r="K335" s="25">
        <f t="shared" si="2"/>
        <v>6</v>
      </c>
      <c r="L335" s="25" t="str">
        <f t="shared" si="8"/>
        <v>العبدالكريم</v>
      </c>
      <c r="M335" s="25" t="str">
        <f t="shared" si="3"/>
        <v>فهد بن عبدالله بن عبدالكريم حمد</v>
      </c>
      <c r="N335" s="25" t="str">
        <f t="shared" si="4"/>
        <v>فهد bin عبدالله bin عبدالكريم Al-حمد</v>
      </c>
      <c r="O335" s="25" t="str">
        <f t="shared" si="5"/>
        <v/>
      </c>
      <c r="P335" s="25">
        <f t="shared" si="6"/>
        <v>0</v>
      </c>
      <c r="Q335" s="25"/>
      <c r="R335" s="25"/>
      <c r="S335" s="25" t="str">
        <f t="shared" si="7"/>
        <v>Living</v>
      </c>
    </row>
    <row r="336" ht="15.75" customHeight="1">
      <c r="A336" s="25" t="str">
        <f t="shared" si="1"/>
        <v>P335</v>
      </c>
      <c r="B336" s="71" t="s">
        <v>96</v>
      </c>
      <c r="C336" s="71" t="s">
        <v>119</v>
      </c>
      <c r="D336" s="71" t="s">
        <v>96</v>
      </c>
      <c r="E336" s="71" t="s">
        <v>31</v>
      </c>
      <c r="F336" s="25" t="s">
        <v>318</v>
      </c>
      <c r="G336" s="1" t="s">
        <v>35</v>
      </c>
      <c r="H336" s="25"/>
      <c r="I336" s="25"/>
      <c r="J336" s="25"/>
      <c r="K336" s="25">
        <f t="shared" si="2"/>
        <v>6</v>
      </c>
      <c r="L336" s="25" t="str">
        <f t="shared" si="8"/>
        <v>العبدالكريم</v>
      </c>
      <c r="M336" s="25" t="str">
        <f t="shared" si="3"/>
        <v>عبدالكريم بن عبدالله بن عبدالكريم حمد</v>
      </c>
      <c r="N336" s="25" t="str">
        <f t="shared" si="4"/>
        <v>عبدالكريم bin عبدالله bin عبدالكريم Al-حمد</v>
      </c>
      <c r="O336" s="25" t="str">
        <f t="shared" si="5"/>
        <v/>
      </c>
      <c r="P336" s="25">
        <f t="shared" si="6"/>
        <v>0</v>
      </c>
      <c r="Q336" s="25"/>
      <c r="R336" s="25"/>
      <c r="S336" s="25" t="str">
        <f t="shared" si="7"/>
        <v>Living</v>
      </c>
    </row>
    <row r="337" ht="15.75" customHeight="1">
      <c r="A337" s="25" t="str">
        <f t="shared" si="1"/>
        <v>P336</v>
      </c>
      <c r="B337" s="71" t="s">
        <v>100</v>
      </c>
      <c r="C337" s="71" t="s">
        <v>119</v>
      </c>
      <c r="D337" s="71" t="s">
        <v>96</v>
      </c>
      <c r="E337" s="71" t="s">
        <v>31</v>
      </c>
      <c r="F337" s="25" t="s">
        <v>318</v>
      </c>
      <c r="G337" s="1" t="s">
        <v>35</v>
      </c>
      <c r="H337" s="25"/>
      <c r="I337" s="25"/>
      <c r="J337" s="25"/>
      <c r="K337" s="25">
        <f t="shared" si="2"/>
        <v>6</v>
      </c>
      <c r="L337" s="25" t="str">
        <f t="shared" si="8"/>
        <v>العبدالكريم</v>
      </c>
      <c r="M337" s="25" t="str">
        <f t="shared" si="3"/>
        <v>محمد بن عبدالله بن عبدالكريم حمد</v>
      </c>
      <c r="N337" s="25" t="str">
        <f t="shared" si="4"/>
        <v>محمد bin عبدالله bin عبدالكريم Al-حمد</v>
      </c>
      <c r="O337" s="25" t="str">
        <f t="shared" si="5"/>
        <v/>
      </c>
      <c r="P337" s="25">
        <f t="shared" si="6"/>
        <v>0</v>
      </c>
      <c r="Q337" s="25"/>
      <c r="R337" s="25"/>
      <c r="S337" s="25" t="str">
        <f t="shared" si="7"/>
        <v>Living</v>
      </c>
    </row>
    <row r="338" ht="15.75" customHeight="1">
      <c r="A338" s="25" t="str">
        <f t="shared" si="1"/>
        <v>P337</v>
      </c>
      <c r="B338" s="71" t="s">
        <v>135</v>
      </c>
      <c r="C338" s="71" t="s">
        <v>119</v>
      </c>
      <c r="D338" s="71" t="s">
        <v>96</v>
      </c>
      <c r="E338" s="71" t="s">
        <v>31</v>
      </c>
      <c r="F338" s="25" t="s">
        <v>318</v>
      </c>
      <c r="G338" s="1" t="s">
        <v>35</v>
      </c>
      <c r="H338" s="25"/>
      <c r="I338" s="25"/>
      <c r="J338" s="25"/>
      <c r="K338" s="25">
        <f t="shared" si="2"/>
        <v>6</v>
      </c>
      <c r="L338" s="25" t="str">
        <f t="shared" si="8"/>
        <v>العبدالكريم</v>
      </c>
      <c r="M338" s="25" t="str">
        <f t="shared" si="3"/>
        <v>مساعد بن عبدالله بن عبدالكريم حمد</v>
      </c>
      <c r="N338" s="25" t="str">
        <f t="shared" si="4"/>
        <v>مساعد bin عبدالله bin عبدالكريم Al-حمد</v>
      </c>
      <c r="O338" s="25" t="str">
        <f t="shared" si="5"/>
        <v/>
      </c>
      <c r="P338" s="25">
        <f t="shared" si="6"/>
        <v>0</v>
      </c>
      <c r="Q338" s="25"/>
      <c r="R338" s="25"/>
      <c r="S338" s="25" t="str">
        <f t="shared" si="7"/>
        <v>Living</v>
      </c>
    </row>
    <row r="339" ht="15.75" customHeight="1">
      <c r="A339" s="25" t="str">
        <f t="shared" si="1"/>
        <v>P338</v>
      </c>
      <c r="B339" s="71" t="s">
        <v>119</v>
      </c>
      <c r="C339" s="71" t="s">
        <v>111</v>
      </c>
      <c r="D339" s="71" t="s">
        <v>119</v>
      </c>
      <c r="E339" s="71" t="s">
        <v>96</v>
      </c>
      <c r="F339" s="25" t="s">
        <v>319</v>
      </c>
      <c r="G339" s="1" t="s">
        <v>35</v>
      </c>
      <c r="H339" s="25"/>
      <c r="I339" s="25"/>
      <c r="J339" s="25"/>
      <c r="K339" s="25">
        <f t="shared" si="2"/>
        <v>7</v>
      </c>
      <c r="L339" s="25" t="str">
        <f t="shared" si="8"/>
        <v>العبدالكريم</v>
      </c>
      <c r="M339" s="25" t="str">
        <f t="shared" si="3"/>
        <v>عبدالله بن فهد بن عبدالله عبدالكريم</v>
      </c>
      <c r="N339" s="25" t="str">
        <f t="shared" si="4"/>
        <v>عبدالله bin فهد bin عبدالله Al-عبدالكريم</v>
      </c>
      <c r="O339" s="25" t="str">
        <f t="shared" si="5"/>
        <v/>
      </c>
      <c r="P339" s="25">
        <f t="shared" si="6"/>
        <v>0</v>
      </c>
      <c r="Q339" s="25"/>
      <c r="R339" s="25"/>
      <c r="S339" s="25" t="str">
        <f t="shared" si="7"/>
        <v>Living</v>
      </c>
    </row>
    <row r="340" ht="15.75" customHeight="1">
      <c r="A340" s="25" t="str">
        <f t="shared" si="1"/>
        <v>P339</v>
      </c>
      <c r="B340" s="71" t="s">
        <v>108</v>
      </c>
      <c r="C340" s="71" t="s">
        <v>111</v>
      </c>
      <c r="D340" s="71" t="s">
        <v>119</v>
      </c>
      <c r="E340" s="71" t="s">
        <v>96</v>
      </c>
      <c r="F340" s="25" t="s">
        <v>319</v>
      </c>
      <c r="G340" s="1" t="s">
        <v>35</v>
      </c>
      <c r="H340" s="25"/>
      <c r="I340" s="25"/>
      <c r="J340" s="25"/>
      <c r="K340" s="25">
        <f t="shared" si="2"/>
        <v>7</v>
      </c>
      <c r="L340" s="25" t="str">
        <f t="shared" si="8"/>
        <v>العبدالكريم</v>
      </c>
      <c r="M340" s="25" t="str">
        <f t="shared" si="3"/>
        <v>عبدالعزيز بن فهد بن عبدالله عبدالكريم</v>
      </c>
      <c r="N340" s="25" t="str">
        <f t="shared" si="4"/>
        <v>عبدالعزيز bin فهد bin عبدالله Al-عبدالكريم</v>
      </c>
      <c r="O340" s="25" t="str">
        <f t="shared" si="5"/>
        <v/>
      </c>
      <c r="P340" s="25">
        <f t="shared" si="6"/>
        <v>0</v>
      </c>
      <c r="Q340" s="25"/>
      <c r="R340" s="25"/>
      <c r="S340" s="25" t="str">
        <f t="shared" si="7"/>
        <v>Living</v>
      </c>
    </row>
    <row r="341" ht="15.75" customHeight="1">
      <c r="A341" s="25" t="str">
        <f t="shared" si="1"/>
        <v>P340</v>
      </c>
      <c r="B341" s="71" t="s">
        <v>112</v>
      </c>
      <c r="C341" s="71" t="s">
        <v>27</v>
      </c>
      <c r="D341" s="71" t="s">
        <v>96</v>
      </c>
      <c r="E341" s="71" t="s">
        <v>31</v>
      </c>
      <c r="F341" s="25" t="s">
        <v>320</v>
      </c>
      <c r="G341" s="1" t="s">
        <v>35</v>
      </c>
      <c r="H341" s="25"/>
      <c r="I341" s="25"/>
      <c r="J341" s="25"/>
      <c r="K341" s="25">
        <f t="shared" si="2"/>
        <v>6</v>
      </c>
      <c r="L341" s="25" t="str">
        <f t="shared" si="8"/>
        <v>العبدالكريم</v>
      </c>
      <c r="M341" s="25" t="str">
        <f t="shared" si="3"/>
        <v>خالد بن ابراهيم بن عبدالكريم حمد</v>
      </c>
      <c r="N341" s="25" t="str">
        <f t="shared" si="4"/>
        <v>خالد bin ابراهيم bin عبدالكريم Al-حمد</v>
      </c>
      <c r="O341" s="25" t="str">
        <f t="shared" si="5"/>
        <v/>
      </c>
      <c r="P341" s="25">
        <f t="shared" si="6"/>
        <v>0</v>
      </c>
      <c r="Q341" s="25"/>
      <c r="R341" s="25"/>
      <c r="S341" s="25" t="str">
        <f t="shared" si="7"/>
        <v>Living</v>
      </c>
    </row>
    <row r="342" ht="15.75" customHeight="1">
      <c r="A342" s="25" t="str">
        <f t="shared" si="1"/>
        <v>P341</v>
      </c>
      <c r="B342" s="71" t="s">
        <v>96</v>
      </c>
      <c r="C342" s="71" t="s">
        <v>27</v>
      </c>
      <c r="D342" s="71" t="s">
        <v>96</v>
      </c>
      <c r="E342" s="71" t="s">
        <v>31</v>
      </c>
      <c r="F342" s="25" t="s">
        <v>320</v>
      </c>
      <c r="G342" s="1" t="s">
        <v>35</v>
      </c>
      <c r="H342" s="25"/>
      <c r="I342" s="25"/>
      <c r="J342" s="25"/>
      <c r="K342" s="25">
        <f t="shared" si="2"/>
        <v>6</v>
      </c>
      <c r="L342" s="25" t="str">
        <f t="shared" si="8"/>
        <v>العبدالكريم</v>
      </c>
      <c r="M342" s="25" t="str">
        <f t="shared" si="3"/>
        <v>عبدالكريم بن ابراهيم بن عبدالكريم حمد</v>
      </c>
      <c r="N342" s="25" t="str">
        <f t="shared" si="4"/>
        <v>عبدالكريم bin ابراهيم bin عبدالكريم Al-حمد</v>
      </c>
      <c r="O342" s="25" t="str">
        <f t="shared" si="5"/>
        <v/>
      </c>
      <c r="P342" s="25">
        <f t="shared" si="6"/>
        <v>0</v>
      </c>
      <c r="Q342" s="25"/>
      <c r="R342" s="25"/>
      <c r="S342" s="25" t="str">
        <f t="shared" si="7"/>
        <v>Living</v>
      </c>
    </row>
    <row r="343" ht="15.75" customHeight="1">
      <c r="A343" s="25" t="str">
        <f t="shared" si="1"/>
        <v>P342</v>
      </c>
      <c r="B343" s="71" t="s">
        <v>111</v>
      </c>
      <c r="C343" s="71" t="s">
        <v>27</v>
      </c>
      <c r="D343" s="71" t="s">
        <v>96</v>
      </c>
      <c r="E343" s="71" t="s">
        <v>31</v>
      </c>
      <c r="F343" s="25" t="s">
        <v>320</v>
      </c>
      <c r="G343" s="1" t="s">
        <v>35</v>
      </c>
      <c r="H343" s="25"/>
      <c r="I343" s="25"/>
      <c r="J343" s="25"/>
      <c r="K343" s="25">
        <f t="shared" si="2"/>
        <v>6</v>
      </c>
      <c r="L343" s="25" t="str">
        <f t="shared" si="8"/>
        <v>العبدالكريم</v>
      </c>
      <c r="M343" s="25" t="str">
        <f t="shared" si="3"/>
        <v>فهد بن ابراهيم بن عبدالكريم حمد</v>
      </c>
      <c r="N343" s="25" t="str">
        <f t="shared" si="4"/>
        <v>فهد bin ابراهيم bin عبدالكريم Al-حمد</v>
      </c>
      <c r="O343" s="25" t="str">
        <f t="shared" si="5"/>
        <v/>
      </c>
      <c r="P343" s="25">
        <f t="shared" si="6"/>
        <v>0</v>
      </c>
      <c r="Q343" s="25"/>
      <c r="R343" s="25"/>
      <c r="S343" s="25" t="str">
        <f t="shared" si="7"/>
        <v>Living</v>
      </c>
    </row>
    <row r="344" ht="15.75" customHeight="1">
      <c r="A344" s="25" t="str">
        <f t="shared" si="1"/>
        <v>P343</v>
      </c>
      <c r="B344" s="71" t="s">
        <v>108</v>
      </c>
      <c r="C344" s="71" t="s">
        <v>27</v>
      </c>
      <c r="D344" s="71" t="s">
        <v>96</v>
      </c>
      <c r="E344" s="71" t="s">
        <v>31</v>
      </c>
      <c r="F344" s="25" t="s">
        <v>320</v>
      </c>
      <c r="G344" s="1" t="s">
        <v>35</v>
      </c>
      <c r="H344" s="25"/>
      <c r="I344" s="25"/>
      <c r="J344" s="25"/>
      <c r="K344" s="25">
        <f t="shared" si="2"/>
        <v>6</v>
      </c>
      <c r="L344" s="25" t="str">
        <f t="shared" si="8"/>
        <v>العبدالكريم</v>
      </c>
      <c r="M344" s="25" t="str">
        <f t="shared" si="3"/>
        <v>عبدالعزيز بن ابراهيم بن عبدالكريم حمد</v>
      </c>
      <c r="N344" s="25" t="str">
        <f t="shared" si="4"/>
        <v>عبدالعزيز bin ابراهيم bin عبدالكريم Al-حمد</v>
      </c>
      <c r="O344" s="25" t="str">
        <f t="shared" si="5"/>
        <v/>
      </c>
      <c r="P344" s="25">
        <f t="shared" si="6"/>
        <v>0</v>
      </c>
      <c r="Q344" s="25"/>
      <c r="R344" s="25"/>
      <c r="S344" s="25" t="str">
        <f t="shared" si="7"/>
        <v>Living</v>
      </c>
    </row>
    <row r="345" ht="15.75" customHeight="1">
      <c r="A345" s="25" t="str">
        <f t="shared" si="1"/>
        <v>P344</v>
      </c>
      <c r="B345" s="71" t="s">
        <v>96</v>
      </c>
      <c r="C345" s="71" t="s">
        <v>105</v>
      </c>
      <c r="D345" s="71" t="s">
        <v>96</v>
      </c>
      <c r="E345" s="71" t="s">
        <v>31</v>
      </c>
      <c r="F345" s="25" t="s">
        <v>321</v>
      </c>
      <c r="G345" s="1" t="s">
        <v>35</v>
      </c>
      <c r="H345" s="25"/>
      <c r="I345" s="25"/>
      <c r="J345" s="25"/>
      <c r="K345" s="25">
        <f t="shared" si="2"/>
        <v>6</v>
      </c>
      <c r="L345" s="25" t="str">
        <f t="shared" si="8"/>
        <v>العبدالكريم</v>
      </c>
      <c r="M345" s="25" t="str">
        <f t="shared" si="3"/>
        <v>عبدالكريم بن عبدالرحمن بن عبدالكريم حمد</v>
      </c>
      <c r="N345" s="25" t="str">
        <f t="shared" si="4"/>
        <v>عبدالكريم bin عبدالرحمن bin عبدالكريم Al-حمد</v>
      </c>
      <c r="O345" s="25" t="str">
        <f t="shared" si="5"/>
        <v/>
      </c>
      <c r="P345" s="25">
        <f t="shared" si="6"/>
        <v>0</v>
      </c>
      <c r="Q345" s="25"/>
      <c r="R345" s="25"/>
      <c r="S345" s="25" t="str">
        <f t="shared" si="7"/>
        <v>Living</v>
      </c>
    </row>
    <row r="346" ht="15.75" customHeight="1">
      <c r="A346" s="25" t="str">
        <f t="shared" si="1"/>
        <v>P345</v>
      </c>
      <c r="B346" s="71" t="s">
        <v>119</v>
      </c>
      <c r="C346" s="71" t="s">
        <v>105</v>
      </c>
      <c r="D346" s="71" t="s">
        <v>96</v>
      </c>
      <c r="E346" s="71" t="s">
        <v>31</v>
      </c>
      <c r="F346" s="25" t="s">
        <v>321</v>
      </c>
      <c r="G346" s="1" t="s">
        <v>35</v>
      </c>
      <c r="H346" s="25"/>
      <c r="I346" s="25"/>
      <c r="J346" s="25"/>
      <c r="K346" s="25">
        <f t="shared" si="2"/>
        <v>6</v>
      </c>
      <c r="L346" s="25" t="str">
        <f t="shared" si="8"/>
        <v>العبدالكريم</v>
      </c>
      <c r="M346" s="25" t="str">
        <f t="shared" si="3"/>
        <v>عبدالله بن عبدالرحمن بن عبدالكريم حمد</v>
      </c>
      <c r="N346" s="25" t="str">
        <f t="shared" si="4"/>
        <v>عبدالله bin عبدالرحمن bin عبدالكريم Al-حمد</v>
      </c>
      <c r="O346" s="25" t="str">
        <f t="shared" si="5"/>
        <v/>
      </c>
      <c r="P346" s="25">
        <f t="shared" si="6"/>
        <v>0</v>
      </c>
      <c r="Q346" s="25"/>
      <c r="R346" s="25"/>
      <c r="S346" s="25" t="str">
        <f t="shared" si="7"/>
        <v>Living</v>
      </c>
    </row>
    <row r="347" ht="15.75" customHeight="1">
      <c r="A347" s="25" t="str">
        <f t="shared" si="1"/>
        <v>P346</v>
      </c>
      <c r="B347" s="71" t="s">
        <v>100</v>
      </c>
      <c r="C347" s="71" t="s">
        <v>105</v>
      </c>
      <c r="D347" s="71" t="s">
        <v>96</v>
      </c>
      <c r="E347" s="71" t="s">
        <v>31</v>
      </c>
      <c r="F347" s="25" t="s">
        <v>321</v>
      </c>
      <c r="G347" s="1" t="s">
        <v>35</v>
      </c>
      <c r="H347" s="25"/>
      <c r="I347" s="25"/>
      <c r="J347" s="25"/>
      <c r="K347" s="25">
        <f t="shared" si="2"/>
        <v>6</v>
      </c>
      <c r="L347" s="25" t="str">
        <f t="shared" si="8"/>
        <v>العبدالكريم</v>
      </c>
      <c r="M347" s="25" t="str">
        <f t="shared" si="3"/>
        <v>محمد بن عبدالرحمن بن عبدالكريم حمد</v>
      </c>
      <c r="N347" s="25" t="str">
        <f t="shared" si="4"/>
        <v>محمد bin عبدالرحمن bin عبدالكريم Al-حمد</v>
      </c>
      <c r="O347" s="25" t="str">
        <f t="shared" si="5"/>
        <v/>
      </c>
      <c r="P347" s="25">
        <f t="shared" si="6"/>
        <v>0</v>
      </c>
      <c r="Q347" s="25"/>
      <c r="R347" s="25"/>
      <c r="S347" s="25" t="str">
        <f t="shared" si="7"/>
        <v>Living</v>
      </c>
    </row>
    <row r="348" ht="15.75" customHeight="1">
      <c r="A348" s="25" t="str">
        <f t="shared" si="1"/>
        <v>P347</v>
      </c>
      <c r="B348" s="71" t="s">
        <v>105</v>
      </c>
      <c r="C348" s="71" t="s">
        <v>96</v>
      </c>
      <c r="D348" s="71" t="s">
        <v>105</v>
      </c>
      <c r="E348" s="71" t="s">
        <v>96</v>
      </c>
      <c r="F348" s="25" t="s">
        <v>322</v>
      </c>
      <c r="G348" s="1" t="s">
        <v>35</v>
      </c>
      <c r="H348" s="25"/>
      <c r="I348" s="25"/>
      <c r="J348" s="25"/>
      <c r="K348" s="25">
        <f t="shared" si="2"/>
        <v>7</v>
      </c>
      <c r="L348" s="25" t="str">
        <f t="shared" si="8"/>
        <v>العبدالكريم</v>
      </c>
      <c r="M348" s="25" t="str">
        <f t="shared" si="3"/>
        <v>عبدالرحمن بن عبدالكريم بن عبدالرحمن عبدالكريم</v>
      </c>
      <c r="N348" s="25" t="str">
        <f t="shared" si="4"/>
        <v>عبدالرحمن bin عبدالكريم bin عبدالرحمن Al-عبدالكريم</v>
      </c>
      <c r="O348" s="25" t="str">
        <f t="shared" si="5"/>
        <v/>
      </c>
      <c r="P348" s="25">
        <f t="shared" si="6"/>
        <v>0</v>
      </c>
      <c r="Q348" s="25"/>
      <c r="R348" s="25"/>
      <c r="S348" s="25" t="str">
        <f t="shared" si="7"/>
        <v>Living</v>
      </c>
    </row>
    <row r="349" ht="15.75" customHeight="1">
      <c r="A349" s="25" t="str">
        <f t="shared" si="1"/>
        <v>P348</v>
      </c>
      <c r="B349" s="71" t="s">
        <v>116</v>
      </c>
      <c r="C349" s="71" t="s">
        <v>96</v>
      </c>
      <c r="D349" s="71" t="s">
        <v>105</v>
      </c>
      <c r="E349" s="71" t="s">
        <v>96</v>
      </c>
      <c r="F349" s="25" t="s">
        <v>322</v>
      </c>
      <c r="G349" s="1" t="s">
        <v>35</v>
      </c>
      <c r="H349" s="25"/>
      <c r="I349" s="25"/>
      <c r="J349" s="25"/>
      <c r="K349" s="25">
        <f t="shared" si="2"/>
        <v>7</v>
      </c>
      <c r="L349" s="25" t="str">
        <f t="shared" si="8"/>
        <v>العبدالكريم</v>
      </c>
      <c r="M349" s="25" t="str">
        <f t="shared" si="3"/>
        <v>فيصل بن عبدالكريم بن عبدالرحمن عبدالكريم</v>
      </c>
      <c r="N349" s="25" t="str">
        <f t="shared" si="4"/>
        <v>فيصل bin عبدالكريم bin عبدالرحمن Al-عبدالكريم</v>
      </c>
      <c r="O349" s="25" t="str">
        <f t="shared" si="5"/>
        <v/>
      </c>
      <c r="P349" s="25">
        <f t="shared" si="6"/>
        <v>0</v>
      </c>
      <c r="Q349" s="25"/>
      <c r="R349" s="25"/>
      <c r="S349" s="25" t="str">
        <f t="shared" si="7"/>
        <v>Living</v>
      </c>
    </row>
    <row r="350" ht="15.75" customHeight="1">
      <c r="A350" s="25" t="str">
        <f t="shared" si="1"/>
        <v>P349</v>
      </c>
      <c r="B350" s="71" t="s">
        <v>96</v>
      </c>
      <c r="C350" s="71" t="s">
        <v>108</v>
      </c>
      <c r="D350" s="71" t="s">
        <v>96</v>
      </c>
      <c r="E350" s="71" t="s">
        <v>31</v>
      </c>
      <c r="F350" s="25" t="s">
        <v>323</v>
      </c>
      <c r="G350" s="1" t="s">
        <v>35</v>
      </c>
      <c r="H350" s="25"/>
      <c r="I350" s="25"/>
      <c r="J350" s="25"/>
      <c r="K350" s="25">
        <f t="shared" si="2"/>
        <v>6</v>
      </c>
      <c r="L350" s="25" t="str">
        <f t="shared" si="8"/>
        <v>العبدالكريم</v>
      </c>
      <c r="M350" s="25" t="str">
        <f t="shared" si="3"/>
        <v>عبدالكريم بن عبدالعزيز بن عبدالكريم حمد</v>
      </c>
      <c r="N350" s="25" t="str">
        <f t="shared" si="4"/>
        <v>عبدالكريم bin عبدالعزيز bin عبدالكريم Al-حمد</v>
      </c>
      <c r="O350" s="25" t="str">
        <f t="shared" si="5"/>
        <v/>
      </c>
      <c r="P350" s="25">
        <f t="shared" si="6"/>
        <v>0</v>
      </c>
      <c r="Q350" s="25"/>
      <c r="R350" s="25"/>
      <c r="S350" s="25" t="str">
        <f t="shared" si="7"/>
        <v>Living</v>
      </c>
    </row>
    <row r="351" ht="15.75" customHeight="1">
      <c r="A351" s="25" t="str">
        <f t="shared" si="1"/>
        <v>P350</v>
      </c>
      <c r="B351" s="71" t="s">
        <v>246</v>
      </c>
      <c r="C351" s="71" t="s">
        <v>108</v>
      </c>
      <c r="D351" s="71" t="s">
        <v>96</v>
      </c>
      <c r="E351" s="71" t="s">
        <v>31</v>
      </c>
      <c r="F351" s="25" t="s">
        <v>323</v>
      </c>
      <c r="G351" s="1" t="s">
        <v>35</v>
      </c>
      <c r="H351" s="25"/>
      <c r="I351" s="25"/>
      <c r="J351" s="25"/>
      <c r="K351" s="25">
        <f t="shared" si="2"/>
        <v>6</v>
      </c>
      <c r="L351" s="25" t="str">
        <f t="shared" si="8"/>
        <v>العبدالكريم</v>
      </c>
      <c r="M351" s="25" t="str">
        <f t="shared" si="3"/>
        <v>سعود بن عبدالعزيز بن عبدالكريم حمد</v>
      </c>
      <c r="N351" s="25" t="str">
        <f t="shared" si="4"/>
        <v>سعود bin عبدالعزيز bin عبدالكريم Al-حمد</v>
      </c>
      <c r="O351" s="25" t="str">
        <f t="shared" si="5"/>
        <v/>
      </c>
      <c r="P351" s="25">
        <f t="shared" si="6"/>
        <v>0</v>
      </c>
      <c r="Q351" s="25"/>
      <c r="R351" s="25"/>
      <c r="S351" s="25" t="str">
        <f t="shared" si="7"/>
        <v>Living</v>
      </c>
    </row>
    <row r="352" ht="15.75" customHeight="1">
      <c r="A352" s="25" t="str">
        <f t="shared" si="1"/>
        <v>P351</v>
      </c>
      <c r="B352" s="71" t="s">
        <v>262</v>
      </c>
      <c r="C352" s="71" t="s">
        <v>108</v>
      </c>
      <c r="D352" s="71" t="s">
        <v>96</v>
      </c>
      <c r="E352" s="71" t="s">
        <v>31</v>
      </c>
      <c r="F352" s="25" t="s">
        <v>323</v>
      </c>
      <c r="G352" s="1" t="s">
        <v>35</v>
      </c>
      <c r="H352" s="25"/>
      <c r="I352" s="25"/>
      <c r="J352" s="25"/>
      <c r="K352" s="25">
        <f t="shared" si="2"/>
        <v>6</v>
      </c>
      <c r="L352" s="25" t="str">
        <f t="shared" si="8"/>
        <v>العبدالكريم</v>
      </c>
      <c r="M352" s="25" t="str">
        <f t="shared" si="3"/>
        <v>انس بن عبدالعزيز بن عبدالكريم حمد</v>
      </c>
      <c r="N352" s="25" t="str">
        <f t="shared" si="4"/>
        <v>انس bin عبدالعزيز bin عبدالكريم Al-حمد</v>
      </c>
      <c r="O352" s="25" t="str">
        <f t="shared" si="5"/>
        <v/>
      </c>
      <c r="P352" s="25">
        <f t="shared" si="6"/>
        <v>0</v>
      </c>
      <c r="Q352" s="25"/>
      <c r="R352" s="25"/>
      <c r="S352" s="25" t="str">
        <f t="shared" si="7"/>
        <v>Living</v>
      </c>
    </row>
    <row r="353" ht="15.75" customHeight="1">
      <c r="A353" s="25" t="str">
        <f t="shared" si="1"/>
        <v>P352</v>
      </c>
      <c r="B353" s="71" t="s">
        <v>100</v>
      </c>
      <c r="C353" s="71" t="s">
        <v>108</v>
      </c>
      <c r="D353" s="71" t="s">
        <v>96</v>
      </c>
      <c r="E353" s="71" t="s">
        <v>31</v>
      </c>
      <c r="F353" s="25" t="s">
        <v>323</v>
      </c>
      <c r="G353" s="1" t="s">
        <v>35</v>
      </c>
      <c r="H353" s="25"/>
      <c r="I353" s="25"/>
      <c r="J353" s="25"/>
      <c r="K353" s="25">
        <f t="shared" si="2"/>
        <v>6</v>
      </c>
      <c r="L353" s="25" t="str">
        <f t="shared" si="8"/>
        <v>العبدالكريم</v>
      </c>
      <c r="M353" s="25" t="str">
        <f t="shared" si="3"/>
        <v>محمد بن عبدالعزيز بن عبدالكريم حمد</v>
      </c>
      <c r="N353" s="25" t="str">
        <f t="shared" si="4"/>
        <v>محمد bin عبدالعزيز bin عبدالكريم Al-حمد</v>
      </c>
      <c r="O353" s="25" t="str">
        <f t="shared" si="5"/>
        <v/>
      </c>
      <c r="P353" s="25">
        <f t="shared" si="6"/>
        <v>0</v>
      </c>
      <c r="Q353" s="25"/>
      <c r="R353" s="25"/>
      <c r="S353" s="25" t="str">
        <f t="shared" si="7"/>
        <v>Living</v>
      </c>
    </row>
    <row r="354" ht="15.75" customHeight="1">
      <c r="A354" s="25" t="str">
        <f t="shared" si="1"/>
        <v>P353</v>
      </c>
      <c r="B354" s="71" t="s">
        <v>105</v>
      </c>
      <c r="C354" s="71" t="s">
        <v>108</v>
      </c>
      <c r="D354" s="71" t="s">
        <v>31</v>
      </c>
      <c r="E354" s="81" t="s">
        <v>96</v>
      </c>
      <c r="F354" s="25" t="s">
        <v>324</v>
      </c>
      <c r="G354" s="1" t="s">
        <v>35</v>
      </c>
      <c r="H354" s="25"/>
      <c r="I354" s="25"/>
      <c r="J354" s="25"/>
      <c r="K354" s="25">
        <f t="shared" si="2"/>
        <v>5</v>
      </c>
      <c r="L354" s="25" t="str">
        <f t="shared" si="8"/>
        <v>العبدالكريم</v>
      </c>
      <c r="M354" s="25" t="str">
        <f t="shared" si="3"/>
        <v>عبدالرحمن بن عبدالعزيز بن حمد عبدالكريم</v>
      </c>
      <c r="N354" s="25" t="str">
        <f t="shared" si="4"/>
        <v>عبدالرحمن bin عبدالعزيز bin حمد Al-عبدالكريم</v>
      </c>
      <c r="O354" s="25" t="str">
        <f t="shared" si="5"/>
        <v/>
      </c>
      <c r="P354" s="25">
        <f t="shared" si="6"/>
        <v>0</v>
      </c>
      <c r="Q354" s="25"/>
      <c r="R354" s="25"/>
      <c r="S354" s="25" t="str">
        <f t="shared" si="7"/>
        <v>Living</v>
      </c>
    </row>
    <row r="355" ht="15.75" customHeight="1">
      <c r="A355" s="25" t="str">
        <f t="shared" si="1"/>
        <v>P354</v>
      </c>
      <c r="B355" s="71" t="s">
        <v>119</v>
      </c>
      <c r="C355" s="71" t="s">
        <v>108</v>
      </c>
      <c r="D355" s="71" t="s">
        <v>31</v>
      </c>
      <c r="E355" s="81" t="s">
        <v>96</v>
      </c>
      <c r="F355" s="25" t="s">
        <v>324</v>
      </c>
      <c r="G355" s="1" t="s">
        <v>35</v>
      </c>
      <c r="H355" s="25"/>
      <c r="I355" s="25"/>
      <c r="J355" s="25"/>
      <c r="K355" s="25">
        <f t="shared" si="2"/>
        <v>5</v>
      </c>
      <c r="L355" s="25" t="str">
        <f t="shared" si="8"/>
        <v>العبدالكريم</v>
      </c>
      <c r="M355" s="25" t="str">
        <f t="shared" si="3"/>
        <v>عبدالله بن عبدالعزيز بن حمد عبدالكريم</v>
      </c>
      <c r="N355" s="25" t="str">
        <f t="shared" si="4"/>
        <v>عبدالله bin عبدالعزيز bin حمد Al-عبدالكريم</v>
      </c>
      <c r="O355" s="25" t="str">
        <f t="shared" si="5"/>
        <v/>
      </c>
      <c r="P355" s="25">
        <f t="shared" si="6"/>
        <v>0</v>
      </c>
      <c r="Q355" s="25"/>
      <c r="R355" s="25"/>
      <c r="S355" s="25" t="str">
        <f t="shared" si="7"/>
        <v>Living</v>
      </c>
    </row>
    <row r="356" ht="15.75" customHeight="1">
      <c r="A356" s="25" t="str">
        <f t="shared" si="1"/>
        <v>P355</v>
      </c>
      <c r="B356" s="71" t="s">
        <v>100</v>
      </c>
      <c r="C356" s="71" t="s">
        <v>108</v>
      </c>
      <c r="D356" s="71" t="s">
        <v>31</v>
      </c>
      <c r="E356" s="81" t="s">
        <v>96</v>
      </c>
      <c r="F356" s="25" t="s">
        <v>324</v>
      </c>
      <c r="G356" s="1" t="s">
        <v>35</v>
      </c>
      <c r="H356" s="25"/>
      <c r="I356" s="25"/>
      <c r="J356" s="25"/>
      <c r="K356" s="25">
        <f t="shared" si="2"/>
        <v>5</v>
      </c>
      <c r="L356" s="25" t="str">
        <f t="shared" si="8"/>
        <v>العبدالكريم</v>
      </c>
      <c r="M356" s="25" t="str">
        <f t="shared" si="3"/>
        <v>محمد بن عبدالعزيز بن حمد عبدالكريم</v>
      </c>
      <c r="N356" s="25" t="str">
        <f t="shared" si="4"/>
        <v>محمد bin عبدالعزيز bin حمد Al-عبدالكريم</v>
      </c>
      <c r="O356" s="25" t="str">
        <f t="shared" si="5"/>
        <v/>
      </c>
      <c r="P356" s="25">
        <f t="shared" si="6"/>
        <v>0</v>
      </c>
      <c r="Q356" s="25"/>
      <c r="R356" s="25"/>
      <c r="S356" s="25" t="str">
        <f t="shared" si="7"/>
        <v>Living</v>
      </c>
    </row>
    <row r="357" ht="15.75" customHeight="1">
      <c r="A357" s="25" t="str">
        <f t="shared" si="1"/>
        <v>P356</v>
      </c>
      <c r="B357" s="71" t="s">
        <v>105</v>
      </c>
      <c r="C357" s="71" t="s">
        <v>105</v>
      </c>
      <c r="D357" s="71" t="s">
        <v>108</v>
      </c>
      <c r="E357" s="71" t="s">
        <v>31</v>
      </c>
      <c r="F357" s="25" t="s">
        <v>325</v>
      </c>
      <c r="G357" s="1" t="s">
        <v>35</v>
      </c>
      <c r="H357" s="25"/>
      <c r="I357" s="25"/>
      <c r="J357" s="25"/>
      <c r="K357" s="25">
        <f t="shared" si="2"/>
        <v>6</v>
      </c>
      <c r="L357" s="25" t="str">
        <f t="shared" si="8"/>
        <v>العبدالكريم</v>
      </c>
      <c r="M357" s="25" t="str">
        <f t="shared" si="3"/>
        <v>عبدالرحمن بن عبدالرحمن بن عبدالعزيز حمد</v>
      </c>
      <c r="N357" s="25" t="str">
        <f t="shared" si="4"/>
        <v>عبدالرحمن bin عبدالرحمن bin عبدالعزيز Al-حمد</v>
      </c>
      <c r="O357" s="25" t="str">
        <f t="shared" si="5"/>
        <v/>
      </c>
      <c r="P357" s="25">
        <f t="shared" si="6"/>
        <v>0</v>
      </c>
      <c r="Q357" s="25"/>
      <c r="R357" s="25"/>
      <c r="S357" s="25" t="str">
        <f t="shared" si="7"/>
        <v>Living</v>
      </c>
    </row>
    <row r="358" ht="15.75" customHeight="1">
      <c r="A358" s="25" t="str">
        <f t="shared" si="1"/>
        <v>P357</v>
      </c>
      <c r="B358" s="71" t="s">
        <v>108</v>
      </c>
      <c r="C358" s="71" t="s">
        <v>105</v>
      </c>
      <c r="D358" s="71" t="s">
        <v>108</v>
      </c>
      <c r="E358" s="71" t="s">
        <v>31</v>
      </c>
      <c r="F358" s="25" t="s">
        <v>325</v>
      </c>
      <c r="G358" s="1" t="s">
        <v>35</v>
      </c>
      <c r="H358" s="25"/>
      <c r="I358" s="25"/>
      <c r="J358" s="25"/>
      <c r="K358" s="25">
        <f t="shared" si="2"/>
        <v>6</v>
      </c>
      <c r="L358" s="25" t="str">
        <f t="shared" si="8"/>
        <v>العبدالكريم</v>
      </c>
      <c r="M358" s="25" t="str">
        <f t="shared" si="3"/>
        <v>عبدالعزيز بن عبدالرحمن بن عبدالعزيز حمد</v>
      </c>
      <c r="N358" s="25" t="str">
        <f t="shared" si="4"/>
        <v>عبدالعزيز bin عبدالرحمن bin عبدالعزيز Al-حمد</v>
      </c>
      <c r="O358" s="25" t="str">
        <f t="shared" si="5"/>
        <v/>
      </c>
      <c r="P358" s="25">
        <f t="shared" si="6"/>
        <v>0</v>
      </c>
      <c r="Q358" s="25"/>
      <c r="R358" s="25"/>
      <c r="S358" s="25" t="str">
        <f t="shared" si="7"/>
        <v>Living</v>
      </c>
    </row>
    <row r="359" ht="15.75" customHeight="1">
      <c r="A359" s="25" t="str">
        <f t="shared" si="1"/>
        <v>P358</v>
      </c>
      <c r="B359" s="71" t="s">
        <v>326</v>
      </c>
      <c r="C359" s="71" t="s">
        <v>108</v>
      </c>
      <c r="D359" s="71" t="s">
        <v>105</v>
      </c>
      <c r="E359" s="71" t="s">
        <v>108</v>
      </c>
      <c r="F359" s="25" t="s">
        <v>327</v>
      </c>
      <c r="G359" s="1" t="s">
        <v>35</v>
      </c>
      <c r="H359" s="25"/>
      <c r="I359" s="25"/>
      <c r="J359" s="25"/>
      <c r="K359" s="25">
        <f t="shared" si="2"/>
        <v>7</v>
      </c>
      <c r="L359" s="25" t="str">
        <f t="shared" si="8"/>
        <v>العبدالكريم</v>
      </c>
      <c r="M359" s="25" t="str">
        <f t="shared" si="3"/>
        <v>ثامر بن عبدالعزيز بن عبدالرحمن عبدالعزيز</v>
      </c>
      <c r="N359" s="25" t="str">
        <f t="shared" si="4"/>
        <v>ثامر bin عبدالعزيز bin عبدالرحمن Al-عبدالعزيز</v>
      </c>
      <c r="O359" s="25" t="str">
        <f t="shared" si="5"/>
        <v/>
      </c>
      <c r="P359" s="25">
        <f t="shared" si="6"/>
        <v>0</v>
      </c>
      <c r="Q359" s="25"/>
      <c r="R359" s="25"/>
      <c r="S359" s="25" t="str">
        <f t="shared" si="7"/>
        <v>Living</v>
      </c>
    </row>
    <row r="360" ht="15.75" customHeight="1">
      <c r="A360" s="25" t="str">
        <f t="shared" si="1"/>
        <v>P359</v>
      </c>
      <c r="B360" s="71" t="s">
        <v>100</v>
      </c>
      <c r="C360" s="71" t="s">
        <v>108</v>
      </c>
      <c r="D360" s="71" t="s">
        <v>105</v>
      </c>
      <c r="E360" s="71" t="s">
        <v>108</v>
      </c>
      <c r="F360" s="25" t="s">
        <v>327</v>
      </c>
      <c r="G360" s="1" t="s">
        <v>35</v>
      </c>
      <c r="H360" s="25"/>
      <c r="I360" s="25"/>
      <c r="J360" s="25"/>
      <c r="K360" s="25">
        <f t="shared" si="2"/>
        <v>7</v>
      </c>
      <c r="L360" s="25" t="str">
        <f t="shared" si="8"/>
        <v>العبدالكريم</v>
      </c>
      <c r="M360" s="25" t="str">
        <f t="shared" si="3"/>
        <v>محمد بن عبدالعزيز بن عبدالرحمن عبدالعزيز</v>
      </c>
      <c r="N360" s="25" t="str">
        <f t="shared" si="4"/>
        <v>محمد bin عبدالعزيز bin عبدالرحمن Al-عبدالعزيز</v>
      </c>
      <c r="O360" s="25" t="str">
        <f t="shared" si="5"/>
        <v/>
      </c>
      <c r="P360" s="25">
        <f t="shared" si="6"/>
        <v>0</v>
      </c>
      <c r="Q360" s="25"/>
      <c r="R360" s="25"/>
      <c r="S360" s="25" t="str">
        <f t="shared" si="7"/>
        <v>Living</v>
      </c>
    </row>
    <row r="361" ht="15.75" customHeight="1">
      <c r="A361" s="25" t="str">
        <f t="shared" si="1"/>
        <v>P360</v>
      </c>
      <c r="B361" s="71" t="s">
        <v>110</v>
      </c>
      <c r="C361" s="71" t="s">
        <v>100</v>
      </c>
      <c r="D361" s="71" t="s">
        <v>108</v>
      </c>
      <c r="E361" s="71" t="s">
        <v>31</v>
      </c>
      <c r="F361" s="25" t="s">
        <v>328</v>
      </c>
      <c r="G361" s="1" t="s">
        <v>35</v>
      </c>
      <c r="H361" s="25"/>
      <c r="I361" s="25"/>
      <c r="J361" s="25"/>
      <c r="K361" s="25">
        <f t="shared" si="2"/>
        <v>6</v>
      </c>
      <c r="L361" s="25" t="str">
        <f t="shared" si="8"/>
        <v>العبدالكريم</v>
      </c>
      <c r="M361" s="25" t="str">
        <f t="shared" si="3"/>
        <v>سعد بن محمد بن عبدالعزيز حمد</v>
      </c>
      <c r="N361" s="25" t="str">
        <f t="shared" si="4"/>
        <v>سعد bin محمد bin عبدالعزيز Al-حمد</v>
      </c>
      <c r="O361" s="25" t="str">
        <f t="shared" si="5"/>
        <v/>
      </c>
      <c r="P361" s="25">
        <f t="shared" si="6"/>
        <v>0</v>
      </c>
      <c r="Q361" s="25"/>
      <c r="R361" s="25"/>
      <c r="S361" s="25" t="str">
        <f t="shared" si="7"/>
        <v>Living</v>
      </c>
    </row>
    <row r="362" ht="15.75" customHeight="1">
      <c r="A362" s="25" t="str">
        <f t="shared" si="1"/>
        <v>P361</v>
      </c>
      <c r="B362" s="71" t="s">
        <v>108</v>
      </c>
      <c r="C362" s="71" t="s">
        <v>100</v>
      </c>
      <c r="D362" s="71" t="s">
        <v>108</v>
      </c>
      <c r="E362" s="71" t="s">
        <v>31</v>
      </c>
      <c r="F362" s="25" t="s">
        <v>328</v>
      </c>
      <c r="G362" s="1" t="s">
        <v>35</v>
      </c>
      <c r="H362" s="25"/>
      <c r="I362" s="25"/>
      <c r="J362" s="25"/>
      <c r="K362" s="25">
        <f t="shared" si="2"/>
        <v>6</v>
      </c>
      <c r="L362" s="25" t="str">
        <f t="shared" si="8"/>
        <v>العبدالكريم</v>
      </c>
      <c r="M362" s="25" t="str">
        <f t="shared" si="3"/>
        <v>عبدالعزيز بن محمد بن عبدالعزيز حمد</v>
      </c>
      <c r="N362" s="25" t="str">
        <f t="shared" si="4"/>
        <v>عبدالعزيز bin محمد bin عبدالعزيز Al-حمد</v>
      </c>
      <c r="O362" s="25" t="str">
        <f t="shared" si="5"/>
        <v/>
      </c>
      <c r="P362" s="25">
        <f t="shared" si="6"/>
        <v>0</v>
      </c>
      <c r="Q362" s="25"/>
      <c r="R362" s="25"/>
      <c r="S362" s="25" t="str">
        <f t="shared" si="7"/>
        <v>Living</v>
      </c>
    </row>
    <row r="363" ht="15.75" customHeight="1">
      <c r="A363" s="25" t="str">
        <f t="shared" si="1"/>
        <v>P362</v>
      </c>
      <c r="B363" s="71" t="s">
        <v>246</v>
      </c>
      <c r="C363" s="71" t="s">
        <v>108</v>
      </c>
      <c r="D363" s="71" t="s">
        <v>100</v>
      </c>
      <c r="E363" s="71" t="s">
        <v>108</v>
      </c>
      <c r="F363" s="25" t="s">
        <v>329</v>
      </c>
      <c r="G363" s="1" t="s">
        <v>35</v>
      </c>
      <c r="H363" s="25"/>
      <c r="I363" s="25"/>
      <c r="J363" s="25"/>
      <c r="K363" s="25">
        <f t="shared" si="2"/>
        <v>7</v>
      </c>
      <c r="L363" s="25" t="str">
        <f t="shared" si="8"/>
        <v>العبدالكريم</v>
      </c>
      <c r="M363" s="25" t="str">
        <f t="shared" si="3"/>
        <v>سعود بن عبدالعزيز بن محمد عبدالعزيز</v>
      </c>
      <c r="N363" s="25" t="str">
        <f t="shared" si="4"/>
        <v>سعود bin عبدالعزيز bin محمد Al-عبدالعزيز</v>
      </c>
      <c r="O363" s="25" t="str">
        <f t="shared" si="5"/>
        <v/>
      </c>
      <c r="P363" s="25">
        <f t="shared" si="6"/>
        <v>0</v>
      </c>
      <c r="Q363" s="25"/>
      <c r="R363" s="25"/>
      <c r="S363" s="25" t="str">
        <f t="shared" si="7"/>
        <v>Living</v>
      </c>
    </row>
    <row r="364" ht="15.75" customHeight="1">
      <c r="A364" s="25" t="str">
        <f t="shared" si="1"/>
        <v>P363</v>
      </c>
      <c r="B364" s="71" t="s">
        <v>294</v>
      </c>
      <c r="C364" s="71" t="s">
        <v>108</v>
      </c>
      <c r="D364" s="71" t="s">
        <v>100</v>
      </c>
      <c r="E364" s="71" t="s">
        <v>108</v>
      </c>
      <c r="F364" s="25" t="s">
        <v>329</v>
      </c>
      <c r="G364" s="1" t="s">
        <v>35</v>
      </c>
      <c r="H364" s="25"/>
      <c r="I364" s="25"/>
      <c r="J364" s="25"/>
      <c r="K364" s="25">
        <f t="shared" si="2"/>
        <v>7</v>
      </c>
      <c r="L364" s="25" t="str">
        <f t="shared" si="8"/>
        <v>العبدالكريم</v>
      </c>
      <c r="M364" s="25" t="str">
        <f t="shared" si="3"/>
        <v>تركي بن عبدالعزيز بن محمد عبدالعزيز</v>
      </c>
      <c r="N364" s="25" t="str">
        <f t="shared" si="4"/>
        <v>تركي bin عبدالعزيز bin محمد Al-عبدالعزيز</v>
      </c>
      <c r="O364" s="25" t="str">
        <f t="shared" si="5"/>
        <v/>
      </c>
      <c r="P364" s="25">
        <f t="shared" si="6"/>
        <v>0</v>
      </c>
      <c r="Q364" s="25"/>
      <c r="R364" s="25"/>
      <c r="S364" s="25" t="str">
        <f t="shared" si="7"/>
        <v>Living</v>
      </c>
    </row>
    <row r="365" ht="15.75" customHeight="1">
      <c r="A365" s="25" t="str">
        <f t="shared" si="1"/>
        <v>P364</v>
      </c>
      <c r="B365" s="71" t="s">
        <v>100</v>
      </c>
      <c r="C365" s="71" t="s">
        <v>108</v>
      </c>
      <c r="D365" s="71" t="s">
        <v>100</v>
      </c>
      <c r="E365" s="71" t="s">
        <v>108</v>
      </c>
      <c r="F365" s="25" t="s">
        <v>329</v>
      </c>
      <c r="G365" s="1" t="s">
        <v>35</v>
      </c>
      <c r="H365" s="25"/>
      <c r="I365" s="25"/>
      <c r="J365" s="25"/>
      <c r="K365" s="25">
        <f t="shared" si="2"/>
        <v>7</v>
      </c>
      <c r="L365" s="25" t="str">
        <f t="shared" si="8"/>
        <v>العبدالكريم</v>
      </c>
      <c r="M365" s="25" t="str">
        <f t="shared" si="3"/>
        <v>محمد بن عبدالعزيز بن محمد عبدالعزيز</v>
      </c>
      <c r="N365" s="25" t="str">
        <f t="shared" si="4"/>
        <v>محمد bin عبدالعزيز bin محمد Al-عبدالعزيز</v>
      </c>
      <c r="O365" s="25" t="str">
        <f t="shared" si="5"/>
        <v/>
      </c>
      <c r="P365" s="25">
        <f t="shared" si="6"/>
        <v>0</v>
      </c>
      <c r="Q365" s="25"/>
      <c r="R365" s="25"/>
      <c r="S365" s="25" t="str">
        <f t="shared" si="7"/>
        <v>Living</v>
      </c>
    </row>
    <row r="366" ht="15.75" customHeight="1">
      <c r="A366" s="25" t="str">
        <f t="shared" si="1"/>
        <v>P365</v>
      </c>
      <c r="B366" s="71" t="s">
        <v>27</v>
      </c>
      <c r="C366" s="71" t="s">
        <v>108</v>
      </c>
      <c r="D366" s="71" t="s">
        <v>100</v>
      </c>
      <c r="E366" s="71" t="s">
        <v>108</v>
      </c>
      <c r="F366" s="25" t="s">
        <v>329</v>
      </c>
      <c r="G366" s="1" t="s">
        <v>35</v>
      </c>
      <c r="H366" s="25"/>
      <c r="I366" s="25"/>
      <c r="J366" s="25"/>
      <c r="K366" s="25">
        <f t="shared" si="2"/>
        <v>7</v>
      </c>
      <c r="L366" s="25" t="str">
        <f t="shared" si="8"/>
        <v>العبدالكريم</v>
      </c>
      <c r="M366" s="25" t="str">
        <f t="shared" si="3"/>
        <v>ابراهيم بن عبدالعزيز بن محمد عبدالعزيز</v>
      </c>
      <c r="N366" s="25" t="str">
        <f t="shared" si="4"/>
        <v>ابراهيم bin عبدالعزيز bin محمد Al-عبدالعزيز</v>
      </c>
      <c r="O366" s="25" t="str">
        <f t="shared" si="5"/>
        <v/>
      </c>
      <c r="P366" s="25">
        <f t="shared" si="6"/>
        <v>0</v>
      </c>
      <c r="Q366" s="25"/>
      <c r="R366" s="25"/>
      <c r="S366" s="25" t="str">
        <f t="shared" si="7"/>
        <v>Living</v>
      </c>
    </row>
    <row r="367" ht="15.75" customHeight="1">
      <c r="A367" s="25" t="str">
        <f t="shared" si="1"/>
        <v>P366</v>
      </c>
      <c r="B367" s="71" t="s">
        <v>100</v>
      </c>
      <c r="C367" s="71" t="s">
        <v>246</v>
      </c>
      <c r="D367" s="71" t="s">
        <v>108</v>
      </c>
      <c r="E367" s="71" t="s">
        <v>100</v>
      </c>
      <c r="F367" s="25" t="s">
        <v>330</v>
      </c>
      <c r="G367" s="1" t="s">
        <v>35</v>
      </c>
      <c r="H367" s="25"/>
      <c r="I367" s="25"/>
      <c r="J367" s="25"/>
      <c r="K367" s="25">
        <f t="shared" si="2"/>
        <v>8</v>
      </c>
      <c r="L367" s="25" t="str">
        <f t="shared" si="8"/>
        <v>العبدالكريم</v>
      </c>
      <c r="M367" s="25" t="str">
        <f t="shared" si="3"/>
        <v>محمد بن سعود بن عبدالعزيز محمد</v>
      </c>
      <c r="N367" s="25" t="str">
        <f t="shared" si="4"/>
        <v>محمد bin سعود bin عبدالعزيز Al-محمد</v>
      </c>
      <c r="O367" s="25" t="str">
        <f t="shared" si="5"/>
        <v/>
      </c>
      <c r="P367" s="25">
        <f t="shared" si="6"/>
        <v>0</v>
      </c>
      <c r="Q367" s="25"/>
      <c r="R367" s="25"/>
      <c r="S367" s="25" t="str">
        <f t="shared" si="7"/>
        <v>Living</v>
      </c>
    </row>
    <row r="368" ht="15.75" customHeight="1">
      <c r="A368" s="25" t="str">
        <f t="shared" si="1"/>
        <v>P367</v>
      </c>
      <c r="B368" s="71" t="s">
        <v>111</v>
      </c>
      <c r="C368" s="71" t="s">
        <v>110</v>
      </c>
      <c r="D368" s="71" t="s">
        <v>100</v>
      </c>
      <c r="E368" s="71" t="s">
        <v>108</v>
      </c>
      <c r="F368" s="25" t="s">
        <v>331</v>
      </c>
      <c r="G368" s="1" t="s">
        <v>35</v>
      </c>
      <c r="H368" s="25"/>
      <c r="I368" s="25"/>
      <c r="J368" s="25"/>
      <c r="K368" s="25">
        <f t="shared" si="2"/>
        <v>7</v>
      </c>
      <c r="L368" s="25" t="str">
        <f t="shared" si="8"/>
        <v>العبدالكريم</v>
      </c>
      <c r="M368" s="25" t="str">
        <f t="shared" si="3"/>
        <v>فهد بن سعد بن محمد عبدالعزيز</v>
      </c>
      <c r="N368" s="25" t="str">
        <f t="shared" si="4"/>
        <v>فهد bin سعد bin محمد Al-عبدالعزيز</v>
      </c>
      <c r="O368" s="25" t="str">
        <f t="shared" si="5"/>
        <v/>
      </c>
      <c r="P368" s="25">
        <f t="shared" si="6"/>
        <v>0</v>
      </c>
      <c r="Q368" s="25"/>
      <c r="R368" s="25"/>
      <c r="S368" s="25" t="str">
        <f t="shared" si="7"/>
        <v>Living</v>
      </c>
    </row>
    <row r="369" ht="15.75" customHeight="1">
      <c r="A369" s="25" t="str">
        <f t="shared" si="1"/>
        <v>P368</v>
      </c>
      <c r="B369" s="71" t="s">
        <v>300</v>
      </c>
      <c r="C369" s="71" t="s">
        <v>111</v>
      </c>
      <c r="D369" s="71" t="s">
        <v>110</v>
      </c>
      <c r="E369" s="71" t="s">
        <v>100</v>
      </c>
      <c r="F369" s="25" t="s">
        <v>332</v>
      </c>
      <c r="G369" s="1" t="s">
        <v>35</v>
      </c>
      <c r="H369" s="25"/>
      <c r="I369" s="25"/>
      <c r="J369" s="25"/>
      <c r="K369" s="25">
        <f t="shared" si="2"/>
        <v>8</v>
      </c>
      <c r="L369" s="25" t="str">
        <f t="shared" si="8"/>
        <v>العبدالكريم</v>
      </c>
      <c r="M369" s="25" t="str">
        <f t="shared" si="3"/>
        <v>رياض بن فهد بن سعد محمد</v>
      </c>
      <c r="N369" s="25" t="str">
        <f t="shared" si="4"/>
        <v>رياض bin فهد bin سعد Al-محمد</v>
      </c>
      <c r="O369" s="25" t="str">
        <f t="shared" si="5"/>
        <v/>
      </c>
      <c r="P369" s="25">
        <f t="shared" si="6"/>
        <v>0</v>
      </c>
      <c r="Q369" s="25"/>
      <c r="R369" s="25"/>
      <c r="S369" s="25" t="str">
        <f t="shared" si="7"/>
        <v>Living</v>
      </c>
    </row>
    <row r="370" ht="15.75" customHeight="1">
      <c r="A370" s="25" t="str">
        <f t="shared" si="1"/>
        <v>P369</v>
      </c>
      <c r="B370" s="71" t="s">
        <v>129</v>
      </c>
      <c r="C370" s="71" t="s">
        <v>111</v>
      </c>
      <c r="D370" s="71" t="s">
        <v>110</v>
      </c>
      <c r="E370" s="71" t="s">
        <v>100</v>
      </c>
      <c r="F370" s="25" t="s">
        <v>332</v>
      </c>
      <c r="G370" s="1" t="s">
        <v>35</v>
      </c>
      <c r="H370" s="25"/>
      <c r="I370" s="25"/>
      <c r="J370" s="25"/>
      <c r="K370" s="25">
        <f t="shared" si="2"/>
        <v>8</v>
      </c>
      <c r="L370" s="25" t="str">
        <f t="shared" si="8"/>
        <v>العبدالكريم</v>
      </c>
      <c r="M370" s="25" t="str">
        <f t="shared" si="3"/>
        <v>عادل بن فهد بن سعد محمد</v>
      </c>
      <c r="N370" s="25" t="str">
        <f t="shared" si="4"/>
        <v>عادل bin فهد bin سعد Al-محمد</v>
      </c>
      <c r="O370" s="25" t="str">
        <f t="shared" si="5"/>
        <v/>
      </c>
      <c r="P370" s="25">
        <f t="shared" si="6"/>
        <v>0</v>
      </c>
      <c r="Q370" s="25"/>
      <c r="R370" s="25"/>
      <c r="S370" s="25" t="str">
        <f t="shared" si="7"/>
        <v>Living</v>
      </c>
    </row>
    <row r="371" ht="15.75" customHeight="1">
      <c r="A371" s="25" t="str">
        <f t="shared" si="1"/>
        <v>P370</v>
      </c>
      <c r="B371" s="71" t="s">
        <v>27</v>
      </c>
      <c r="C371" s="71" t="s">
        <v>111</v>
      </c>
      <c r="D371" s="71" t="s">
        <v>110</v>
      </c>
      <c r="E371" s="71" t="s">
        <v>100</v>
      </c>
      <c r="F371" s="25" t="s">
        <v>332</v>
      </c>
      <c r="G371" s="1" t="s">
        <v>35</v>
      </c>
      <c r="H371" s="25"/>
      <c r="I371" s="25"/>
      <c r="J371" s="25"/>
      <c r="K371" s="25">
        <f t="shared" si="2"/>
        <v>8</v>
      </c>
      <c r="L371" s="25" t="str">
        <f t="shared" si="8"/>
        <v>العبدالكريم</v>
      </c>
      <c r="M371" s="25" t="str">
        <f t="shared" si="3"/>
        <v>ابراهيم بن فهد بن سعد محمد</v>
      </c>
      <c r="N371" s="25" t="str">
        <f t="shared" si="4"/>
        <v>ابراهيم bin فهد bin سعد Al-محمد</v>
      </c>
      <c r="O371" s="25" t="str">
        <f t="shared" si="5"/>
        <v/>
      </c>
      <c r="P371" s="25">
        <f t="shared" si="6"/>
        <v>0</v>
      </c>
      <c r="Q371" s="25"/>
      <c r="R371" s="25"/>
      <c r="S371" s="25" t="str">
        <f t="shared" si="7"/>
        <v>Living</v>
      </c>
    </row>
    <row r="372" ht="15.75" customHeight="1">
      <c r="A372" s="25" t="str">
        <f t="shared" si="1"/>
        <v>P371</v>
      </c>
      <c r="B372" s="71" t="s">
        <v>135</v>
      </c>
      <c r="C372" s="71" t="s">
        <v>110</v>
      </c>
      <c r="D372" s="71" t="s">
        <v>100</v>
      </c>
      <c r="E372" s="71" t="s">
        <v>108</v>
      </c>
      <c r="F372" s="25" t="s">
        <v>331</v>
      </c>
      <c r="G372" s="1" t="s">
        <v>35</v>
      </c>
      <c r="H372" s="25"/>
      <c r="I372" s="25"/>
      <c r="J372" s="25"/>
      <c r="K372" s="25">
        <f t="shared" si="2"/>
        <v>7</v>
      </c>
      <c r="L372" s="25" t="str">
        <f t="shared" si="8"/>
        <v>العبدالكريم</v>
      </c>
      <c r="M372" s="25" t="str">
        <f t="shared" si="3"/>
        <v>مساعد بن سعد بن محمد عبدالعزيز</v>
      </c>
      <c r="N372" s="25" t="str">
        <f t="shared" si="4"/>
        <v>مساعد bin سعد bin محمد Al-عبدالعزيز</v>
      </c>
      <c r="O372" s="25" t="str">
        <f t="shared" si="5"/>
        <v/>
      </c>
      <c r="P372" s="25">
        <f t="shared" si="6"/>
        <v>0</v>
      </c>
      <c r="Q372" s="25"/>
      <c r="R372" s="25"/>
      <c r="S372" s="25" t="str">
        <f t="shared" si="7"/>
        <v>Living</v>
      </c>
    </row>
    <row r="373" ht="15.75" customHeight="1">
      <c r="A373" s="25" t="str">
        <f t="shared" si="1"/>
        <v>P372</v>
      </c>
      <c r="B373" s="71" t="s">
        <v>246</v>
      </c>
      <c r="C373" s="71" t="s">
        <v>110</v>
      </c>
      <c r="D373" s="71" t="s">
        <v>100</v>
      </c>
      <c r="E373" s="71" t="s">
        <v>108</v>
      </c>
      <c r="F373" s="25" t="s">
        <v>331</v>
      </c>
      <c r="G373" s="1" t="s">
        <v>35</v>
      </c>
      <c r="H373" s="25"/>
      <c r="I373" s="25"/>
      <c r="J373" s="25"/>
      <c r="K373" s="25">
        <f t="shared" si="2"/>
        <v>7</v>
      </c>
      <c r="L373" s="25" t="str">
        <f t="shared" si="8"/>
        <v>العبدالكريم</v>
      </c>
      <c r="M373" s="25" t="str">
        <f t="shared" si="3"/>
        <v>سعود بن سعد بن محمد عبدالعزيز</v>
      </c>
      <c r="N373" s="25" t="str">
        <f t="shared" si="4"/>
        <v>سعود bin سعد bin محمد Al-عبدالعزيز</v>
      </c>
      <c r="O373" s="25" t="str">
        <f t="shared" si="5"/>
        <v/>
      </c>
      <c r="P373" s="25">
        <f t="shared" si="6"/>
        <v>0</v>
      </c>
      <c r="Q373" s="25"/>
      <c r="R373" s="25"/>
      <c r="S373" s="25" t="str">
        <f t="shared" si="7"/>
        <v>Living</v>
      </c>
    </row>
    <row r="374" ht="15.75" customHeight="1">
      <c r="A374" s="25" t="str">
        <f t="shared" si="1"/>
        <v>P373</v>
      </c>
      <c r="B374" s="71" t="s">
        <v>105</v>
      </c>
      <c r="C374" s="71" t="s">
        <v>110</v>
      </c>
      <c r="D374" s="71" t="s">
        <v>100</v>
      </c>
      <c r="E374" s="71" t="s">
        <v>108</v>
      </c>
      <c r="F374" s="25" t="s">
        <v>331</v>
      </c>
      <c r="G374" s="1" t="s">
        <v>35</v>
      </c>
      <c r="H374" s="25"/>
      <c r="I374" s="25"/>
      <c r="J374" s="25"/>
      <c r="K374" s="25">
        <f t="shared" si="2"/>
        <v>7</v>
      </c>
      <c r="L374" s="25" t="str">
        <f t="shared" si="8"/>
        <v>العبدالكريم</v>
      </c>
      <c r="M374" s="25" t="str">
        <f t="shared" si="3"/>
        <v>عبدالرحمن بن سعد بن محمد عبدالعزيز</v>
      </c>
      <c r="N374" s="25" t="str">
        <f t="shared" si="4"/>
        <v>عبدالرحمن bin سعد bin محمد Al-عبدالعزيز</v>
      </c>
      <c r="O374" s="25" t="str">
        <f t="shared" si="5"/>
        <v/>
      </c>
      <c r="P374" s="25">
        <f t="shared" si="6"/>
        <v>0</v>
      </c>
      <c r="Q374" s="25"/>
      <c r="R374" s="25"/>
      <c r="S374" s="25" t="str">
        <f t="shared" si="7"/>
        <v>Living</v>
      </c>
    </row>
    <row r="375" ht="15.75" customHeight="1">
      <c r="A375" s="25" t="str">
        <f t="shared" si="1"/>
        <v>P374</v>
      </c>
      <c r="B375" s="71" t="s">
        <v>102</v>
      </c>
      <c r="C375" s="71" t="s">
        <v>110</v>
      </c>
      <c r="D375" s="71" t="s">
        <v>100</v>
      </c>
      <c r="E375" s="71" t="s">
        <v>108</v>
      </c>
      <c r="F375" s="25" t="s">
        <v>331</v>
      </c>
      <c r="G375" s="1" t="s">
        <v>35</v>
      </c>
      <c r="H375" s="25"/>
      <c r="I375" s="25"/>
      <c r="J375" s="25"/>
      <c r="K375" s="25">
        <f t="shared" si="2"/>
        <v>7</v>
      </c>
      <c r="L375" s="25" t="str">
        <f t="shared" si="8"/>
        <v>العبدالكريم</v>
      </c>
      <c r="M375" s="25" t="str">
        <f t="shared" si="3"/>
        <v>ناصر بن سعد بن محمد عبدالعزيز</v>
      </c>
      <c r="N375" s="25" t="str">
        <f t="shared" si="4"/>
        <v>ناصر bin سعد bin محمد Al-عبدالعزيز</v>
      </c>
      <c r="O375" s="25" t="str">
        <f t="shared" si="5"/>
        <v/>
      </c>
      <c r="P375" s="25">
        <f t="shared" si="6"/>
        <v>0</v>
      </c>
      <c r="Q375" s="25"/>
      <c r="R375" s="25"/>
      <c r="S375" s="25" t="str">
        <f t="shared" si="7"/>
        <v>Living</v>
      </c>
    </row>
    <row r="376" ht="15.75" customHeight="1">
      <c r="A376" s="25" t="str">
        <f t="shared" si="1"/>
        <v>P375</v>
      </c>
      <c r="B376" s="71" t="s">
        <v>112</v>
      </c>
      <c r="C376" s="71" t="s">
        <v>110</v>
      </c>
      <c r="D376" s="71" t="s">
        <v>100</v>
      </c>
      <c r="E376" s="71" t="s">
        <v>108</v>
      </c>
      <c r="F376" s="25" t="s">
        <v>331</v>
      </c>
      <c r="G376" s="1" t="s">
        <v>35</v>
      </c>
      <c r="H376" s="25"/>
      <c r="I376" s="25"/>
      <c r="J376" s="25"/>
      <c r="K376" s="25">
        <f t="shared" si="2"/>
        <v>7</v>
      </c>
      <c r="L376" s="25" t="str">
        <f t="shared" si="8"/>
        <v>العبدالكريم</v>
      </c>
      <c r="M376" s="25" t="str">
        <f t="shared" si="3"/>
        <v>خالد بن سعد بن محمد عبدالعزيز</v>
      </c>
      <c r="N376" s="25" t="str">
        <f t="shared" si="4"/>
        <v>خالد bin سعد bin محمد Al-عبدالعزيز</v>
      </c>
      <c r="O376" s="25" t="str">
        <f t="shared" si="5"/>
        <v/>
      </c>
      <c r="P376" s="25">
        <f t="shared" si="6"/>
        <v>0</v>
      </c>
      <c r="Q376" s="25"/>
      <c r="R376" s="25"/>
      <c r="S376" s="25" t="str">
        <f t="shared" si="7"/>
        <v>Living</v>
      </c>
    </row>
    <row r="377" ht="15.75" customHeight="1">
      <c r="A377" s="25" t="str">
        <f t="shared" si="1"/>
        <v>P376</v>
      </c>
      <c r="B377" s="71" t="s">
        <v>116</v>
      </c>
      <c r="C377" s="71" t="s">
        <v>110</v>
      </c>
      <c r="D377" s="71" t="s">
        <v>100</v>
      </c>
      <c r="E377" s="71" t="s">
        <v>108</v>
      </c>
      <c r="F377" s="25" t="s">
        <v>331</v>
      </c>
      <c r="G377" s="1" t="s">
        <v>35</v>
      </c>
      <c r="H377" s="25"/>
      <c r="I377" s="25"/>
      <c r="J377" s="25"/>
      <c r="K377" s="25">
        <f t="shared" si="2"/>
        <v>7</v>
      </c>
      <c r="L377" s="25" t="str">
        <f t="shared" si="8"/>
        <v>العبدالكريم</v>
      </c>
      <c r="M377" s="25" t="str">
        <f t="shared" si="3"/>
        <v>فيصل بن سعد بن محمد عبدالعزيز</v>
      </c>
      <c r="N377" s="25" t="str">
        <f t="shared" si="4"/>
        <v>فيصل bin سعد bin محمد Al-عبدالعزيز</v>
      </c>
      <c r="O377" s="25" t="str">
        <f t="shared" si="5"/>
        <v/>
      </c>
      <c r="P377" s="25">
        <f t="shared" si="6"/>
        <v>0</v>
      </c>
      <c r="Q377" s="25"/>
      <c r="R377" s="25"/>
      <c r="S377" s="25" t="str">
        <f t="shared" si="7"/>
        <v>Living</v>
      </c>
    </row>
    <row r="378" ht="15.75" customHeight="1">
      <c r="A378" s="25" t="str">
        <f t="shared" si="1"/>
        <v>P377</v>
      </c>
      <c r="B378" s="71" t="s">
        <v>27</v>
      </c>
      <c r="C378" s="71" t="s">
        <v>110</v>
      </c>
      <c r="D378" s="71" t="s">
        <v>100</v>
      </c>
      <c r="E378" s="71" t="s">
        <v>108</v>
      </c>
      <c r="F378" s="25" t="s">
        <v>331</v>
      </c>
      <c r="G378" s="1" t="s">
        <v>35</v>
      </c>
      <c r="H378" s="25"/>
      <c r="I378" s="25"/>
      <c r="J378" s="25"/>
      <c r="K378" s="25">
        <f t="shared" si="2"/>
        <v>7</v>
      </c>
      <c r="L378" s="25" t="str">
        <f t="shared" si="8"/>
        <v>العبدالكريم</v>
      </c>
      <c r="M378" s="25" t="str">
        <f t="shared" si="3"/>
        <v>ابراهيم بن سعد بن محمد عبدالعزيز</v>
      </c>
      <c r="N378" s="25" t="str">
        <f t="shared" si="4"/>
        <v>ابراهيم bin سعد bin محمد Al-عبدالعزيز</v>
      </c>
      <c r="O378" s="25" t="str">
        <f t="shared" si="5"/>
        <v/>
      </c>
      <c r="P378" s="25">
        <f t="shared" si="6"/>
        <v>0</v>
      </c>
      <c r="Q378" s="25"/>
      <c r="R378" s="25"/>
      <c r="S378" s="25" t="str">
        <f t="shared" si="7"/>
        <v>Living</v>
      </c>
    </row>
    <row r="379" ht="15.75" customHeight="1">
      <c r="A379" s="25" t="str">
        <f t="shared" si="1"/>
        <v>P378</v>
      </c>
      <c r="B379" s="71" t="s">
        <v>31</v>
      </c>
      <c r="C379" s="71" t="s">
        <v>110</v>
      </c>
      <c r="D379" s="71" t="s">
        <v>100</v>
      </c>
      <c r="E379" s="71" t="s">
        <v>108</v>
      </c>
      <c r="F379" s="25" t="s">
        <v>331</v>
      </c>
      <c r="G379" s="1" t="s">
        <v>35</v>
      </c>
      <c r="H379" s="25"/>
      <c r="I379" s="25"/>
      <c r="J379" s="25"/>
      <c r="K379" s="25">
        <f t="shared" si="2"/>
        <v>7</v>
      </c>
      <c r="L379" s="25" t="str">
        <f t="shared" si="8"/>
        <v>العبدالكريم</v>
      </c>
      <c r="M379" s="25" t="str">
        <f t="shared" si="3"/>
        <v>حمد بن سعد بن محمد عبدالعزيز</v>
      </c>
      <c r="N379" s="25" t="str">
        <f t="shared" si="4"/>
        <v>حمد bin سعد bin محمد Al-عبدالعزيز</v>
      </c>
      <c r="O379" s="25" t="str">
        <f t="shared" si="5"/>
        <v/>
      </c>
      <c r="P379" s="25">
        <f t="shared" si="6"/>
        <v>0</v>
      </c>
      <c r="Q379" s="25"/>
      <c r="R379" s="25"/>
      <c r="S379" s="25" t="str">
        <f t="shared" si="7"/>
        <v>Living</v>
      </c>
    </row>
    <row r="380" ht="15.75" customHeight="1">
      <c r="A380" s="25" t="str">
        <f t="shared" si="1"/>
        <v>P379</v>
      </c>
      <c r="B380" s="71" t="s">
        <v>100</v>
      </c>
      <c r="C380" s="71" t="s">
        <v>110</v>
      </c>
      <c r="D380" s="71" t="s">
        <v>100</v>
      </c>
      <c r="E380" s="71" t="s">
        <v>108</v>
      </c>
      <c r="F380" s="25" t="s">
        <v>331</v>
      </c>
      <c r="G380" s="1" t="s">
        <v>35</v>
      </c>
      <c r="H380" s="25"/>
      <c r="I380" s="25"/>
      <c r="J380" s="25"/>
      <c r="K380" s="25">
        <f t="shared" si="2"/>
        <v>7</v>
      </c>
      <c r="L380" s="25" t="str">
        <f t="shared" si="8"/>
        <v>العبدالكريم</v>
      </c>
      <c r="M380" s="25" t="str">
        <f t="shared" si="3"/>
        <v>محمد بن سعد بن محمد عبدالعزيز</v>
      </c>
      <c r="N380" s="25" t="str">
        <f t="shared" si="4"/>
        <v>محمد bin سعد bin محمد Al-عبدالعزيز</v>
      </c>
      <c r="O380" s="25" t="str">
        <f t="shared" si="5"/>
        <v/>
      </c>
      <c r="P380" s="25">
        <f t="shared" si="6"/>
        <v>0</v>
      </c>
      <c r="Q380" s="25"/>
      <c r="R380" s="25"/>
      <c r="S380" s="25" t="str">
        <f t="shared" si="7"/>
        <v>Living</v>
      </c>
    </row>
    <row r="381" ht="15.75" customHeight="1">
      <c r="A381" s="25" t="str">
        <f t="shared" si="1"/>
        <v>P380</v>
      </c>
      <c r="B381" s="71" t="s">
        <v>146</v>
      </c>
      <c r="C381" s="71" t="s">
        <v>110</v>
      </c>
      <c r="D381" s="71" t="s">
        <v>100</v>
      </c>
      <c r="E381" s="71" t="s">
        <v>108</v>
      </c>
      <c r="F381" s="25" t="s">
        <v>331</v>
      </c>
      <c r="G381" s="1" t="s">
        <v>35</v>
      </c>
      <c r="H381" s="25"/>
      <c r="I381" s="25"/>
      <c r="J381" s="25"/>
      <c r="K381" s="25">
        <f t="shared" si="2"/>
        <v>7</v>
      </c>
      <c r="L381" s="25" t="str">
        <f t="shared" si="8"/>
        <v>العبدالكريم</v>
      </c>
      <c r="M381" s="25" t="str">
        <f t="shared" si="3"/>
        <v>بدر بن سعد بن محمد عبدالعزيز</v>
      </c>
      <c r="N381" s="25" t="str">
        <f t="shared" si="4"/>
        <v>بدر bin سعد bin محمد Al-عبدالعزيز</v>
      </c>
      <c r="O381" s="25" t="str">
        <f t="shared" si="5"/>
        <v/>
      </c>
      <c r="P381" s="25">
        <f t="shared" si="6"/>
        <v>0</v>
      </c>
      <c r="Q381" s="25"/>
      <c r="R381" s="25"/>
      <c r="S381" s="25" t="str">
        <f t="shared" si="7"/>
        <v>Living</v>
      </c>
    </row>
    <row r="382" ht="15.75" customHeight="1">
      <c r="A382" s="25" t="str">
        <f t="shared" si="1"/>
        <v>P381</v>
      </c>
      <c r="B382" s="71" t="s">
        <v>333</v>
      </c>
      <c r="C382" s="71" t="s">
        <v>27</v>
      </c>
      <c r="D382" s="71" t="s">
        <v>110</v>
      </c>
      <c r="E382" s="71" t="s">
        <v>100</v>
      </c>
      <c r="F382" s="25" t="s">
        <v>334</v>
      </c>
      <c r="G382" s="1" t="s">
        <v>35</v>
      </c>
      <c r="H382" s="25"/>
      <c r="I382" s="25"/>
      <c r="J382" s="25"/>
      <c r="K382" s="25">
        <f t="shared" si="2"/>
        <v>8</v>
      </c>
      <c r="L382" s="25" t="str">
        <f t="shared" si="8"/>
        <v>العبدالكريم</v>
      </c>
      <c r="M382" s="25" t="str">
        <f t="shared" si="3"/>
        <v>جهاد بن ابراهيم بن سعد محمد</v>
      </c>
      <c r="N382" s="25" t="str">
        <f t="shared" si="4"/>
        <v>جهاد bin ابراهيم bin سعد Al-محمد</v>
      </c>
      <c r="O382" s="25" t="str">
        <f t="shared" si="5"/>
        <v/>
      </c>
      <c r="P382" s="25">
        <f t="shared" si="6"/>
        <v>0</v>
      </c>
      <c r="Q382" s="25"/>
      <c r="R382" s="25"/>
      <c r="S382" s="25" t="str">
        <f t="shared" si="7"/>
        <v>Living</v>
      </c>
    </row>
    <row r="383" ht="15.75" hidden="1" customHeight="1">
      <c r="A383" s="25" t="str">
        <f t="shared" si="1"/>
        <v>P382</v>
      </c>
      <c r="B383" s="71" t="s">
        <v>105</v>
      </c>
      <c r="C383" s="71" t="s">
        <v>104</v>
      </c>
      <c r="D383" s="71" t="s">
        <v>102</v>
      </c>
      <c r="E383" s="71" t="s">
        <v>27</v>
      </c>
      <c r="F383" s="25" t="s">
        <v>335</v>
      </c>
      <c r="G383" s="1" t="s">
        <v>35</v>
      </c>
      <c r="H383" s="25"/>
      <c r="I383" s="25"/>
      <c r="J383" s="25"/>
      <c r="K383" s="25">
        <f t="shared" si="2"/>
        <v>5</v>
      </c>
      <c r="L383" s="25" t="str">
        <f t="shared" si="8"/>
        <v>الابراهيم</v>
      </c>
      <c r="M383" s="25" t="str">
        <f t="shared" si="3"/>
        <v>عبدالرحمن بن عبدالمحسن بن ناصر ابراهيم</v>
      </c>
      <c r="N383" s="25" t="str">
        <f t="shared" si="4"/>
        <v>عبدالرحمن bin عبدالمحسن bin ناصر Al-ابراهيم</v>
      </c>
      <c r="O383" s="25" t="str">
        <f t="shared" si="5"/>
        <v/>
      </c>
      <c r="P383" s="25">
        <f t="shared" si="6"/>
        <v>0</v>
      </c>
      <c r="Q383" s="25"/>
      <c r="R383" s="25"/>
      <c r="S383" s="25" t="str">
        <f t="shared" si="7"/>
        <v>Living</v>
      </c>
    </row>
    <row r="384" ht="15.75" hidden="1" customHeight="1">
      <c r="A384" s="25" t="str">
        <f t="shared" si="1"/>
        <v>P383</v>
      </c>
      <c r="B384" s="71" t="s">
        <v>111</v>
      </c>
      <c r="C384" s="71" t="s">
        <v>105</v>
      </c>
      <c r="D384" s="71" t="s">
        <v>104</v>
      </c>
      <c r="E384" s="71" t="s">
        <v>102</v>
      </c>
      <c r="F384" s="25" t="s">
        <v>336</v>
      </c>
      <c r="G384" s="1" t="s">
        <v>35</v>
      </c>
      <c r="H384" s="25"/>
      <c r="I384" s="25"/>
      <c r="J384" s="25"/>
      <c r="K384" s="25">
        <f t="shared" si="2"/>
        <v>6</v>
      </c>
      <c r="L384" s="25" t="str">
        <f t="shared" si="8"/>
        <v>الابراهيم</v>
      </c>
      <c r="M384" s="25" t="str">
        <f t="shared" si="3"/>
        <v>فهد بن عبدالرحمن بن عبدالمحسن ناصر</v>
      </c>
      <c r="N384" s="25" t="str">
        <f t="shared" si="4"/>
        <v>فهد bin عبدالرحمن bin عبدالمحسن Al-ناصر</v>
      </c>
      <c r="O384" s="25" t="str">
        <f t="shared" si="5"/>
        <v/>
      </c>
      <c r="P384" s="25">
        <f t="shared" si="6"/>
        <v>0</v>
      </c>
      <c r="Q384" s="25"/>
      <c r="R384" s="25"/>
      <c r="S384" s="25" t="str">
        <f t="shared" si="7"/>
        <v>Living</v>
      </c>
    </row>
    <row r="385" ht="15.75" hidden="1" customHeight="1">
      <c r="A385" s="25" t="str">
        <f t="shared" si="1"/>
        <v>P384</v>
      </c>
      <c r="B385" s="71" t="s">
        <v>337</v>
      </c>
      <c r="C385" s="71" t="s">
        <v>105</v>
      </c>
      <c r="D385" s="71" t="s">
        <v>104</v>
      </c>
      <c r="E385" s="71" t="s">
        <v>102</v>
      </c>
      <c r="F385" s="25" t="s">
        <v>336</v>
      </c>
      <c r="G385" s="1" t="s">
        <v>35</v>
      </c>
      <c r="H385" s="25"/>
      <c r="I385" s="25"/>
      <c r="J385" s="25"/>
      <c r="K385" s="25">
        <f t="shared" si="2"/>
        <v>6</v>
      </c>
      <c r="L385" s="25" t="str">
        <f t="shared" si="8"/>
        <v>الابراهيم</v>
      </c>
      <c r="M385" s="25" t="str">
        <f t="shared" si="3"/>
        <v>صلاح بن عبدالرحمن بن عبدالمحسن ناصر</v>
      </c>
      <c r="N385" s="25" t="str">
        <f t="shared" si="4"/>
        <v>صلاح bin عبدالرحمن bin عبدالمحسن Al-ناصر</v>
      </c>
      <c r="O385" s="25" t="str">
        <f t="shared" si="5"/>
        <v/>
      </c>
      <c r="P385" s="25">
        <f t="shared" si="6"/>
        <v>0</v>
      </c>
      <c r="Q385" s="25"/>
      <c r="R385" s="25"/>
      <c r="S385" s="25" t="str">
        <f t="shared" si="7"/>
        <v>Living</v>
      </c>
    </row>
    <row r="386" ht="15.75" hidden="1" customHeight="1">
      <c r="A386" s="25" t="str">
        <f t="shared" si="1"/>
        <v>P385</v>
      </c>
      <c r="B386" s="71" t="s">
        <v>100</v>
      </c>
      <c r="C386" s="71" t="s">
        <v>105</v>
      </c>
      <c r="D386" s="71" t="s">
        <v>104</v>
      </c>
      <c r="E386" s="71" t="s">
        <v>102</v>
      </c>
      <c r="F386" s="25" t="s">
        <v>336</v>
      </c>
      <c r="G386" s="1" t="s">
        <v>35</v>
      </c>
      <c r="H386" s="25"/>
      <c r="I386" s="25"/>
      <c r="J386" s="25"/>
      <c r="K386" s="25">
        <f t="shared" si="2"/>
        <v>6</v>
      </c>
      <c r="L386" s="25" t="str">
        <f t="shared" si="8"/>
        <v>الابراهيم</v>
      </c>
      <c r="M386" s="25" t="str">
        <f t="shared" si="3"/>
        <v>محمد بن عبدالرحمن بن عبدالمحسن ناصر</v>
      </c>
      <c r="N386" s="25" t="str">
        <f t="shared" si="4"/>
        <v>محمد bin عبدالرحمن bin عبدالمحسن Al-ناصر</v>
      </c>
      <c r="O386" s="25" t="str">
        <f t="shared" si="5"/>
        <v/>
      </c>
      <c r="P386" s="25">
        <f t="shared" si="6"/>
        <v>0</v>
      </c>
      <c r="Q386" s="25"/>
      <c r="R386" s="25"/>
      <c r="S386" s="25" t="str">
        <f t="shared" si="7"/>
        <v>Living</v>
      </c>
    </row>
    <row r="387" ht="15.75" hidden="1" customHeight="1">
      <c r="A387" s="25" t="str">
        <f t="shared" si="1"/>
        <v>P386</v>
      </c>
      <c r="B387" s="71" t="s">
        <v>104</v>
      </c>
      <c r="C387" s="71" t="s">
        <v>105</v>
      </c>
      <c r="D387" s="71" t="s">
        <v>104</v>
      </c>
      <c r="E387" s="71" t="s">
        <v>102</v>
      </c>
      <c r="F387" s="25" t="s">
        <v>336</v>
      </c>
      <c r="G387" s="1" t="s">
        <v>35</v>
      </c>
      <c r="H387" s="25"/>
      <c r="I387" s="25"/>
      <c r="J387" s="25"/>
      <c r="K387" s="25">
        <f t="shared" si="2"/>
        <v>6</v>
      </c>
      <c r="L387" s="25" t="str">
        <f t="shared" si="8"/>
        <v>الابراهيم</v>
      </c>
      <c r="M387" s="25" t="str">
        <f t="shared" si="3"/>
        <v>عبدالمحسن بن عبدالرحمن بن عبدالمحسن ناصر</v>
      </c>
      <c r="N387" s="25" t="str">
        <f t="shared" si="4"/>
        <v>عبدالمحسن bin عبدالرحمن bin عبدالمحسن Al-ناصر</v>
      </c>
      <c r="O387" s="25" t="str">
        <f t="shared" si="5"/>
        <v/>
      </c>
      <c r="P387" s="25">
        <f t="shared" si="6"/>
        <v>0</v>
      </c>
      <c r="Q387" s="25"/>
      <c r="R387" s="25"/>
      <c r="S387" s="25" t="str">
        <f t="shared" si="7"/>
        <v>Living</v>
      </c>
    </row>
    <row r="388" ht="15.75" hidden="1" customHeight="1">
      <c r="A388" s="25" t="str">
        <f t="shared" si="1"/>
        <v>P387</v>
      </c>
      <c r="B388" s="71" t="s">
        <v>289</v>
      </c>
      <c r="C388" s="71" t="s">
        <v>105</v>
      </c>
      <c r="D388" s="71" t="s">
        <v>104</v>
      </c>
      <c r="E388" s="71" t="s">
        <v>102</v>
      </c>
      <c r="F388" s="25" t="s">
        <v>336</v>
      </c>
      <c r="G388" s="1" t="s">
        <v>132</v>
      </c>
      <c r="H388" s="25"/>
      <c r="I388" s="25"/>
      <c r="J388" s="25"/>
      <c r="K388" s="25">
        <f t="shared" si="2"/>
        <v>6</v>
      </c>
      <c r="L388" s="25" t="str">
        <f t="shared" si="8"/>
        <v>الابراهيم</v>
      </c>
      <c r="M388" s="25" t="str">
        <f t="shared" si="3"/>
        <v>هالة بن عبدالرحمن بن عبدالمحسن ناصر</v>
      </c>
      <c r="N388" s="25" t="str">
        <f t="shared" si="4"/>
        <v>هالة bin عبدالرحمن bin عبدالمحسن Al-ناصر</v>
      </c>
      <c r="O388" s="25" t="str">
        <f t="shared" si="5"/>
        <v/>
      </c>
      <c r="P388" s="25">
        <f t="shared" si="6"/>
        <v>0</v>
      </c>
      <c r="Q388" s="25"/>
      <c r="R388" s="25"/>
      <c r="S388" s="25" t="str">
        <f t="shared" si="7"/>
        <v>Living</v>
      </c>
    </row>
    <row r="389" ht="15.75" hidden="1" customHeight="1">
      <c r="A389" s="25" t="str">
        <f t="shared" si="1"/>
        <v>P388</v>
      </c>
      <c r="B389" s="71" t="s">
        <v>338</v>
      </c>
      <c r="C389" s="71" t="s">
        <v>105</v>
      </c>
      <c r="D389" s="71" t="s">
        <v>104</v>
      </c>
      <c r="E389" s="71" t="s">
        <v>102</v>
      </c>
      <c r="F389" s="25" t="s">
        <v>336</v>
      </c>
      <c r="G389" s="1" t="s">
        <v>132</v>
      </c>
      <c r="H389" s="25"/>
      <c r="I389" s="25"/>
      <c r="J389" s="25"/>
      <c r="K389" s="25">
        <f t="shared" si="2"/>
        <v>6</v>
      </c>
      <c r="L389" s="25" t="str">
        <f t="shared" si="8"/>
        <v>الابراهيم</v>
      </c>
      <c r="M389" s="25" t="str">
        <f t="shared" si="3"/>
        <v>تهاني بن عبدالرحمن بن عبدالمحسن ناصر</v>
      </c>
      <c r="N389" s="25" t="str">
        <f t="shared" si="4"/>
        <v>تهاني bin عبدالرحمن bin عبدالمحسن Al-ناصر</v>
      </c>
      <c r="O389" s="25" t="str">
        <f t="shared" si="5"/>
        <v/>
      </c>
      <c r="P389" s="25">
        <f t="shared" si="6"/>
        <v>0</v>
      </c>
      <c r="Q389" s="25"/>
      <c r="R389" s="25"/>
      <c r="S389" s="25" t="str">
        <f t="shared" si="7"/>
        <v>Living</v>
      </c>
    </row>
    <row r="390" ht="15.75" customHeight="1">
      <c r="A390" s="25" t="str">
        <f t="shared" si="1"/>
        <v>P389</v>
      </c>
      <c r="B390" s="71" t="s">
        <v>27</v>
      </c>
      <c r="C390" s="71" t="s">
        <v>111</v>
      </c>
      <c r="D390" s="71" t="s">
        <v>119</v>
      </c>
      <c r="E390" s="71" t="s">
        <v>96</v>
      </c>
      <c r="F390" s="25" t="s">
        <v>319</v>
      </c>
      <c r="G390" s="1" t="s">
        <v>35</v>
      </c>
      <c r="H390" s="25"/>
      <c r="I390" s="25"/>
      <c r="J390" s="25"/>
      <c r="K390" s="25">
        <f t="shared" si="2"/>
        <v>7</v>
      </c>
      <c r="L390" s="25" t="str">
        <f t="shared" si="8"/>
        <v>العبدالكريم</v>
      </c>
      <c r="M390" s="25" t="str">
        <f t="shared" si="3"/>
        <v>ابراهيم بن فهد بن عبدالله عبدالكريم</v>
      </c>
      <c r="N390" s="25" t="str">
        <f t="shared" si="4"/>
        <v>ابراهيم bin فهد bin عبدالله Al-عبدالكريم</v>
      </c>
      <c r="O390" s="25" t="str">
        <f t="shared" si="5"/>
        <v/>
      </c>
      <c r="P390" s="25">
        <f t="shared" si="6"/>
        <v>0</v>
      </c>
      <c r="Q390" s="25"/>
      <c r="R390" s="25"/>
      <c r="S390" s="25" t="str">
        <f t="shared" si="7"/>
        <v>Living</v>
      </c>
    </row>
    <row r="391" ht="15.75" customHeight="1">
      <c r="A391" s="25" t="str">
        <f t="shared" si="1"/>
        <v>P390</v>
      </c>
      <c r="B391" s="25"/>
      <c r="G391" s="25"/>
      <c r="K391" s="25">
        <f t="shared" si="2"/>
        <v>1</v>
      </c>
      <c r="L391" s="25" t="str">
        <f t="shared" si="8"/>
        <v>الأصل</v>
      </c>
      <c r="M391" s="25" t="str">
        <f t="shared" si="3"/>
        <v/>
      </c>
      <c r="N391" s="25" t="str">
        <f t="shared" si="4"/>
        <v/>
      </c>
      <c r="O391" s="25" t="str">
        <f t="shared" si="5"/>
        <v/>
      </c>
      <c r="P391" s="25">
        <f t="shared" si="6"/>
        <v>0</v>
      </c>
      <c r="S391" s="25" t="str">
        <f t="shared" si="7"/>
        <v/>
      </c>
    </row>
    <row r="392" ht="15.75" customHeight="1">
      <c r="A392" s="25" t="str">
        <f t="shared" si="1"/>
        <v>P391</v>
      </c>
      <c r="B392" s="25"/>
      <c r="G392" s="25"/>
      <c r="K392" s="25">
        <f t="shared" si="2"/>
        <v>1</v>
      </c>
      <c r="L392" s="25" t="str">
        <f t="shared" si="8"/>
        <v>الأصل</v>
      </c>
      <c r="M392" s="25" t="str">
        <f t="shared" si="3"/>
        <v/>
      </c>
      <c r="N392" s="25" t="str">
        <f t="shared" si="4"/>
        <v/>
      </c>
      <c r="O392" s="25" t="str">
        <f t="shared" si="5"/>
        <v/>
      </c>
      <c r="P392" s="25">
        <f t="shared" si="6"/>
        <v>0</v>
      </c>
      <c r="S392" s="25" t="str">
        <f t="shared" si="7"/>
        <v/>
      </c>
    </row>
    <row r="393" ht="15.75" customHeight="1">
      <c r="A393" s="25" t="str">
        <f t="shared" si="1"/>
        <v>P392</v>
      </c>
      <c r="B393" s="25"/>
      <c r="G393" s="25"/>
      <c r="K393" s="25">
        <f t="shared" si="2"/>
        <v>1</v>
      </c>
      <c r="L393" s="25" t="str">
        <f t="shared" si="8"/>
        <v>الأصل</v>
      </c>
      <c r="M393" s="25" t="str">
        <f t="shared" si="3"/>
        <v/>
      </c>
      <c r="N393" s="25" t="str">
        <f t="shared" si="4"/>
        <v/>
      </c>
      <c r="O393" s="25" t="str">
        <f t="shared" si="5"/>
        <v/>
      </c>
      <c r="P393" s="25">
        <f t="shared" si="6"/>
        <v>0</v>
      </c>
      <c r="S393" s="25" t="str">
        <f t="shared" si="7"/>
        <v/>
      </c>
    </row>
    <row r="394" ht="15.75" customHeight="1">
      <c r="A394" s="25" t="str">
        <f t="shared" si="1"/>
        <v>P393</v>
      </c>
      <c r="B394" s="25"/>
      <c r="G394" s="25"/>
      <c r="K394" s="25">
        <f t="shared" si="2"/>
        <v>1</v>
      </c>
      <c r="L394" s="25" t="str">
        <f t="shared" si="8"/>
        <v>الأصل</v>
      </c>
      <c r="M394" s="25" t="str">
        <f t="shared" si="3"/>
        <v/>
      </c>
      <c r="N394" s="25" t="str">
        <f t="shared" si="4"/>
        <v/>
      </c>
      <c r="O394" s="25" t="str">
        <f t="shared" si="5"/>
        <v/>
      </c>
      <c r="P394" s="25">
        <f t="shared" si="6"/>
        <v>0</v>
      </c>
      <c r="S394" s="25" t="str">
        <f t="shared" si="7"/>
        <v/>
      </c>
    </row>
    <row r="395" ht="15.75" customHeight="1">
      <c r="A395" s="25" t="str">
        <f t="shared" si="1"/>
        <v>P394</v>
      </c>
      <c r="B395" s="25"/>
      <c r="G395" s="25"/>
      <c r="K395" s="25">
        <f t="shared" si="2"/>
        <v>1</v>
      </c>
      <c r="L395" s="25" t="str">
        <f t="shared" si="8"/>
        <v>الأصل</v>
      </c>
      <c r="M395" s="25" t="str">
        <f t="shared" si="3"/>
        <v/>
      </c>
      <c r="N395" s="25" t="str">
        <f t="shared" si="4"/>
        <v/>
      </c>
      <c r="O395" s="25" t="str">
        <f t="shared" si="5"/>
        <v/>
      </c>
      <c r="P395" s="25">
        <f t="shared" si="6"/>
        <v>0</v>
      </c>
      <c r="S395" s="25" t="str">
        <f t="shared" si="7"/>
        <v/>
      </c>
    </row>
    <row r="396" ht="15.75" customHeight="1">
      <c r="A396" s="25" t="str">
        <f t="shared" si="1"/>
        <v>P395</v>
      </c>
      <c r="B396" s="25"/>
      <c r="G396" s="25"/>
      <c r="K396" s="25">
        <f t="shared" si="2"/>
        <v>1</v>
      </c>
      <c r="L396" s="25" t="str">
        <f t="shared" si="8"/>
        <v>الأصل</v>
      </c>
      <c r="M396" s="25" t="str">
        <f t="shared" si="3"/>
        <v/>
      </c>
      <c r="N396" s="25" t="str">
        <f t="shared" si="4"/>
        <v/>
      </c>
      <c r="O396" s="25" t="str">
        <f t="shared" si="5"/>
        <v/>
      </c>
      <c r="P396" s="25">
        <f t="shared" si="6"/>
        <v>0</v>
      </c>
      <c r="S396" s="25" t="str">
        <f t="shared" si="7"/>
        <v/>
      </c>
    </row>
    <row r="397" ht="15.75" customHeight="1">
      <c r="A397" s="25" t="str">
        <f t="shared" si="1"/>
        <v>P396</v>
      </c>
      <c r="B397" s="25"/>
      <c r="G397" s="25"/>
      <c r="K397" s="25">
        <f t="shared" si="2"/>
        <v>1</v>
      </c>
      <c r="L397" s="25" t="str">
        <f t="shared" si="8"/>
        <v>الأصل</v>
      </c>
      <c r="M397" s="25" t="str">
        <f t="shared" si="3"/>
        <v/>
      </c>
      <c r="N397" s="25" t="str">
        <f t="shared" si="4"/>
        <v/>
      </c>
      <c r="O397" s="25" t="str">
        <f t="shared" si="5"/>
        <v/>
      </c>
      <c r="P397" s="25">
        <f t="shared" si="6"/>
        <v>0</v>
      </c>
      <c r="S397" s="25" t="str">
        <f t="shared" si="7"/>
        <v/>
      </c>
    </row>
    <row r="398" ht="15.75" customHeight="1">
      <c r="A398" s="25" t="str">
        <f t="shared" si="1"/>
        <v>P397</v>
      </c>
      <c r="B398" s="25"/>
      <c r="G398" s="25"/>
      <c r="K398" s="25">
        <f t="shared" si="2"/>
        <v>1</v>
      </c>
      <c r="L398" s="25" t="str">
        <f t="shared" si="8"/>
        <v>الأصل</v>
      </c>
      <c r="M398" s="25" t="str">
        <f t="shared" si="3"/>
        <v/>
      </c>
      <c r="N398" s="25" t="str">
        <f t="shared" si="4"/>
        <v/>
      </c>
      <c r="O398" s="25" t="str">
        <f t="shared" si="5"/>
        <v/>
      </c>
      <c r="P398" s="25">
        <f t="shared" si="6"/>
        <v>0</v>
      </c>
      <c r="S398" s="25" t="str">
        <f t="shared" si="7"/>
        <v/>
      </c>
    </row>
    <row r="399" ht="15.75" customHeight="1">
      <c r="A399" s="25" t="str">
        <f t="shared" si="1"/>
        <v>P398</v>
      </c>
      <c r="B399" s="25"/>
      <c r="G399" s="25"/>
      <c r="K399" s="25">
        <f t="shared" si="2"/>
        <v>1</v>
      </c>
      <c r="L399" s="25" t="str">
        <f t="shared" si="8"/>
        <v>الأصل</v>
      </c>
      <c r="M399" s="25" t="str">
        <f t="shared" si="3"/>
        <v/>
      </c>
      <c r="N399" s="25" t="str">
        <f t="shared" si="4"/>
        <v/>
      </c>
      <c r="O399" s="25" t="str">
        <f t="shared" si="5"/>
        <v/>
      </c>
      <c r="P399" s="25">
        <f t="shared" si="6"/>
        <v>0</v>
      </c>
      <c r="S399" s="25" t="str">
        <f t="shared" si="7"/>
        <v/>
      </c>
    </row>
    <row r="400" ht="15.75" customHeight="1">
      <c r="A400" s="25" t="str">
        <f t="shared" si="1"/>
        <v>P399</v>
      </c>
      <c r="B400" s="25"/>
      <c r="G400" s="25"/>
      <c r="K400" s="25">
        <f t="shared" si="2"/>
        <v>1</v>
      </c>
      <c r="L400" s="25" t="str">
        <f t="shared" si="8"/>
        <v>الأصل</v>
      </c>
      <c r="M400" s="25" t="str">
        <f t="shared" si="3"/>
        <v/>
      </c>
      <c r="N400" s="25" t="str">
        <f t="shared" si="4"/>
        <v/>
      </c>
      <c r="O400" s="25" t="str">
        <f t="shared" si="5"/>
        <v/>
      </c>
      <c r="P400" s="25">
        <f t="shared" si="6"/>
        <v>0</v>
      </c>
      <c r="S400" s="25" t="str">
        <f t="shared" si="7"/>
        <v/>
      </c>
    </row>
    <row r="401" ht="15.75" customHeight="1">
      <c r="A401" s="25" t="str">
        <f t="shared" si="1"/>
        <v>P400</v>
      </c>
      <c r="B401" s="25"/>
      <c r="G401" s="25"/>
      <c r="K401" s="25">
        <f t="shared" si="2"/>
        <v>1</v>
      </c>
      <c r="L401" s="25" t="str">
        <f t="shared" si="8"/>
        <v>الأصل</v>
      </c>
      <c r="M401" s="25" t="str">
        <f t="shared" si="3"/>
        <v/>
      </c>
      <c r="N401" s="25" t="str">
        <f t="shared" si="4"/>
        <v/>
      </c>
      <c r="O401" s="25" t="str">
        <f t="shared" si="5"/>
        <v/>
      </c>
      <c r="P401" s="25">
        <f t="shared" si="6"/>
        <v>0</v>
      </c>
      <c r="S401" s="25" t="str">
        <f t="shared" si="7"/>
        <v/>
      </c>
    </row>
    <row r="402" ht="15.75" customHeight="1">
      <c r="A402" s="25" t="str">
        <f t="shared" si="1"/>
        <v>P401</v>
      </c>
      <c r="B402" s="25"/>
      <c r="G402" s="25"/>
      <c r="K402" s="25">
        <f t="shared" si="2"/>
        <v>1</v>
      </c>
      <c r="L402" s="25" t="str">
        <f t="shared" si="8"/>
        <v>الأصل</v>
      </c>
      <c r="M402" s="25" t="str">
        <f t="shared" si="3"/>
        <v/>
      </c>
      <c r="N402" s="25" t="str">
        <f t="shared" si="4"/>
        <v/>
      </c>
      <c r="O402" s="25" t="str">
        <f t="shared" si="5"/>
        <v/>
      </c>
      <c r="P402" s="25">
        <f t="shared" si="6"/>
        <v>0</v>
      </c>
      <c r="S402" s="25" t="str">
        <f t="shared" si="7"/>
        <v/>
      </c>
    </row>
    <row r="403" ht="15.75" customHeight="1">
      <c r="A403" s="25" t="str">
        <f t="shared" si="1"/>
        <v>P402</v>
      </c>
      <c r="B403" s="25"/>
      <c r="G403" s="25"/>
      <c r="K403" s="25">
        <f t="shared" si="2"/>
        <v>1</v>
      </c>
      <c r="L403" s="25" t="str">
        <f t="shared" si="8"/>
        <v>الأصل</v>
      </c>
      <c r="M403" s="25" t="str">
        <f t="shared" si="3"/>
        <v/>
      </c>
      <c r="N403" s="25" t="str">
        <f t="shared" si="4"/>
        <v/>
      </c>
      <c r="O403" s="25" t="str">
        <f t="shared" si="5"/>
        <v/>
      </c>
      <c r="P403" s="25">
        <f t="shared" si="6"/>
        <v>0</v>
      </c>
      <c r="S403" s="25" t="str">
        <f t="shared" si="7"/>
        <v/>
      </c>
    </row>
    <row r="404" ht="15.75" customHeight="1">
      <c r="A404" s="25" t="str">
        <f t="shared" si="1"/>
        <v>P403</v>
      </c>
      <c r="B404" s="25"/>
      <c r="G404" s="25"/>
      <c r="K404" s="25">
        <f t="shared" si="2"/>
        <v>1</v>
      </c>
      <c r="L404" s="25" t="str">
        <f t="shared" si="8"/>
        <v>الأصل</v>
      </c>
      <c r="M404" s="25" t="str">
        <f t="shared" si="3"/>
        <v/>
      </c>
      <c r="N404" s="25" t="str">
        <f t="shared" si="4"/>
        <v/>
      </c>
      <c r="O404" s="25" t="str">
        <f t="shared" si="5"/>
        <v/>
      </c>
      <c r="P404" s="25">
        <f t="shared" si="6"/>
        <v>0</v>
      </c>
      <c r="S404" s="25" t="str">
        <f t="shared" si="7"/>
        <v/>
      </c>
    </row>
    <row r="405" ht="15.75" customHeight="1">
      <c r="A405" s="25" t="str">
        <f t="shared" si="1"/>
        <v>P404</v>
      </c>
      <c r="B405" s="25"/>
      <c r="G405" s="25"/>
      <c r="K405" s="25">
        <f t="shared" si="2"/>
        <v>1</v>
      </c>
      <c r="L405" s="25" t="str">
        <f t="shared" si="8"/>
        <v>الأصل</v>
      </c>
      <c r="M405" s="25" t="str">
        <f t="shared" si="3"/>
        <v/>
      </c>
      <c r="N405" s="25" t="str">
        <f t="shared" si="4"/>
        <v/>
      </c>
      <c r="O405" s="25" t="str">
        <f t="shared" si="5"/>
        <v/>
      </c>
      <c r="P405" s="25">
        <f t="shared" si="6"/>
        <v>0</v>
      </c>
      <c r="S405" s="25" t="str">
        <f t="shared" si="7"/>
        <v/>
      </c>
    </row>
    <row r="406" ht="15.75" customHeight="1">
      <c r="A406" s="25" t="str">
        <f t="shared" si="1"/>
        <v>P405</v>
      </c>
      <c r="B406" s="25"/>
      <c r="G406" s="25"/>
      <c r="K406" s="25">
        <f t="shared" si="2"/>
        <v>1</v>
      </c>
      <c r="L406" s="25" t="str">
        <f t="shared" si="8"/>
        <v>الأصل</v>
      </c>
      <c r="M406" s="25" t="str">
        <f t="shared" si="3"/>
        <v/>
      </c>
      <c r="N406" s="25" t="str">
        <f t="shared" si="4"/>
        <v/>
      </c>
      <c r="O406" s="25" t="str">
        <f t="shared" si="5"/>
        <v/>
      </c>
      <c r="P406" s="25">
        <f t="shared" si="6"/>
        <v>0</v>
      </c>
      <c r="S406" s="25" t="str">
        <f t="shared" si="7"/>
        <v/>
      </c>
    </row>
    <row r="407" ht="15.75" customHeight="1">
      <c r="A407" s="25" t="str">
        <f t="shared" si="1"/>
        <v>P406</v>
      </c>
      <c r="B407" s="25"/>
      <c r="G407" s="25"/>
      <c r="K407" s="25">
        <f t="shared" si="2"/>
        <v>1</v>
      </c>
      <c r="L407" s="25" t="str">
        <f t="shared" si="8"/>
        <v>الأصل</v>
      </c>
      <c r="M407" s="25" t="str">
        <f t="shared" si="3"/>
        <v/>
      </c>
      <c r="N407" s="25" t="str">
        <f t="shared" si="4"/>
        <v/>
      </c>
      <c r="O407" s="25" t="str">
        <f t="shared" si="5"/>
        <v/>
      </c>
      <c r="P407" s="25">
        <f t="shared" si="6"/>
        <v>0</v>
      </c>
      <c r="S407" s="25" t="str">
        <f t="shared" si="7"/>
        <v/>
      </c>
    </row>
    <row r="408" ht="15.75" customHeight="1">
      <c r="A408" s="25" t="str">
        <f t="shared" si="1"/>
        <v>P407</v>
      </c>
      <c r="B408" s="25"/>
      <c r="G408" s="25"/>
      <c r="K408" s="25">
        <f t="shared" si="2"/>
        <v>1</v>
      </c>
      <c r="L408" s="25" t="str">
        <f t="shared" si="8"/>
        <v>الأصل</v>
      </c>
      <c r="M408" s="25" t="str">
        <f t="shared" si="3"/>
        <v/>
      </c>
      <c r="N408" s="25" t="str">
        <f t="shared" si="4"/>
        <v/>
      </c>
      <c r="O408" s="25" t="str">
        <f t="shared" si="5"/>
        <v/>
      </c>
      <c r="P408" s="25">
        <f t="shared" si="6"/>
        <v>0</v>
      </c>
      <c r="S408" s="25" t="str">
        <f t="shared" si="7"/>
        <v/>
      </c>
    </row>
    <row r="409" ht="15.75" customHeight="1">
      <c r="A409" s="25" t="str">
        <f t="shared" si="1"/>
        <v>P408</v>
      </c>
      <c r="B409" s="25"/>
      <c r="G409" s="25"/>
      <c r="K409" s="25">
        <f t="shared" si="2"/>
        <v>1</v>
      </c>
      <c r="L409" s="25" t="str">
        <f t="shared" si="8"/>
        <v>الأصل</v>
      </c>
      <c r="M409" s="25" t="str">
        <f t="shared" si="3"/>
        <v/>
      </c>
      <c r="N409" s="25" t="str">
        <f t="shared" si="4"/>
        <v/>
      </c>
      <c r="O409" s="25" t="str">
        <f t="shared" si="5"/>
        <v/>
      </c>
      <c r="P409" s="25">
        <f t="shared" si="6"/>
        <v>0</v>
      </c>
      <c r="S409" s="25" t="str">
        <f t="shared" si="7"/>
        <v/>
      </c>
    </row>
    <row r="410" ht="15.75" customHeight="1">
      <c r="A410" s="25" t="str">
        <f t="shared" si="1"/>
        <v>P409</v>
      </c>
      <c r="B410" s="25"/>
      <c r="G410" s="25"/>
      <c r="K410" s="25">
        <f t="shared" si="2"/>
        <v>1</v>
      </c>
      <c r="L410" s="25" t="str">
        <f t="shared" si="8"/>
        <v>الأصل</v>
      </c>
      <c r="M410" s="25" t="str">
        <f t="shared" si="3"/>
        <v/>
      </c>
      <c r="N410" s="25" t="str">
        <f t="shared" si="4"/>
        <v/>
      </c>
      <c r="O410" s="25" t="str">
        <f t="shared" si="5"/>
        <v/>
      </c>
      <c r="P410" s="25">
        <f t="shared" si="6"/>
        <v>0</v>
      </c>
      <c r="S410" s="25" t="str">
        <f t="shared" si="7"/>
        <v/>
      </c>
    </row>
    <row r="411" ht="15.75" customHeight="1">
      <c r="A411" s="25" t="str">
        <f t="shared" si="1"/>
        <v>P410</v>
      </c>
      <c r="B411" s="25"/>
      <c r="G411" s="25"/>
      <c r="K411" s="25">
        <f t="shared" si="2"/>
        <v>1</v>
      </c>
      <c r="L411" s="25" t="str">
        <f t="shared" si="8"/>
        <v>الأصل</v>
      </c>
      <c r="M411" s="25" t="str">
        <f t="shared" si="3"/>
        <v/>
      </c>
      <c r="N411" s="25" t="str">
        <f t="shared" si="4"/>
        <v/>
      </c>
      <c r="O411" s="25" t="str">
        <f t="shared" si="5"/>
        <v/>
      </c>
      <c r="P411" s="25">
        <f t="shared" si="6"/>
        <v>0</v>
      </c>
      <c r="S411" s="25" t="str">
        <f t="shared" si="7"/>
        <v/>
      </c>
    </row>
    <row r="412" ht="15.75" customHeight="1">
      <c r="A412" s="25" t="str">
        <f t="shared" si="1"/>
        <v>P411</v>
      </c>
      <c r="B412" s="25"/>
      <c r="G412" s="25"/>
      <c r="K412" s="25">
        <f t="shared" si="2"/>
        <v>1</v>
      </c>
      <c r="L412" s="25" t="str">
        <f t="shared" si="8"/>
        <v>الأصل</v>
      </c>
      <c r="M412" s="25" t="str">
        <f t="shared" si="3"/>
        <v/>
      </c>
      <c r="N412" s="25" t="str">
        <f t="shared" si="4"/>
        <v/>
      </c>
      <c r="O412" s="25" t="str">
        <f t="shared" si="5"/>
        <v/>
      </c>
      <c r="P412" s="25">
        <f t="shared" si="6"/>
        <v>0</v>
      </c>
      <c r="S412" s="25" t="str">
        <f t="shared" si="7"/>
        <v/>
      </c>
    </row>
    <row r="413" ht="15.75" customHeight="1">
      <c r="A413" s="25" t="str">
        <f t="shared" si="1"/>
        <v>P412</v>
      </c>
      <c r="B413" s="25"/>
      <c r="G413" s="25"/>
      <c r="K413" s="25">
        <f t="shared" si="2"/>
        <v>1</v>
      </c>
      <c r="L413" s="25" t="str">
        <f t="shared" si="8"/>
        <v>الأصل</v>
      </c>
      <c r="M413" s="25" t="str">
        <f t="shared" si="3"/>
        <v/>
      </c>
      <c r="N413" s="25" t="str">
        <f t="shared" si="4"/>
        <v/>
      </c>
      <c r="O413" s="25" t="str">
        <f t="shared" si="5"/>
        <v/>
      </c>
      <c r="P413" s="25">
        <f t="shared" si="6"/>
        <v>0</v>
      </c>
      <c r="S413" s="25" t="str">
        <f t="shared" si="7"/>
        <v/>
      </c>
    </row>
    <row r="414" ht="15.75" customHeight="1">
      <c r="A414" s="25" t="str">
        <f t="shared" si="1"/>
        <v>P413</v>
      </c>
      <c r="B414" s="25"/>
      <c r="G414" s="25"/>
      <c r="K414" s="25">
        <f t="shared" si="2"/>
        <v>1</v>
      </c>
      <c r="L414" s="25" t="str">
        <f t="shared" si="8"/>
        <v>الأصل</v>
      </c>
      <c r="M414" s="25" t="str">
        <f t="shared" si="3"/>
        <v/>
      </c>
      <c r="N414" s="25" t="str">
        <f t="shared" si="4"/>
        <v/>
      </c>
      <c r="O414" s="25" t="str">
        <f t="shared" si="5"/>
        <v/>
      </c>
      <c r="P414" s="25">
        <f t="shared" si="6"/>
        <v>0</v>
      </c>
      <c r="S414" s="25" t="str">
        <f t="shared" si="7"/>
        <v/>
      </c>
    </row>
    <row r="415" ht="15.75" customHeight="1">
      <c r="A415" s="25" t="str">
        <f t="shared" si="1"/>
        <v>P414</v>
      </c>
      <c r="B415" s="25"/>
      <c r="G415" s="25"/>
      <c r="K415" s="25">
        <f t="shared" si="2"/>
        <v>1</v>
      </c>
      <c r="L415" s="25" t="str">
        <f t="shared" si="8"/>
        <v>الأصل</v>
      </c>
      <c r="M415" s="25" t="str">
        <f t="shared" si="3"/>
        <v/>
      </c>
      <c r="N415" s="25" t="str">
        <f t="shared" si="4"/>
        <v/>
      </c>
      <c r="O415" s="25" t="str">
        <f t="shared" si="5"/>
        <v/>
      </c>
      <c r="P415" s="25">
        <f t="shared" si="6"/>
        <v>0</v>
      </c>
      <c r="S415" s="25" t="str">
        <f t="shared" si="7"/>
        <v/>
      </c>
    </row>
    <row r="416" ht="15.75" customHeight="1">
      <c r="A416" s="25" t="str">
        <f t="shared" si="1"/>
        <v>P415</v>
      </c>
      <c r="B416" s="25"/>
      <c r="G416" s="25"/>
      <c r="K416" s="25">
        <f t="shared" si="2"/>
        <v>1</v>
      </c>
      <c r="L416" s="25" t="str">
        <f t="shared" si="8"/>
        <v>الأصل</v>
      </c>
      <c r="M416" s="25" t="str">
        <f t="shared" si="3"/>
        <v/>
      </c>
      <c r="N416" s="25" t="str">
        <f t="shared" si="4"/>
        <v/>
      </c>
      <c r="O416" s="25" t="str">
        <f t="shared" si="5"/>
        <v/>
      </c>
      <c r="P416" s="25">
        <f t="shared" si="6"/>
        <v>0</v>
      </c>
      <c r="S416" s="25" t="str">
        <f t="shared" si="7"/>
        <v/>
      </c>
    </row>
    <row r="417" ht="15.75" customHeight="1">
      <c r="A417" s="25" t="str">
        <f t="shared" si="1"/>
        <v>P416</v>
      </c>
      <c r="B417" s="25"/>
      <c r="G417" s="25"/>
      <c r="K417" s="25">
        <f t="shared" si="2"/>
        <v>1</v>
      </c>
      <c r="L417" s="25" t="str">
        <f t="shared" si="8"/>
        <v>الأصل</v>
      </c>
      <c r="M417" s="25" t="str">
        <f t="shared" si="3"/>
        <v/>
      </c>
      <c r="N417" s="25" t="str">
        <f t="shared" si="4"/>
        <v/>
      </c>
      <c r="O417" s="25" t="str">
        <f t="shared" si="5"/>
        <v/>
      </c>
      <c r="P417" s="25">
        <f t="shared" si="6"/>
        <v>0</v>
      </c>
      <c r="S417" s="25" t="str">
        <f t="shared" si="7"/>
        <v/>
      </c>
    </row>
    <row r="418" ht="15.75" customHeight="1">
      <c r="A418" s="25" t="str">
        <f t="shared" si="1"/>
        <v>P417</v>
      </c>
      <c r="B418" s="25"/>
      <c r="G418" s="25"/>
      <c r="K418" s="25">
        <f t="shared" si="2"/>
        <v>1</v>
      </c>
      <c r="L418" s="25" t="str">
        <f t="shared" si="8"/>
        <v>الأصل</v>
      </c>
      <c r="M418" s="25" t="str">
        <f t="shared" si="3"/>
        <v/>
      </c>
      <c r="N418" s="25" t="str">
        <f t="shared" si="4"/>
        <v/>
      </c>
      <c r="O418" s="25" t="str">
        <f t="shared" si="5"/>
        <v/>
      </c>
      <c r="P418" s="25">
        <f t="shared" si="6"/>
        <v>0</v>
      </c>
      <c r="S418" s="25" t="str">
        <f t="shared" si="7"/>
        <v/>
      </c>
    </row>
    <row r="419" ht="15.75" customHeight="1">
      <c r="A419" s="25" t="str">
        <f t="shared" si="1"/>
        <v>P418</v>
      </c>
      <c r="B419" s="25"/>
      <c r="G419" s="25"/>
      <c r="K419" s="25">
        <f t="shared" si="2"/>
        <v>1</v>
      </c>
      <c r="L419" s="25" t="str">
        <f t="shared" si="8"/>
        <v>الأصل</v>
      </c>
      <c r="M419" s="25" t="str">
        <f t="shared" si="3"/>
        <v/>
      </c>
      <c r="N419" s="25" t="str">
        <f t="shared" si="4"/>
        <v/>
      </c>
      <c r="O419" s="25" t="str">
        <f t="shared" si="5"/>
        <v/>
      </c>
      <c r="P419" s="25">
        <f t="shared" si="6"/>
        <v>0</v>
      </c>
      <c r="S419" s="25" t="str">
        <f t="shared" si="7"/>
        <v/>
      </c>
    </row>
    <row r="420" ht="15.75" customHeight="1">
      <c r="A420" s="25" t="str">
        <f t="shared" si="1"/>
        <v>P419</v>
      </c>
      <c r="B420" s="25"/>
      <c r="G420" s="25"/>
      <c r="K420" s="25">
        <f t="shared" si="2"/>
        <v>1</v>
      </c>
      <c r="L420" s="25" t="str">
        <f t="shared" si="8"/>
        <v>الأصل</v>
      </c>
      <c r="M420" s="25" t="str">
        <f t="shared" si="3"/>
        <v/>
      </c>
      <c r="N420" s="25" t="str">
        <f t="shared" si="4"/>
        <v/>
      </c>
      <c r="O420" s="25" t="str">
        <f t="shared" si="5"/>
        <v/>
      </c>
      <c r="P420" s="25">
        <f t="shared" si="6"/>
        <v>0</v>
      </c>
      <c r="S420" s="25" t="str">
        <f t="shared" si="7"/>
        <v/>
      </c>
    </row>
    <row r="421" ht="15.75" customHeight="1">
      <c r="A421" s="25" t="str">
        <f t="shared" si="1"/>
        <v>P420</v>
      </c>
      <c r="B421" s="25"/>
      <c r="G421" s="25"/>
      <c r="K421" s="25">
        <f t="shared" si="2"/>
        <v>1</v>
      </c>
      <c r="L421" s="25" t="str">
        <f t="shared" si="8"/>
        <v>الأصل</v>
      </c>
      <c r="M421" s="25" t="str">
        <f t="shared" si="3"/>
        <v/>
      </c>
      <c r="N421" s="25" t="str">
        <f t="shared" si="4"/>
        <v/>
      </c>
      <c r="O421" s="25" t="str">
        <f t="shared" si="5"/>
        <v/>
      </c>
      <c r="P421" s="25">
        <f t="shared" si="6"/>
        <v>0</v>
      </c>
      <c r="S421" s="25" t="str">
        <f t="shared" si="7"/>
        <v/>
      </c>
    </row>
    <row r="422" ht="15.75" customHeight="1">
      <c r="A422" s="25" t="str">
        <f t="shared" si="1"/>
        <v>P421</v>
      </c>
      <c r="B422" s="25"/>
      <c r="G422" s="25"/>
      <c r="K422" s="25">
        <f t="shared" si="2"/>
        <v>1</v>
      </c>
      <c r="L422" s="25" t="str">
        <f t="shared" si="8"/>
        <v>الأصل</v>
      </c>
      <c r="M422" s="25" t="str">
        <f t="shared" si="3"/>
        <v/>
      </c>
      <c r="N422" s="25" t="str">
        <f t="shared" si="4"/>
        <v/>
      </c>
      <c r="O422" s="25" t="str">
        <f t="shared" si="5"/>
        <v/>
      </c>
      <c r="P422" s="25">
        <f t="shared" si="6"/>
        <v>0</v>
      </c>
      <c r="S422" s="25" t="str">
        <f t="shared" si="7"/>
        <v/>
      </c>
    </row>
    <row r="423" ht="15.75" customHeight="1">
      <c r="A423" s="25" t="str">
        <f t="shared" si="1"/>
        <v>P422</v>
      </c>
      <c r="B423" s="25"/>
      <c r="G423" s="25"/>
      <c r="K423" s="25">
        <f t="shared" si="2"/>
        <v>1</v>
      </c>
      <c r="L423" s="25" t="str">
        <f t="shared" si="8"/>
        <v>الأصل</v>
      </c>
      <c r="M423" s="25" t="str">
        <f t="shared" si="3"/>
        <v/>
      </c>
      <c r="N423" s="25" t="str">
        <f t="shared" si="4"/>
        <v/>
      </c>
      <c r="O423" s="25" t="str">
        <f t="shared" si="5"/>
        <v/>
      </c>
      <c r="P423" s="25">
        <f t="shared" si="6"/>
        <v>0</v>
      </c>
      <c r="S423" s="25" t="str">
        <f t="shared" si="7"/>
        <v/>
      </c>
    </row>
    <row r="424" ht="15.75" customHeight="1">
      <c r="A424" s="25" t="str">
        <f t="shared" si="1"/>
        <v>P423</v>
      </c>
      <c r="B424" s="25"/>
      <c r="G424" s="25"/>
      <c r="K424" s="25">
        <f t="shared" si="2"/>
        <v>1</v>
      </c>
      <c r="L424" s="25" t="str">
        <f t="shared" si="8"/>
        <v>الأصل</v>
      </c>
      <c r="M424" s="25" t="str">
        <f t="shared" si="3"/>
        <v/>
      </c>
      <c r="N424" s="25" t="str">
        <f t="shared" si="4"/>
        <v/>
      </c>
      <c r="O424" s="25" t="str">
        <f t="shared" si="5"/>
        <v/>
      </c>
      <c r="P424" s="25">
        <f t="shared" si="6"/>
        <v>0</v>
      </c>
      <c r="S424" s="25" t="str">
        <f t="shared" si="7"/>
        <v/>
      </c>
    </row>
    <row r="425" ht="15.75" customHeight="1">
      <c r="A425" s="25" t="str">
        <f t="shared" si="1"/>
        <v>P424</v>
      </c>
      <c r="B425" s="25"/>
      <c r="G425" s="25"/>
      <c r="K425" s="25">
        <f t="shared" si="2"/>
        <v>1</v>
      </c>
      <c r="L425" s="25" t="str">
        <f t="shared" si="8"/>
        <v>الأصل</v>
      </c>
      <c r="M425" s="25" t="str">
        <f t="shared" si="3"/>
        <v/>
      </c>
      <c r="N425" s="25" t="str">
        <f t="shared" si="4"/>
        <v/>
      </c>
      <c r="O425" s="25" t="str">
        <f t="shared" si="5"/>
        <v/>
      </c>
      <c r="P425" s="25">
        <f t="shared" si="6"/>
        <v>0</v>
      </c>
      <c r="S425" s="25" t="str">
        <f t="shared" si="7"/>
        <v/>
      </c>
    </row>
    <row r="426" ht="15.75" customHeight="1">
      <c r="A426" s="25" t="str">
        <f t="shared" si="1"/>
        <v>P425</v>
      </c>
      <c r="B426" s="25"/>
      <c r="G426" s="25"/>
      <c r="K426" s="25">
        <f t="shared" si="2"/>
        <v>1</v>
      </c>
      <c r="L426" s="25" t="str">
        <f t="shared" si="8"/>
        <v>الأصل</v>
      </c>
      <c r="M426" s="25" t="str">
        <f t="shared" si="3"/>
        <v/>
      </c>
      <c r="N426" s="25" t="str">
        <f t="shared" si="4"/>
        <v/>
      </c>
      <c r="O426" s="25" t="str">
        <f t="shared" si="5"/>
        <v/>
      </c>
      <c r="P426" s="25">
        <f t="shared" si="6"/>
        <v>0</v>
      </c>
      <c r="S426" s="25" t="str">
        <f t="shared" si="7"/>
        <v/>
      </c>
    </row>
    <row r="427" ht="15.75" customHeight="1">
      <c r="A427" s="25" t="str">
        <f t="shared" si="1"/>
        <v>P426</v>
      </c>
      <c r="B427" s="25"/>
      <c r="G427" s="25"/>
      <c r="K427" s="25">
        <f t="shared" si="2"/>
        <v>1</v>
      </c>
      <c r="L427" s="25" t="str">
        <f t="shared" si="8"/>
        <v>الأصل</v>
      </c>
      <c r="M427" s="25" t="str">
        <f t="shared" si="3"/>
        <v/>
      </c>
      <c r="N427" s="25" t="str">
        <f t="shared" si="4"/>
        <v/>
      </c>
      <c r="O427" s="25" t="str">
        <f t="shared" si="5"/>
        <v/>
      </c>
      <c r="P427" s="25">
        <f t="shared" si="6"/>
        <v>0</v>
      </c>
      <c r="S427" s="25" t="str">
        <f t="shared" si="7"/>
        <v/>
      </c>
    </row>
    <row r="428" ht="15.75" customHeight="1">
      <c r="A428" s="25" t="str">
        <f t="shared" si="1"/>
        <v>P427</v>
      </c>
      <c r="B428" s="25"/>
      <c r="G428" s="25"/>
      <c r="K428" s="25">
        <f t="shared" si="2"/>
        <v>1</v>
      </c>
      <c r="L428" s="25" t="str">
        <f t="shared" si="8"/>
        <v>الأصل</v>
      </c>
      <c r="M428" s="25" t="str">
        <f t="shared" si="3"/>
        <v/>
      </c>
      <c r="N428" s="25" t="str">
        <f t="shared" si="4"/>
        <v/>
      </c>
      <c r="O428" s="25" t="str">
        <f t="shared" si="5"/>
        <v/>
      </c>
      <c r="P428" s="25">
        <f t="shared" si="6"/>
        <v>0</v>
      </c>
      <c r="S428" s="25" t="str">
        <f t="shared" si="7"/>
        <v/>
      </c>
    </row>
    <row r="429" ht="15.75" customHeight="1">
      <c r="A429" s="25" t="str">
        <f t="shared" si="1"/>
        <v>P428</v>
      </c>
      <c r="B429" s="25"/>
      <c r="G429" s="25"/>
      <c r="K429" s="25">
        <f t="shared" si="2"/>
        <v>1</v>
      </c>
      <c r="L429" s="25" t="str">
        <f t="shared" si="8"/>
        <v>الأصل</v>
      </c>
      <c r="M429" s="25" t="str">
        <f t="shared" si="3"/>
        <v/>
      </c>
      <c r="N429" s="25" t="str">
        <f t="shared" si="4"/>
        <v/>
      </c>
      <c r="O429" s="25" t="str">
        <f t="shared" si="5"/>
        <v/>
      </c>
      <c r="P429" s="25">
        <f t="shared" si="6"/>
        <v>0</v>
      </c>
      <c r="S429" s="25" t="str">
        <f t="shared" si="7"/>
        <v/>
      </c>
    </row>
    <row r="430" ht="15.75" customHeight="1">
      <c r="A430" s="25" t="str">
        <f t="shared" si="1"/>
        <v>P429</v>
      </c>
      <c r="B430" s="25"/>
      <c r="G430" s="25"/>
      <c r="K430" s="25">
        <f t="shared" si="2"/>
        <v>1</v>
      </c>
      <c r="L430" s="25" t="str">
        <f t="shared" si="8"/>
        <v>الأصل</v>
      </c>
      <c r="M430" s="25" t="str">
        <f t="shared" si="3"/>
        <v/>
      </c>
      <c r="N430" s="25" t="str">
        <f t="shared" si="4"/>
        <v/>
      </c>
      <c r="O430" s="25" t="str">
        <f t="shared" si="5"/>
        <v/>
      </c>
      <c r="P430" s="25">
        <f t="shared" si="6"/>
        <v>0</v>
      </c>
      <c r="S430" s="25" t="str">
        <f t="shared" si="7"/>
        <v/>
      </c>
    </row>
    <row r="431" ht="15.75" customHeight="1">
      <c r="A431" s="25" t="str">
        <f t="shared" si="1"/>
        <v>P430</v>
      </c>
      <c r="B431" s="25"/>
      <c r="G431" s="25"/>
      <c r="K431" s="25">
        <f t="shared" si="2"/>
        <v>1</v>
      </c>
      <c r="L431" s="25" t="str">
        <f t="shared" si="8"/>
        <v>الأصل</v>
      </c>
      <c r="M431" s="25" t="str">
        <f t="shared" si="3"/>
        <v/>
      </c>
      <c r="N431" s="25" t="str">
        <f t="shared" si="4"/>
        <v/>
      </c>
      <c r="O431" s="25" t="str">
        <f t="shared" si="5"/>
        <v/>
      </c>
      <c r="P431" s="25">
        <f t="shared" si="6"/>
        <v>0</v>
      </c>
      <c r="S431" s="25" t="str">
        <f t="shared" si="7"/>
        <v/>
      </c>
    </row>
    <row r="432" ht="15.75" customHeight="1">
      <c r="A432" s="25" t="str">
        <f t="shared" si="1"/>
        <v>P431</v>
      </c>
      <c r="B432" s="25"/>
      <c r="G432" s="25"/>
      <c r="K432" s="25">
        <f t="shared" si="2"/>
        <v>1</v>
      </c>
      <c r="L432" s="25" t="str">
        <f t="shared" si="8"/>
        <v>الأصل</v>
      </c>
      <c r="M432" s="25" t="str">
        <f t="shared" si="3"/>
        <v/>
      </c>
      <c r="N432" s="25" t="str">
        <f t="shared" si="4"/>
        <v/>
      </c>
      <c r="O432" s="25" t="str">
        <f t="shared" si="5"/>
        <v/>
      </c>
      <c r="P432" s="25">
        <f t="shared" si="6"/>
        <v>0</v>
      </c>
      <c r="S432" s="25" t="str">
        <f t="shared" si="7"/>
        <v/>
      </c>
    </row>
    <row r="433" ht="15.75" customHeight="1">
      <c r="A433" s="25" t="str">
        <f t="shared" si="1"/>
        <v>P432</v>
      </c>
      <c r="B433" s="25"/>
      <c r="G433" s="25"/>
      <c r="K433" s="25">
        <f t="shared" si="2"/>
        <v>1</v>
      </c>
      <c r="L433" s="25" t="str">
        <f t="shared" si="8"/>
        <v>الأصل</v>
      </c>
      <c r="M433" s="25" t="str">
        <f t="shared" si="3"/>
        <v/>
      </c>
      <c r="N433" s="25" t="str">
        <f t="shared" si="4"/>
        <v/>
      </c>
      <c r="O433" s="25" t="str">
        <f t="shared" si="5"/>
        <v/>
      </c>
      <c r="P433" s="25">
        <f t="shared" si="6"/>
        <v>0</v>
      </c>
      <c r="S433" s="25" t="str">
        <f t="shared" si="7"/>
        <v/>
      </c>
    </row>
    <row r="434" ht="15.75" customHeight="1">
      <c r="A434" s="25" t="str">
        <f t="shared" si="1"/>
        <v>P433</v>
      </c>
      <c r="B434" s="25"/>
      <c r="G434" s="25"/>
      <c r="K434" s="25">
        <f t="shared" si="2"/>
        <v>1</v>
      </c>
      <c r="L434" s="25" t="str">
        <f t="shared" si="8"/>
        <v>الأصل</v>
      </c>
      <c r="M434" s="25" t="str">
        <f t="shared" si="3"/>
        <v/>
      </c>
      <c r="N434" s="25" t="str">
        <f t="shared" si="4"/>
        <v/>
      </c>
      <c r="O434" s="25" t="str">
        <f t="shared" si="5"/>
        <v/>
      </c>
      <c r="P434" s="25">
        <f t="shared" si="6"/>
        <v>0</v>
      </c>
      <c r="S434" s="25" t="str">
        <f t="shared" si="7"/>
        <v/>
      </c>
    </row>
    <row r="435" ht="15.75" customHeight="1">
      <c r="A435" s="25" t="str">
        <f t="shared" si="1"/>
        <v>P434</v>
      </c>
      <c r="B435" s="25"/>
      <c r="G435" s="25"/>
      <c r="K435" s="25">
        <f t="shared" si="2"/>
        <v>1</v>
      </c>
      <c r="L435" s="25" t="str">
        <f t="shared" si="8"/>
        <v>الأصل</v>
      </c>
      <c r="M435" s="25" t="str">
        <f t="shared" si="3"/>
        <v/>
      </c>
      <c r="N435" s="25" t="str">
        <f t="shared" si="4"/>
        <v/>
      </c>
      <c r="O435" s="25" t="str">
        <f t="shared" si="5"/>
        <v/>
      </c>
      <c r="P435" s="25">
        <f t="shared" si="6"/>
        <v>0</v>
      </c>
      <c r="S435" s="25" t="str">
        <f t="shared" si="7"/>
        <v/>
      </c>
    </row>
    <row r="436" ht="15.75" customHeight="1">
      <c r="A436" s="25" t="str">
        <f t="shared" si="1"/>
        <v>P435</v>
      </c>
      <c r="B436" s="25"/>
      <c r="G436" s="25"/>
      <c r="K436" s="25">
        <f t="shared" si="2"/>
        <v>1</v>
      </c>
      <c r="L436" s="25" t="str">
        <f t="shared" si="8"/>
        <v>الأصل</v>
      </c>
      <c r="M436" s="25" t="str">
        <f t="shared" si="3"/>
        <v/>
      </c>
      <c r="N436" s="25" t="str">
        <f t="shared" si="4"/>
        <v/>
      </c>
      <c r="O436" s="25" t="str">
        <f t="shared" si="5"/>
        <v/>
      </c>
      <c r="P436" s="25">
        <f t="shared" si="6"/>
        <v>0</v>
      </c>
      <c r="S436" s="25" t="str">
        <f t="shared" si="7"/>
        <v/>
      </c>
    </row>
    <row r="437" ht="15.75" customHeight="1">
      <c r="A437" s="25" t="str">
        <f t="shared" si="1"/>
        <v>P436</v>
      </c>
      <c r="B437" s="25"/>
      <c r="G437" s="25"/>
      <c r="K437" s="25">
        <f t="shared" si="2"/>
        <v>1</v>
      </c>
      <c r="L437" s="25" t="str">
        <f t="shared" si="8"/>
        <v>الأصل</v>
      </c>
      <c r="M437" s="25" t="str">
        <f t="shared" si="3"/>
        <v/>
      </c>
      <c r="N437" s="25" t="str">
        <f t="shared" si="4"/>
        <v/>
      </c>
      <c r="O437" s="25" t="str">
        <f t="shared" si="5"/>
        <v/>
      </c>
      <c r="P437" s="25">
        <f t="shared" si="6"/>
        <v>0</v>
      </c>
      <c r="S437" s="25" t="str">
        <f t="shared" si="7"/>
        <v/>
      </c>
    </row>
    <row r="438" ht="15.75" customHeight="1">
      <c r="A438" s="25" t="str">
        <f t="shared" si="1"/>
        <v>P437</v>
      </c>
      <c r="B438" s="25"/>
      <c r="G438" s="25"/>
      <c r="K438" s="25">
        <f t="shared" si="2"/>
        <v>1</v>
      </c>
      <c r="L438" s="25" t="str">
        <f t="shared" si="8"/>
        <v>الأصل</v>
      </c>
      <c r="M438" s="25" t="str">
        <f t="shared" si="3"/>
        <v/>
      </c>
      <c r="N438" s="25" t="str">
        <f t="shared" si="4"/>
        <v/>
      </c>
      <c r="O438" s="25" t="str">
        <f t="shared" si="5"/>
        <v/>
      </c>
      <c r="P438" s="25">
        <f t="shared" si="6"/>
        <v>0</v>
      </c>
      <c r="S438" s="25" t="str">
        <f t="shared" si="7"/>
        <v/>
      </c>
    </row>
    <row r="439" ht="15.75" customHeight="1">
      <c r="A439" s="25" t="str">
        <f t="shared" si="1"/>
        <v>P438</v>
      </c>
      <c r="B439" s="25"/>
      <c r="G439" s="25"/>
      <c r="K439" s="25">
        <f t="shared" si="2"/>
        <v>1</v>
      </c>
      <c r="L439" s="25" t="str">
        <f t="shared" si="8"/>
        <v>الأصل</v>
      </c>
      <c r="M439" s="25" t="str">
        <f t="shared" si="3"/>
        <v/>
      </c>
      <c r="N439" s="25" t="str">
        <f t="shared" si="4"/>
        <v/>
      </c>
      <c r="O439" s="25" t="str">
        <f t="shared" si="5"/>
        <v/>
      </c>
      <c r="P439" s="25">
        <f t="shared" si="6"/>
        <v>0</v>
      </c>
      <c r="S439" s="25" t="str">
        <f t="shared" si="7"/>
        <v/>
      </c>
    </row>
    <row r="440" ht="15.75" customHeight="1">
      <c r="A440" s="25" t="str">
        <f t="shared" si="1"/>
        <v>P439</v>
      </c>
      <c r="B440" s="25"/>
      <c r="G440" s="25"/>
      <c r="K440" s="25">
        <f t="shared" si="2"/>
        <v>1</v>
      </c>
      <c r="L440" s="25" t="str">
        <f t="shared" si="8"/>
        <v>الأصل</v>
      </c>
      <c r="M440" s="25" t="str">
        <f t="shared" si="3"/>
        <v/>
      </c>
      <c r="N440" s="25" t="str">
        <f t="shared" si="4"/>
        <v/>
      </c>
      <c r="O440" s="25" t="str">
        <f t="shared" si="5"/>
        <v/>
      </c>
      <c r="P440" s="25">
        <f t="shared" si="6"/>
        <v>0</v>
      </c>
      <c r="S440" s="25" t="str">
        <f t="shared" si="7"/>
        <v/>
      </c>
    </row>
    <row r="441" ht="15.75" customHeight="1">
      <c r="A441" s="25" t="str">
        <f t="shared" si="1"/>
        <v>P440</v>
      </c>
      <c r="B441" s="25"/>
      <c r="G441" s="25"/>
      <c r="K441" s="25">
        <f t="shared" si="2"/>
        <v>1</v>
      </c>
      <c r="L441" s="25" t="str">
        <f t="shared" si="8"/>
        <v>الأصل</v>
      </c>
      <c r="M441" s="25" t="str">
        <f t="shared" si="3"/>
        <v/>
      </c>
      <c r="N441" s="25" t="str">
        <f t="shared" si="4"/>
        <v/>
      </c>
      <c r="O441" s="25" t="str">
        <f t="shared" si="5"/>
        <v/>
      </c>
      <c r="P441" s="25">
        <f t="shared" si="6"/>
        <v>0</v>
      </c>
      <c r="S441" s="25" t="str">
        <f t="shared" si="7"/>
        <v/>
      </c>
    </row>
    <row r="442" ht="15.75" customHeight="1">
      <c r="A442" s="25" t="str">
        <f t="shared" si="1"/>
        <v>P441</v>
      </c>
      <c r="B442" s="25"/>
      <c r="G442" s="25"/>
      <c r="K442" s="25">
        <f t="shared" si="2"/>
        <v>1</v>
      </c>
      <c r="L442" s="25" t="str">
        <f t="shared" si="8"/>
        <v>الأصل</v>
      </c>
      <c r="M442" s="25" t="str">
        <f t="shared" si="3"/>
        <v/>
      </c>
      <c r="N442" s="25" t="str">
        <f t="shared" si="4"/>
        <v/>
      </c>
      <c r="O442" s="25" t="str">
        <f t="shared" si="5"/>
        <v/>
      </c>
      <c r="P442" s="25">
        <f t="shared" si="6"/>
        <v>0</v>
      </c>
      <c r="S442" s="25" t="str">
        <f t="shared" si="7"/>
        <v/>
      </c>
    </row>
    <row r="443" ht="15.75" customHeight="1">
      <c r="A443" s="25" t="str">
        <f t="shared" si="1"/>
        <v>P442</v>
      </c>
      <c r="B443" s="25"/>
      <c r="G443" s="25"/>
      <c r="K443" s="25">
        <f t="shared" si="2"/>
        <v>1</v>
      </c>
      <c r="L443" s="25" t="str">
        <f t="shared" si="8"/>
        <v>الأصل</v>
      </c>
      <c r="M443" s="25" t="str">
        <f t="shared" si="3"/>
        <v/>
      </c>
      <c r="N443" s="25" t="str">
        <f t="shared" si="4"/>
        <v/>
      </c>
      <c r="O443" s="25" t="str">
        <f t="shared" si="5"/>
        <v/>
      </c>
      <c r="P443" s="25">
        <f t="shared" si="6"/>
        <v>0</v>
      </c>
      <c r="S443" s="25" t="str">
        <f t="shared" si="7"/>
        <v/>
      </c>
    </row>
    <row r="444" ht="15.75" customHeight="1">
      <c r="A444" s="25" t="str">
        <f t="shared" si="1"/>
        <v>P443</v>
      </c>
      <c r="B444" s="25"/>
      <c r="G444" s="25"/>
      <c r="K444" s="25">
        <f t="shared" si="2"/>
        <v>1</v>
      </c>
      <c r="L444" s="25" t="str">
        <f t="shared" si="8"/>
        <v>الأصل</v>
      </c>
      <c r="M444" s="25" t="str">
        <f t="shared" si="3"/>
        <v/>
      </c>
      <c r="N444" s="25" t="str">
        <f t="shared" si="4"/>
        <v/>
      </c>
      <c r="O444" s="25" t="str">
        <f t="shared" si="5"/>
        <v/>
      </c>
      <c r="P444" s="25">
        <f t="shared" si="6"/>
        <v>0</v>
      </c>
      <c r="S444" s="25" t="str">
        <f t="shared" si="7"/>
        <v/>
      </c>
    </row>
    <row r="445" ht="15.75" customHeight="1">
      <c r="A445" s="25" t="str">
        <f t="shared" si="1"/>
        <v>P444</v>
      </c>
      <c r="B445" s="25"/>
      <c r="G445" s="25"/>
      <c r="K445" s="25">
        <f t="shared" si="2"/>
        <v>1</v>
      </c>
      <c r="L445" s="25" t="str">
        <f t="shared" si="8"/>
        <v>الأصل</v>
      </c>
      <c r="M445" s="25" t="str">
        <f t="shared" si="3"/>
        <v/>
      </c>
      <c r="N445" s="25" t="str">
        <f t="shared" si="4"/>
        <v/>
      </c>
      <c r="O445" s="25" t="str">
        <f t="shared" si="5"/>
        <v/>
      </c>
      <c r="P445" s="25">
        <f t="shared" si="6"/>
        <v>0</v>
      </c>
      <c r="S445" s="25" t="str">
        <f t="shared" si="7"/>
        <v/>
      </c>
    </row>
    <row r="446" ht="15.75" customHeight="1">
      <c r="A446" s="25" t="str">
        <f t="shared" si="1"/>
        <v>P445</v>
      </c>
      <c r="B446" s="25"/>
      <c r="G446" s="25"/>
      <c r="K446" s="25">
        <f t="shared" si="2"/>
        <v>1</v>
      </c>
      <c r="L446" s="25" t="str">
        <f t="shared" si="8"/>
        <v>الأصل</v>
      </c>
      <c r="M446" s="25" t="str">
        <f t="shared" si="3"/>
        <v/>
      </c>
      <c r="N446" s="25" t="str">
        <f t="shared" si="4"/>
        <v/>
      </c>
      <c r="O446" s="25" t="str">
        <f t="shared" si="5"/>
        <v/>
      </c>
      <c r="P446" s="25">
        <f t="shared" si="6"/>
        <v>0</v>
      </c>
      <c r="S446" s="25" t="str">
        <f t="shared" si="7"/>
        <v/>
      </c>
    </row>
    <row r="447" ht="15.75" customHeight="1">
      <c r="A447" s="25" t="str">
        <f t="shared" si="1"/>
        <v>P446</v>
      </c>
      <c r="B447" s="25"/>
      <c r="G447" s="25"/>
      <c r="K447" s="25">
        <f t="shared" si="2"/>
        <v>1</v>
      </c>
      <c r="L447" s="25" t="str">
        <f t="shared" si="8"/>
        <v>الأصل</v>
      </c>
      <c r="M447" s="25" t="str">
        <f t="shared" si="3"/>
        <v/>
      </c>
      <c r="N447" s="25" t="str">
        <f t="shared" si="4"/>
        <v/>
      </c>
      <c r="O447" s="25" t="str">
        <f t="shared" si="5"/>
        <v/>
      </c>
      <c r="P447" s="25">
        <f t="shared" si="6"/>
        <v>0</v>
      </c>
      <c r="S447" s="25" t="str">
        <f t="shared" si="7"/>
        <v/>
      </c>
    </row>
    <row r="448" ht="15.75" customHeight="1">
      <c r="A448" s="25" t="str">
        <f t="shared" si="1"/>
        <v>P447</v>
      </c>
      <c r="B448" s="25"/>
      <c r="G448" s="25"/>
      <c r="K448" s="25">
        <f t="shared" si="2"/>
        <v>1</v>
      </c>
      <c r="L448" s="25" t="str">
        <f t="shared" si="8"/>
        <v>الأصل</v>
      </c>
      <c r="M448" s="25" t="str">
        <f t="shared" si="3"/>
        <v/>
      </c>
      <c r="N448" s="25" t="str">
        <f t="shared" si="4"/>
        <v/>
      </c>
      <c r="O448" s="25" t="str">
        <f t="shared" si="5"/>
        <v/>
      </c>
      <c r="P448" s="25">
        <f t="shared" si="6"/>
        <v>0</v>
      </c>
      <c r="S448" s="25" t="str">
        <f t="shared" si="7"/>
        <v/>
      </c>
    </row>
    <row r="449" ht="15.75" customHeight="1">
      <c r="A449" s="25" t="str">
        <f t="shared" si="1"/>
        <v>P448</v>
      </c>
      <c r="B449" s="25"/>
      <c r="G449" s="25"/>
      <c r="K449" s="25">
        <f t="shared" si="2"/>
        <v>1</v>
      </c>
      <c r="L449" s="25" t="str">
        <f t="shared" si="8"/>
        <v>الأصل</v>
      </c>
      <c r="M449" s="25" t="str">
        <f t="shared" si="3"/>
        <v/>
      </c>
      <c r="N449" s="25" t="str">
        <f t="shared" si="4"/>
        <v/>
      </c>
      <c r="O449" s="25" t="str">
        <f t="shared" si="5"/>
        <v/>
      </c>
      <c r="P449" s="25">
        <f t="shared" si="6"/>
        <v>0</v>
      </c>
      <c r="S449" s="25" t="str">
        <f t="shared" si="7"/>
        <v/>
      </c>
    </row>
    <row r="450" ht="15.75" customHeight="1">
      <c r="A450" s="25" t="str">
        <f t="shared" si="1"/>
        <v>P449</v>
      </c>
      <c r="B450" s="25"/>
      <c r="G450" s="25"/>
      <c r="K450" s="25">
        <f t="shared" si="2"/>
        <v>1</v>
      </c>
      <c r="L450" s="25" t="str">
        <f t="shared" si="8"/>
        <v>الأصل</v>
      </c>
      <c r="M450" s="25" t="str">
        <f t="shared" si="3"/>
        <v/>
      </c>
      <c r="N450" s="25" t="str">
        <f t="shared" si="4"/>
        <v/>
      </c>
      <c r="O450" s="25" t="str">
        <f t="shared" si="5"/>
        <v/>
      </c>
      <c r="P450" s="25">
        <f t="shared" si="6"/>
        <v>0</v>
      </c>
      <c r="S450" s="25" t="str">
        <f t="shared" si="7"/>
        <v/>
      </c>
    </row>
    <row r="451" ht="15.75" customHeight="1">
      <c r="A451" s="25" t="str">
        <f t="shared" si="1"/>
        <v>P450</v>
      </c>
      <c r="B451" s="25"/>
      <c r="G451" s="25"/>
      <c r="K451" s="25">
        <f t="shared" si="2"/>
        <v>1</v>
      </c>
      <c r="L451" s="25" t="str">
        <f t="shared" si="8"/>
        <v>الأصل</v>
      </c>
      <c r="M451" s="25" t="str">
        <f t="shared" si="3"/>
        <v/>
      </c>
      <c r="N451" s="25" t="str">
        <f t="shared" si="4"/>
        <v/>
      </c>
      <c r="O451" s="25" t="str">
        <f t="shared" si="5"/>
        <v/>
      </c>
      <c r="P451" s="25">
        <f t="shared" si="6"/>
        <v>0</v>
      </c>
      <c r="S451" s="25" t="str">
        <f t="shared" si="7"/>
        <v/>
      </c>
    </row>
    <row r="452" ht="15.75" customHeight="1">
      <c r="A452" s="25" t="str">
        <f t="shared" si="1"/>
        <v>P451</v>
      </c>
      <c r="B452" s="25"/>
      <c r="G452" s="25"/>
      <c r="K452" s="25">
        <f t="shared" si="2"/>
        <v>1</v>
      </c>
      <c r="L452" s="25" t="str">
        <f t="shared" si="8"/>
        <v>الأصل</v>
      </c>
      <c r="M452" s="25" t="str">
        <f t="shared" si="3"/>
        <v/>
      </c>
      <c r="N452" s="25" t="str">
        <f t="shared" si="4"/>
        <v/>
      </c>
      <c r="O452" s="25" t="str">
        <f t="shared" si="5"/>
        <v/>
      </c>
      <c r="P452" s="25">
        <f t="shared" si="6"/>
        <v>0</v>
      </c>
      <c r="S452" s="25" t="str">
        <f t="shared" si="7"/>
        <v/>
      </c>
    </row>
    <row r="453" ht="15.75" customHeight="1">
      <c r="A453" s="25" t="str">
        <f t="shared" si="1"/>
        <v>P452</v>
      </c>
      <c r="B453" s="25"/>
      <c r="G453" s="25"/>
      <c r="K453" s="25">
        <f t="shared" si="2"/>
        <v>1</v>
      </c>
      <c r="L453" s="25" t="str">
        <f t="shared" si="8"/>
        <v>الأصل</v>
      </c>
      <c r="M453" s="25" t="str">
        <f t="shared" si="3"/>
        <v/>
      </c>
      <c r="N453" s="25" t="str">
        <f t="shared" si="4"/>
        <v/>
      </c>
      <c r="O453" s="25" t="str">
        <f t="shared" si="5"/>
        <v/>
      </c>
      <c r="P453" s="25">
        <f t="shared" si="6"/>
        <v>0</v>
      </c>
      <c r="S453" s="25" t="str">
        <f t="shared" si="7"/>
        <v/>
      </c>
    </row>
    <row r="454" ht="15.75" customHeight="1">
      <c r="A454" s="25" t="str">
        <f t="shared" si="1"/>
        <v>P453</v>
      </c>
      <c r="B454" s="25"/>
      <c r="G454" s="25"/>
      <c r="K454" s="25">
        <f t="shared" si="2"/>
        <v>1</v>
      </c>
      <c r="L454" s="25" t="str">
        <f t="shared" si="8"/>
        <v>الأصل</v>
      </c>
      <c r="M454" s="25" t="str">
        <f t="shared" si="3"/>
        <v/>
      </c>
      <c r="N454" s="25" t="str">
        <f t="shared" si="4"/>
        <v/>
      </c>
      <c r="O454" s="25" t="str">
        <f t="shared" si="5"/>
        <v/>
      </c>
      <c r="P454" s="25">
        <f t="shared" si="6"/>
        <v>0</v>
      </c>
      <c r="S454" s="25" t="str">
        <f t="shared" si="7"/>
        <v/>
      </c>
    </row>
    <row r="455" ht="15.75" customHeight="1">
      <c r="A455" s="25" t="str">
        <f t="shared" si="1"/>
        <v>P454</v>
      </c>
      <c r="B455" s="25"/>
      <c r="G455" s="25"/>
      <c r="K455" s="25">
        <f t="shared" si="2"/>
        <v>1</v>
      </c>
      <c r="L455" s="25" t="str">
        <f t="shared" si="8"/>
        <v>الأصل</v>
      </c>
      <c r="M455" s="25" t="str">
        <f t="shared" si="3"/>
        <v/>
      </c>
      <c r="N455" s="25" t="str">
        <f t="shared" si="4"/>
        <v/>
      </c>
      <c r="O455" s="25" t="str">
        <f t="shared" si="5"/>
        <v/>
      </c>
      <c r="P455" s="25">
        <f t="shared" si="6"/>
        <v>0</v>
      </c>
      <c r="S455" s="25" t="str">
        <f t="shared" si="7"/>
        <v/>
      </c>
    </row>
    <row r="456" ht="15.75" customHeight="1">
      <c r="A456" s="25" t="str">
        <f t="shared" si="1"/>
        <v>P455</v>
      </c>
      <c r="B456" s="25"/>
      <c r="G456" s="25"/>
      <c r="K456" s="25">
        <f t="shared" si="2"/>
        <v>1</v>
      </c>
      <c r="L456" s="25" t="str">
        <f t="shared" si="8"/>
        <v>الأصل</v>
      </c>
      <c r="M456" s="25" t="str">
        <f t="shared" si="3"/>
        <v/>
      </c>
      <c r="N456" s="25" t="str">
        <f t="shared" si="4"/>
        <v/>
      </c>
      <c r="O456" s="25" t="str">
        <f t="shared" si="5"/>
        <v/>
      </c>
      <c r="P456" s="25">
        <f t="shared" si="6"/>
        <v>0</v>
      </c>
      <c r="S456" s="25" t="str">
        <f t="shared" si="7"/>
        <v/>
      </c>
    </row>
    <row r="457" ht="15.75" customHeight="1">
      <c r="A457" s="25" t="str">
        <f t="shared" si="1"/>
        <v>P456</v>
      </c>
      <c r="B457" s="25"/>
      <c r="G457" s="25"/>
      <c r="K457" s="25">
        <f t="shared" si="2"/>
        <v>1</v>
      </c>
      <c r="L457" s="25" t="str">
        <f t="shared" si="8"/>
        <v>الأصل</v>
      </c>
      <c r="M457" s="25" t="str">
        <f t="shared" si="3"/>
        <v/>
      </c>
      <c r="N457" s="25" t="str">
        <f t="shared" si="4"/>
        <v/>
      </c>
      <c r="O457" s="25" t="str">
        <f t="shared" si="5"/>
        <v/>
      </c>
      <c r="P457" s="25">
        <f t="shared" si="6"/>
        <v>0</v>
      </c>
      <c r="S457" s="25" t="str">
        <f t="shared" si="7"/>
        <v/>
      </c>
    </row>
    <row r="458" ht="15.75" customHeight="1">
      <c r="A458" s="25" t="str">
        <f t="shared" si="1"/>
        <v>P457</v>
      </c>
      <c r="B458" s="25"/>
      <c r="G458" s="25"/>
      <c r="K458" s="25">
        <f t="shared" si="2"/>
        <v>1</v>
      </c>
      <c r="L458" s="25" t="str">
        <f t="shared" si="8"/>
        <v>الأصل</v>
      </c>
      <c r="M458" s="25" t="str">
        <f t="shared" si="3"/>
        <v/>
      </c>
      <c r="N458" s="25" t="str">
        <f t="shared" si="4"/>
        <v/>
      </c>
      <c r="O458" s="25" t="str">
        <f t="shared" si="5"/>
        <v/>
      </c>
      <c r="P458" s="25">
        <f t="shared" si="6"/>
        <v>0</v>
      </c>
      <c r="S458" s="25" t="str">
        <f t="shared" si="7"/>
        <v/>
      </c>
    </row>
    <row r="459" ht="15.75" customHeight="1">
      <c r="A459" s="25" t="str">
        <f t="shared" si="1"/>
        <v>P458</v>
      </c>
      <c r="B459" s="25"/>
      <c r="G459" s="25"/>
      <c r="K459" s="25">
        <f t="shared" si="2"/>
        <v>1</v>
      </c>
      <c r="L459" s="25" t="str">
        <f t="shared" si="8"/>
        <v>الأصل</v>
      </c>
      <c r="M459" s="25" t="str">
        <f t="shared" si="3"/>
        <v/>
      </c>
      <c r="N459" s="25" t="str">
        <f t="shared" si="4"/>
        <v/>
      </c>
      <c r="O459" s="25" t="str">
        <f t="shared" si="5"/>
        <v/>
      </c>
      <c r="P459" s="25">
        <f t="shared" si="6"/>
        <v>0</v>
      </c>
      <c r="S459" s="25" t="str">
        <f t="shared" si="7"/>
        <v/>
      </c>
    </row>
    <row r="460" ht="15.75" customHeight="1">
      <c r="A460" s="25" t="str">
        <f t="shared" si="1"/>
        <v>P459</v>
      </c>
      <c r="B460" s="25"/>
      <c r="G460" s="25"/>
      <c r="K460" s="25">
        <f t="shared" si="2"/>
        <v>1</v>
      </c>
      <c r="L460" s="25" t="str">
        <f t="shared" si="8"/>
        <v>الأصل</v>
      </c>
      <c r="M460" s="25" t="str">
        <f t="shared" si="3"/>
        <v/>
      </c>
      <c r="N460" s="25" t="str">
        <f t="shared" si="4"/>
        <v/>
      </c>
      <c r="O460" s="25" t="str">
        <f t="shared" si="5"/>
        <v/>
      </c>
      <c r="P460" s="25">
        <f t="shared" si="6"/>
        <v>0</v>
      </c>
      <c r="S460" s="25" t="str">
        <f t="shared" si="7"/>
        <v/>
      </c>
    </row>
    <row r="461" ht="15.75" customHeight="1">
      <c r="A461" s="25" t="str">
        <f t="shared" si="1"/>
        <v>P460</v>
      </c>
      <c r="B461" s="25"/>
      <c r="G461" s="25"/>
      <c r="K461" s="25">
        <f t="shared" si="2"/>
        <v>1</v>
      </c>
      <c r="L461" s="25" t="str">
        <f t="shared" si="8"/>
        <v>الأصل</v>
      </c>
      <c r="M461" s="25" t="str">
        <f t="shared" si="3"/>
        <v/>
      </c>
      <c r="N461" s="25" t="str">
        <f t="shared" si="4"/>
        <v/>
      </c>
      <c r="O461" s="25" t="str">
        <f t="shared" si="5"/>
        <v/>
      </c>
      <c r="P461" s="25">
        <f t="shared" si="6"/>
        <v>0</v>
      </c>
      <c r="S461" s="25" t="str">
        <f t="shared" si="7"/>
        <v/>
      </c>
    </row>
    <row r="462" ht="15.75" customHeight="1">
      <c r="A462" s="25" t="str">
        <f t="shared" si="1"/>
        <v>P461</v>
      </c>
      <c r="B462" s="25"/>
      <c r="G462" s="25"/>
      <c r="K462" s="25">
        <f t="shared" si="2"/>
        <v>1</v>
      </c>
      <c r="L462" s="25" t="str">
        <f t="shared" si="8"/>
        <v>الأصل</v>
      </c>
      <c r="M462" s="25" t="str">
        <f t="shared" si="3"/>
        <v/>
      </c>
      <c r="N462" s="25" t="str">
        <f t="shared" si="4"/>
        <v/>
      </c>
      <c r="O462" s="25" t="str">
        <f t="shared" si="5"/>
        <v/>
      </c>
      <c r="P462" s="25">
        <f t="shared" si="6"/>
        <v>0</v>
      </c>
      <c r="S462" s="25" t="str">
        <f t="shared" si="7"/>
        <v/>
      </c>
    </row>
    <row r="463" ht="15.75" customHeight="1">
      <c r="A463" s="25" t="str">
        <f t="shared" si="1"/>
        <v>P462</v>
      </c>
      <c r="B463" s="25"/>
      <c r="G463" s="25"/>
      <c r="K463" s="25">
        <f t="shared" si="2"/>
        <v>1</v>
      </c>
      <c r="L463" s="25" t="str">
        <f t="shared" si="8"/>
        <v>الأصل</v>
      </c>
      <c r="M463" s="25" t="str">
        <f t="shared" si="3"/>
        <v/>
      </c>
      <c r="N463" s="25" t="str">
        <f t="shared" si="4"/>
        <v/>
      </c>
      <c r="O463" s="25" t="str">
        <f t="shared" si="5"/>
        <v/>
      </c>
      <c r="P463" s="25">
        <f t="shared" si="6"/>
        <v>0</v>
      </c>
      <c r="S463" s="25" t="str">
        <f t="shared" si="7"/>
        <v/>
      </c>
    </row>
    <row r="464" ht="15.75" customHeight="1">
      <c r="A464" s="25" t="str">
        <f t="shared" si="1"/>
        <v>P463</v>
      </c>
      <c r="B464" s="25"/>
      <c r="G464" s="25"/>
      <c r="K464" s="25">
        <f t="shared" si="2"/>
        <v>1</v>
      </c>
      <c r="L464" s="25" t="str">
        <f t="shared" si="8"/>
        <v>الأصل</v>
      </c>
      <c r="M464" s="25" t="str">
        <f t="shared" si="3"/>
        <v/>
      </c>
      <c r="N464" s="25" t="str">
        <f t="shared" si="4"/>
        <v/>
      </c>
      <c r="O464" s="25" t="str">
        <f t="shared" si="5"/>
        <v/>
      </c>
      <c r="P464" s="25">
        <f t="shared" si="6"/>
        <v>0</v>
      </c>
      <c r="S464" s="25" t="str">
        <f t="shared" si="7"/>
        <v/>
      </c>
    </row>
    <row r="465" ht="15.75" customHeight="1">
      <c r="A465" s="25" t="str">
        <f t="shared" si="1"/>
        <v>P464</v>
      </c>
      <c r="B465" s="25"/>
      <c r="G465" s="25"/>
      <c r="K465" s="25">
        <f t="shared" si="2"/>
        <v>1</v>
      </c>
      <c r="L465" s="25" t="str">
        <f t="shared" si="8"/>
        <v>الأصل</v>
      </c>
      <c r="M465" s="25" t="str">
        <f t="shared" si="3"/>
        <v/>
      </c>
      <c r="N465" s="25" t="str">
        <f t="shared" si="4"/>
        <v/>
      </c>
      <c r="O465" s="25" t="str">
        <f t="shared" si="5"/>
        <v/>
      </c>
      <c r="P465" s="25">
        <f t="shared" si="6"/>
        <v>0</v>
      </c>
      <c r="S465" s="25" t="str">
        <f t="shared" si="7"/>
        <v/>
      </c>
    </row>
    <row r="466" ht="15.75" customHeight="1">
      <c r="A466" s="25" t="str">
        <f t="shared" si="1"/>
        <v>P465</v>
      </c>
      <c r="B466" s="25"/>
      <c r="G466" s="25"/>
      <c r="K466" s="25">
        <f t="shared" si="2"/>
        <v>1</v>
      </c>
      <c r="L466" s="25" t="str">
        <f t="shared" si="8"/>
        <v>الأصل</v>
      </c>
      <c r="M466" s="25" t="str">
        <f t="shared" si="3"/>
        <v/>
      </c>
      <c r="N466" s="25" t="str">
        <f t="shared" si="4"/>
        <v/>
      </c>
      <c r="O466" s="25" t="str">
        <f t="shared" si="5"/>
        <v/>
      </c>
      <c r="P466" s="25">
        <f t="shared" si="6"/>
        <v>0</v>
      </c>
      <c r="S466" s="25" t="str">
        <f t="shared" si="7"/>
        <v/>
      </c>
    </row>
    <row r="467" ht="15.75" customHeight="1">
      <c r="A467" s="25" t="str">
        <f t="shared" si="1"/>
        <v>P466</v>
      </c>
      <c r="B467" s="25"/>
      <c r="G467" s="25"/>
      <c r="K467" s="25">
        <f t="shared" si="2"/>
        <v>1</v>
      </c>
      <c r="L467" s="25" t="str">
        <f t="shared" si="8"/>
        <v>الأصل</v>
      </c>
      <c r="M467" s="25" t="str">
        <f t="shared" si="3"/>
        <v/>
      </c>
      <c r="N467" s="25" t="str">
        <f t="shared" si="4"/>
        <v/>
      </c>
      <c r="O467" s="25" t="str">
        <f t="shared" si="5"/>
        <v/>
      </c>
      <c r="P467" s="25">
        <f t="shared" si="6"/>
        <v>0</v>
      </c>
      <c r="S467" s="25" t="str">
        <f t="shared" si="7"/>
        <v/>
      </c>
    </row>
    <row r="468" ht="15.75" customHeight="1">
      <c r="A468" s="25" t="str">
        <f t="shared" si="1"/>
        <v>P467</v>
      </c>
      <c r="B468" s="25"/>
      <c r="G468" s="25"/>
      <c r="K468" s="25">
        <f t="shared" si="2"/>
        <v>1</v>
      </c>
      <c r="L468" s="25" t="str">
        <f t="shared" si="8"/>
        <v>الأصل</v>
      </c>
      <c r="M468" s="25" t="str">
        <f t="shared" si="3"/>
        <v/>
      </c>
      <c r="N468" s="25" t="str">
        <f t="shared" si="4"/>
        <v/>
      </c>
      <c r="O468" s="25" t="str">
        <f t="shared" si="5"/>
        <v/>
      </c>
      <c r="P468" s="25">
        <f t="shared" si="6"/>
        <v>0</v>
      </c>
      <c r="S468" s="25" t="str">
        <f t="shared" si="7"/>
        <v/>
      </c>
    </row>
    <row r="469" ht="15.75" customHeight="1">
      <c r="A469" s="25" t="str">
        <f t="shared" si="1"/>
        <v>P468</v>
      </c>
      <c r="B469" s="25"/>
      <c r="G469" s="25"/>
      <c r="K469" s="25">
        <f t="shared" si="2"/>
        <v>1</v>
      </c>
      <c r="L469" s="25" t="str">
        <f t="shared" si="8"/>
        <v>الأصل</v>
      </c>
      <c r="M469" s="25" t="str">
        <f t="shared" si="3"/>
        <v/>
      </c>
      <c r="N469" s="25" t="str">
        <f t="shared" si="4"/>
        <v/>
      </c>
      <c r="O469" s="25" t="str">
        <f t="shared" si="5"/>
        <v/>
      </c>
      <c r="P469" s="25">
        <f t="shared" si="6"/>
        <v>0</v>
      </c>
      <c r="S469" s="25" t="str">
        <f t="shared" si="7"/>
        <v/>
      </c>
    </row>
    <row r="470" ht="15.75" customHeight="1">
      <c r="A470" s="25" t="str">
        <f t="shared" si="1"/>
        <v>P469</v>
      </c>
      <c r="B470" s="25"/>
      <c r="G470" s="25"/>
      <c r="K470" s="25">
        <f t="shared" si="2"/>
        <v>1</v>
      </c>
      <c r="L470" s="25" t="str">
        <f t="shared" si="8"/>
        <v>الأصل</v>
      </c>
      <c r="M470" s="25" t="str">
        <f t="shared" si="3"/>
        <v/>
      </c>
      <c r="N470" s="25" t="str">
        <f t="shared" si="4"/>
        <v/>
      </c>
      <c r="O470" s="25" t="str">
        <f t="shared" si="5"/>
        <v/>
      </c>
      <c r="P470" s="25">
        <f t="shared" si="6"/>
        <v>0</v>
      </c>
      <c r="S470" s="25" t="str">
        <f t="shared" si="7"/>
        <v/>
      </c>
    </row>
    <row r="471" ht="15.75" customHeight="1">
      <c r="A471" s="25" t="str">
        <f t="shared" si="1"/>
        <v>P470</v>
      </c>
      <c r="B471" s="25"/>
      <c r="G471" s="25"/>
      <c r="K471" s="25">
        <f t="shared" si="2"/>
        <v>1</v>
      </c>
      <c r="L471" s="25" t="str">
        <f t="shared" si="8"/>
        <v>الأصل</v>
      </c>
      <c r="M471" s="25" t="str">
        <f t="shared" si="3"/>
        <v/>
      </c>
      <c r="N471" s="25" t="str">
        <f t="shared" si="4"/>
        <v/>
      </c>
      <c r="O471" s="25" t="str">
        <f t="shared" si="5"/>
        <v/>
      </c>
      <c r="P471" s="25">
        <f t="shared" si="6"/>
        <v>0</v>
      </c>
      <c r="S471" s="25" t="str">
        <f t="shared" si="7"/>
        <v/>
      </c>
    </row>
    <row r="472" ht="15.75" customHeight="1">
      <c r="A472" s="25" t="str">
        <f t="shared" si="1"/>
        <v>P471</v>
      </c>
      <c r="B472" s="25"/>
      <c r="G472" s="25"/>
      <c r="K472" s="25">
        <f t="shared" si="2"/>
        <v>1</v>
      </c>
      <c r="L472" s="25" t="str">
        <f t="shared" si="8"/>
        <v>الأصل</v>
      </c>
      <c r="M472" s="25" t="str">
        <f t="shared" si="3"/>
        <v/>
      </c>
      <c r="N472" s="25" t="str">
        <f t="shared" si="4"/>
        <v/>
      </c>
      <c r="O472" s="25" t="str">
        <f t="shared" si="5"/>
        <v/>
      </c>
      <c r="P472" s="25">
        <f t="shared" si="6"/>
        <v>0</v>
      </c>
      <c r="S472" s="25" t="str">
        <f t="shared" si="7"/>
        <v/>
      </c>
    </row>
    <row r="473" ht="15.75" customHeight="1">
      <c r="A473" s="25" t="str">
        <f t="shared" si="1"/>
        <v>P472</v>
      </c>
      <c r="B473" s="25"/>
      <c r="G473" s="25"/>
      <c r="K473" s="25">
        <f t="shared" si="2"/>
        <v>1</v>
      </c>
      <c r="L473" s="25" t="str">
        <f t="shared" si="8"/>
        <v>الأصل</v>
      </c>
      <c r="M473" s="25" t="str">
        <f t="shared" si="3"/>
        <v/>
      </c>
      <c r="N473" s="25" t="str">
        <f t="shared" si="4"/>
        <v/>
      </c>
      <c r="O473" s="25" t="str">
        <f t="shared" si="5"/>
        <v/>
      </c>
      <c r="P473" s="25">
        <f t="shared" si="6"/>
        <v>0</v>
      </c>
      <c r="S473" s="25" t="str">
        <f t="shared" si="7"/>
        <v/>
      </c>
    </row>
    <row r="474" ht="15.75" customHeight="1">
      <c r="A474" s="25" t="str">
        <f t="shared" si="1"/>
        <v>P473</v>
      </c>
      <c r="B474" s="25"/>
      <c r="G474" s="25"/>
      <c r="K474" s="25">
        <f t="shared" si="2"/>
        <v>1</v>
      </c>
      <c r="L474" s="25" t="str">
        <f t="shared" si="8"/>
        <v>الأصل</v>
      </c>
      <c r="M474" s="25" t="str">
        <f t="shared" si="3"/>
        <v/>
      </c>
      <c r="N474" s="25" t="str">
        <f t="shared" si="4"/>
        <v/>
      </c>
      <c r="O474" s="25" t="str">
        <f t="shared" si="5"/>
        <v/>
      </c>
      <c r="P474" s="25">
        <f t="shared" si="6"/>
        <v>0</v>
      </c>
      <c r="S474" s="25" t="str">
        <f t="shared" si="7"/>
        <v/>
      </c>
    </row>
    <row r="475" ht="15.75" customHeight="1">
      <c r="A475" s="25" t="str">
        <f t="shared" si="1"/>
        <v>P474</v>
      </c>
      <c r="B475" s="25"/>
      <c r="G475" s="25"/>
      <c r="K475" s="25">
        <f t="shared" si="2"/>
        <v>1</v>
      </c>
      <c r="L475" s="25" t="str">
        <f t="shared" si="8"/>
        <v>الأصل</v>
      </c>
      <c r="M475" s="25" t="str">
        <f t="shared" si="3"/>
        <v/>
      </c>
      <c r="N475" s="25" t="str">
        <f t="shared" si="4"/>
        <v/>
      </c>
      <c r="O475" s="25" t="str">
        <f t="shared" si="5"/>
        <v/>
      </c>
      <c r="P475" s="25">
        <f t="shared" si="6"/>
        <v>0</v>
      </c>
      <c r="S475" s="25" t="str">
        <f t="shared" si="7"/>
        <v/>
      </c>
    </row>
    <row r="476" ht="15.75" customHeight="1">
      <c r="A476" s="25" t="str">
        <f t="shared" si="1"/>
        <v>P475</v>
      </c>
      <c r="B476" s="25"/>
      <c r="G476" s="25"/>
      <c r="K476" s="25">
        <f t="shared" si="2"/>
        <v>1</v>
      </c>
      <c r="L476" s="25" t="str">
        <f t="shared" si="8"/>
        <v>الأصل</v>
      </c>
      <c r="M476" s="25" t="str">
        <f t="shared" si="3"/>
        <v/>
      </c>
      <c r="N476" s="25" t="str">
        <f t="shared" si="4"/>
        <v/>
      </c>
      <c r="O476" s="25" t="str">
        <f t="shared" si="5"/>
        <v/>
      </c>
      <c r="P476" s="25">
        <f t="shared" si="6"/>
        <v>0</v>
      </c>
      <c r="S476" s="25" t="str">
        <f t="shared" si="7"/>
        <v/>
      </c>
    </row>
    <row r="477" ht="15.75" customHeight="1">
      <c r="A477" s="25" t="str">
        <f t="shared" si="1"/>
        <v>P476</v>
      </c>
      <c r="B477" s="25"/>
      <c r="G477" s="25"/>
      <c r="K477" s="25">
        <f t="shared" si="2"/>
        <v>1</v>
      </c>
      <c r="L477" s="25" t="str">
        <f t="shared" si="8"/>
        <v>الأصل</v>
      </c>
      <c r="M477" s="25" t="str">
        <f t="shared" si="3"/>
        <v/>
      </c>
      <c r="N477" s="25" t="str">
        <f t="shared" si="4"/>
        <v/>
      </c>
      <c r="O477" s="25" t="str">
        <f t="shared" si="5"/>
        <v/>
      </c>
      <c r="P477" s="25">
        <f t="shared" si="6"/>
        <v>0</v>
      </c>
      <c r="S477" s="25" t="str">
        <f t="shared" si="7"/>
        <v/>
      </c>
    </row>
    <row r="478" ht="15.75" customHeight="1">
      <c r="A478" s="25" t="str">
        <f t="shared" si="1"/>
        <v>P477</v>
      </c>
      <c r="B478" s="25"/>
      <c r="G478" s="25"/>
      <c r="K478" s="25">
        <f t="shared" si="2"/>
        <v>1</v>
      </c>
      <c r="L478" s="25" t="str">
        <f t="shared" si="8"/>
        <v>الأصل</v>
      </c>
      <c r="M478" s="25" t="str">
        <f t="shared" si="3"/>
        <v/>
      </c>
      <c r="N478" s="25" t="str">
        <f t="shared" si="4"/>
        <v/>
      </c>
      <c r="O478" s="25" t="str">
        <f t="shared" si="5"/>
        <v/>
      </c>
      <c r="P478" s="25">
        <f t="shared" si="6"/>
        <v>0</v>
      </c>
      <c r="S478" s="25" t="str">
        <f t="shared" si="7"/>
        <v/>
      </c>
    </row>
    <row r="479" ht="15.75" customHeight="1">
      <c r="A479" s="25" t="str">
        <f t="shared" si="1"/>
        <v>P478</v>
      </c>
      <c r="B479" s="25"/>
      <c r="G479" s="25"/>
      <c r="K479" s="25">
        <f t="shared" si="2"/>
        <v>1</v>
      </c>
      <c r="L479" s="25" t="str">
        <f t="shared" si="8"/>
        <v>الأصل</v>
      </c>
      <c r="M479" s="25" t="str">
        <f t="shared" si="3"/>
        <v/>
      </c>
      <c r="N479" s="25" t="str">
        <f t="shared" si="4"/>
        <v/>
      </c>
      <c r="O479" s="25" t="str">
        <f t="shared" si="5"/>
        <v/>
      </c>
      <c r="P479" s="25">
        <f t="shared" si="6"/>
        <v>0</v>
      </c>
      <c r="S479" s="25" t="str">
        <f t="shared" si="7"/>
        <v/>
      </c>
    </row>
    <row r="480" ht="15.75" customHeight="1">
      <c r="A480" s="25" t="str">
        <f t="shared" si="1"/>
        <v>P479</v>
      </c>
      <c r="B480" s="25"/>
      <c r="G480" s="25"/>
      <c r="K480" s="25">
        <f t="shared" si="2"/>
        <v>1</v>
      </c>
      <c r="L480" s="25" t="str">
        <f t="shared" si="8"/>
        <v>الأصل</v>
      </c>
      <c r="M480" s="25" t="str">
        <f t="shared" si="3"/>
        <v/>
      </c>
      <c r="N480" s="25" t="str">
        <f t="shared" si="4"/>
        <v/>
      </c>
      <c r="O480" s="25" t="str">
        <f t="shared" si="5"/>
        <v/>
      </c>
      <c r="P480" s="25">
        <f t="shared" si="6"/>
        <v>0</v>
      </c>
      <c r="S480" s="25" t="str">
        <f t="shared" si="7"/>
        <v/>
      </c>
    </row>
    <row r="481" ht="15.75" customHeight="1">
      <c r="A481" s="25" t="str">
        <f t="shared" si="1"/>
        <v>P480</v>
      </c>
      <c r="B481" s="25"/>
      <c r="G481" s="25"/>
      <c r="K481" s="25">
        <f t="shared" si="2"/>
        <v>1</v>
      </c>
      <c r="L481" s="25" t="str">
        <f t="shared" si="8"/>
        <v>الأصل</v>
      </c>
      <c r="M481" s="25" t="str">
        <f t="shared" si="3"/>
        <v/>
      </c>
      <c r="N481" s="25" t="str">
        <f t="shared" si="4"/>
        <v/>
      </c>
      <c r="O481" s="25" t="str">
        <f t="shared" si="5"/>
        <v/>
      </c>
      <c r="P481" s="25">
        <f t="shared" si="6"/>
        <v>0</v>
      </c>
      <c r="S481" s="25" t="str">
        <f t="shared" si="7"/>
        <v/>
      </c>
    </row>
    <row r="482" ht="15.75" customHeight="1">
      <c r="A482" s="25" t="str">
        <f t="shared" si="1"/>
        <v>P481</v>
      </c>
      <c r="B482" s="25"/>
      <c r="G482" s="25"/>
      <c r="K482" s="25">
        <f t="shared" si="2"/>
        <v>1</v>
      </c>
      <c r="L482" s="25" t="str">
        <f t="shared" si="8"/>
        <v>الأصل</v>
      </c>
      <c r="M482" s="25" t="str">
        <f t="shared" si="3"/>
        <v/>
      </c>
      <c r="N482" s="25" t="str">
        <f t="shared" si="4"/>
        <v/>
      </c>
      <c r="O482" s="25" t="str">
        <f t="shared" si="5"/>
        <v/>
      </c>
      <c r="P482" s="25">
        <f t="shared" si="6"/>
        <v>0</v>
      </c>
      <c r="S482" s="25" t="str">
        <f t="shared" si="7"/>
        <v/>
      </c>
    </row>
    <row r="483" ht="15.75" customHeight="1">
      <c r="A483" s="25" t="str">
        <f t="shared" si="1"/>
        <v>P482</v>
      </c>
      <c r="B483" s="25"/>
      <c r="G483" s="25"/>
      <c r="K483" s="25">
        <f t="shared" si="2"/>
        <v>1</v>
      </c>
      <c r="L483" s="25" t="str">
        <f t="shared" si="8"/>
        <v>الأصل</v>
      </c>
      <c r="M483" s="25" t="str">
        <f t="shared" si="3"/>
        <v/>
      </c>
      <c r="N483" s="25" t="str">
        <f t="shared" si="4"/>
        <v/>
      </c>
      <c r="O483" s="25" t="str">
        <f t="shared" si="5"/>
        <v/>
      </c>
      <c r="P483" s="25">
        <f t="shared" si="6"/>
        <v>0</v>
      </c>
      <c r="S483" s="25" t="str">
        <f t="shared" si="7"/>
        <v/>
      </c>
    </row>
    <row r="484" ht="15.75" customHeight="1">
      <c r="A484" s="25" t="str">
        <f t="shared" si="1"/>
        <v>P483</v>
      </c>
      <c r="B484" s="25"/>
      <c r="G484" s="25"/>
      <c r="K484" s="25">
        <f t="shared" si="2"/>
        <v>1</v>
      </c>
      <c r="L484" s="25" t="str">
        <f t="shared" si="8"/>
        <v>الأصل</v>
      </c>
      <c r="M484" s="25" t="str">
        <f t="shared" si="3"/>
        <v/>
      </c>
      <c r="N484" s="25" t="str">
        <f t="shared" si="4"/>
        <v/>
      </c>
      <c r="O484" s="25" t="str">
        <f t="shared" si="5"/>
        <v/>
      </c>
      <c r="P484" s="25">
        <f t="shared" si="6"/>
        <v>0</v>
      </c>
      <c r="S484" s="25" t="str">
        <f t="shared" si="7"/>
        <v/>
      </c>
    </row>
    <row r="485" ht="15.75" customHeight="1">
      <c r="A485" s="25" t="str">
        <f t="shared" si="1"/>
        <v>P484</v>
      </c>
      <c r="B485" s="25"/>
      <c r="G485" s="25"/>
      <c r="K485" s="25">
        <f t="shared" si="2"/>
        <v>1</v>
      </c>
      <c r="L485" s="25" t="str">
        <f t="shared" si="8"/>
        <v>الأصل</v>
      </c>
      <c r="M485" s="25" t="str">
        <f t="shared" si="3"/>
        <v/>
      </c>
      <c r="N485" s="25" t="str">
        <f t="shared" si="4"/>
        <v/>
      </c>
      <c r="O485" s="25" t="str">
        <f t="shared" si="5"/>
        <v/>
      </c>
      <c r="P485" s="25">
        <f t="shared" si="6"/>
        <v>0</v>
      </c>
      <c r="S485" s="25" t="str">
        <f t="shared" si="7"/>
        <v/>
      </c>
    </row>
    <row r="486" ht="15.75" customHeight="1">
      <c r="A486" s="25" t="str">
        <f t="shared" si="1"/>
        <v>P485</v>
      </c>
      <c r="B486" s="25"/>
      <c r="G486" s="25"/>
      <c r="K486" s="25">
        <f t="shared" si="2"/>
        <v>1</v>
      </c>
      <c r="L486" s="25" t="str">
        <f t="shared" si="8"/>
        <v>الأصل</v>
      </c>
      <c r="M486" s="25" t="str">
        <f t="shared" si="3"/>
        <v/>
      </c>
      <c r="N486" s="25" t="str">
        <f t="shared" si="4"/>
        <v/>
      </c>
      <c r="O486" s="25" t="str">
        <f t="shared" si="5"/>
        <v/>
      </c>
      <c r="P486" s="25">
        <f t="shared" si="6"/>
        <v>0</v>
      </c>
      <c r="S486" s="25" t="str">
        <f t="shared" si="7"/>
        <v/>
      </c>
    </row>
    <row r="487" ht="15.75" customHeight="1">
      <c r="A487" s="25" t="str">
        <f t="shared" si="1"/>
        <v>P486</v>
      </c>
      <c r="B487" s="25"/>
      <c r="G487" s="25"/>
      <c r="K487" s="25">
        <f t="shared" si="2"/>
        <v>1</v>
      </c>
      <c r="L487" s="25" t="str">
        <f t="shared" si="8"/>
        <v>الأصل</v>
      </c>
      <c r="M487" s="25" t="str">
        <f t="shared" si="3"/>
        <v/>
      </c>
      <c r="N487" s="25" t="str">
        <f t="shared" si="4"/>
        <v/>
      </c>
      <c r="O487" s="25" t="str">
        <f t="shared" si="5"/>
        <v/>
      </c>
      <c r="P487" s="25">
        <f t="shared" si="6"/>
        <v>0</v>
      </c>
      <c r="S487" s="25" t="str">
        <f t="shared" si="7"/>
        <v/>
      </c>
    </row>
    <row r="488" ht="15.75" customHeight="1">
      <c r="A488" s="25" t="str">
        <f t="shared" si="1"/>
        <v>P487</v>
      </c>
      <c r="B488" s="25"/>
      <c r="G488" s="25"/>
      <c r="K488" s="25">
        <f t="shared" si="2"/>
        <v>1</v>
      </c>
      <c r="L488" s="25" t="str">
        <f t="shared" si="8"/>
        <v>الأصل</v>
      </c>
      <c r="M488" s="25" t="str">
        <f t="shared" si="3"/>
        <v/>
      </c>
      <c r="N488" s="25" t="str">
        <f t="shared" si="4"/>
        <v/>
      </c>
      <c r="O488" s="25" t="str">
        <f t="shared" si="5"/>
        <v/>
      </c>
      <c r="P488" s="25">
        <f t="shared" si="6"/>
        <v>0</v>
      </c>
      <c r="S488" s="25" t="str">
        <f t="shared" si="7"/>
        <v/>
      </c>
    </row>
    <row r="489" ht="15.75" customHeight="1">
      <c r="A489" s="25" t="str">
        <f t="shared" si="1"/>
        <v>P488</v>
      </c>
      <c r="B489" s="25"/>
      <c r="G489" s="25"/>
      <c r="K489" s="25">
        <f t="shared" si="2"/>
        <v>1</v>
      </c>
      <c r="L489" s="25" t="str">
        <f t="shared" si="8"/>
        <v>الأصل</v>
      </c>
      <c r="M489" s="25" t="str">
        <f t="shared" si="3"/>
        <v/>
      </c>
      <c r="N489" s="25" t="str">
        <f t="shared" si="4"/>
        <v/>
      </c>
      <c r="O489" s="25" t="str">
        <f t="shared" si="5"/>
        <v/>
      </c>
      <c r="P489" s="25">
        <f t="shared" si="6"/>
        <v>0</v>
      </c>
      <c r="S489" s="25" t="str">
        <f t="shared" si="7"/>
        <v/>
      </c>
    </row>
    <row r="490" ht="15.75" customHeight="1">
      <c r="A490" s="25" t="str">
        <f t="shared" si="1"/>
        <v>P489</v>
      </c>
      <c r="B490" s="25"/>
      <c r="G490" s="25"/>
      <c r="K490" s="25">
        <f t="shared" si="2"/>
        <v>1</v>
      </c>
      <c r="L490" s="25" t="str">
        <f t="shared" si="8"/>
        <v>الأصل</v>
      </c>
      <c r="M490" s="25" t="str">
        <f t="shared" si="3"/>
        <v/>
      </c>
      <c r="N490" s="25" t="str">
        <f t="shared" si="4"/>
        <v/>
      </c>
      <c r="O490" s="25" t="str">
        <f t="shared" si="5"/>
        <v/>
      </c>
      <c r="P490" s="25">
        <f t="shared" si="6"/>
        <v>0</v>
      </c>
      <c r="S490" s="25" t="str">
        <f t="shared" si="7"/>
        <v/>
      </c>
    </row>
    <row r="491" ht="15.75" customHeight="1">
      <c r="A491" s="25" t="str">
        <f t="shared" si="1"/>
        <v>P490</v>
      </c>
      <c r="B491" s="25"/>
      <c r="G491" s="25"/>
      <c r="K491" s="25">
        <f t="shared" si="2"/>
        <v>1</v>
      </c>
      <c r="L491" s="25" t="str">
        <f t="shared" si="8"/>
        <v>الأصل</v>
      </c>
      <c r="M491" s="25" t="str">
        <f t="shared" si="3"/>
        <v/>
      </c>
      <c r="N491" s="25" t="str">
        <f t="shared" si="4"/>
        <v/>
      </c>
      <c r="O491" s="25" t="str">
        <f t="shared" si="5"/>
        <v/>
      </c>
      <c r="P491" s="25">
        <f t="shared" si="6"/>
        <v>0</v>
      </c>
      <c r="S491" s="25" t="str">
        <f t="shared" si="7"/>
        <v/>
      </c>
    </row>
    <row r="492" ht="15.75" customHeight="1">
      <c r="A492" s="25" t="str">
        <f t="shared" si="1"/>
        <v>P491</v>
      </c>
      <c r="B492" s="25"/>
      <c r="G492" s="25"/>
      <c r="K492" s="25">
        <f t="shared" si="2"/>
        <v>1</v>
      </c>
      <c r="L492" s="25" t="str">
        <f t="shared" si="8"/>
        <v>الأصل</v>
      </c>
      <c r="M492" s="25" t="str">
        <f t="shared" si="3"/>
        <v/>
      </c>
      <c r="N492" s="25" t="str">
        <f t="shared" si="4"/>
        <v/>
      </c>
      <c r="O492" s="25" t="str">
        <f t="shared" si="5"/>
        <v/>
      </c>
      <c r="P492" s="25">
        <f t="shared" si="6"/>
        <v>0</v>
      </c>
      <c r="S492" s="25" t="str">
        <f t="shared" si="7"/>
        <v/>
      </c>
    </row>
    <row r="493" ht="15.75" customHeight="1">
      <c r="A493" s="25" t="str">
        <f t="shared" si="1"/>
        <v>P492</v>
      </c>
      <c r="B493" s="25"/>
      <c r="G493" s="25"/>
      <c r="K493" s="25">
        <f t="shared" si="2"/>
        <v>1</v>
      </c>
      <c r="L493" s="25" t="str">
        <f t="shared" si="8"/>
        <v>الأصل</v>
      </c>
      <c r="M493" s="25" t="str">
        <f t="shared" si="3"/>
        <v/>
      </c>
      <c r="N493" s="25" t="str">
        <f t="shared" si="4"/>
        <v/>
      </c>
      <c r="O493" s="25" t="str">
        <f t="shared" si="5"/>
        <v/>
      </c>
      <c r="P493" s="25">
        <f t="shared" si="6"/>
        <v>0</v>
      </c>
      <c r="S493" s="25" t="str">
        <f t="shared" si="7"/>
        <v/>
      </c>
    </row>
    <row r="494" ht="15.75" customHeight="1">
      <c r="A494" s="25" t="str">
        <f t="shared" si="1"/>
        <v>P493</v>
      </c>
      <c r="B494" s="25"/>
      <c r="G494" s="25"/>
      <c r="K494" s="25">
        <f t="shared" si="2"/>
        <v>1</v>
      </c>
      <c r="L494" s="25" t="str">
        <f t="shared" si="8"/>
        <v>الأصل</v>
      </c>
      <c r="M494" s="25" t="str">
        <f t="shared" si="3"/>
        <v/>
      </c>
      <c r="N494" s="25" t="str">
        <f t="shared" si="4"/>
        <v/>
      </c>
      <c r="O494" s="25" t="str">
        <f t="shared" si="5"/>
        <v/>
      </c>
      <c r="P494" s="25">
        <f t="shared" si="6"/>
        <v>0</v>
      </c>
      <c r="S494" s="25" t="str">
        <f t="shared" si="7"/>
        <v/>
      </c>
    </row>
    <row r="495" ht="15.75" customHeight="1">
      <c r="A495" s="25" t="str">
        <f t="shared" si="1"/>
        <v>P494</v>
      </c>
      <c r="B495" s="25"/>
      <c r="G495" s="25"/>
      <c r="K495" s="25">
        <f t="shared" si="2"/>
        <v>1</v>
      </c>
      <c r="L495" s="25" t="str">
        <f t="shared" si="8"/>
        <v>الأصل</v>
      </c>
      <c r="M495" s="25" t="str">
        <f t="shared" si="3"/>
        <v/>
      </c>
      <c r="N495" s="25" t="str">
        <f t="shared" si="4"/>
        <v/>
      </c>
      <c r="O495" s="25" t="str">
        <f t="shared" si="5"/>
        <v/>
      </c>
      <c r="P495" s="25">
        <f t="shared" si="6"/>
        <v>0</v>
      </c>
      <c r="S495" s="25" t="str">
        <f t="shared" si="7"/>
        <v/>
      </c>
    </row>
    <row r="496" ht="15.75" customHeight="1">
      <c r="A496" s="25" t="str">
        <f t="shared" si="1"/>
        <v>P495</v>
      </c>
      <c r="B496" s="25"/>
      <c r="G496" s="25"/>
      <c r="K496" s="25">
        <f t="shared" si="2"/>
        <v>1</v>
      </c>
      <c r="L496" s="25" t="str">
        <f t="shared" si="8"/>
        <v>الأصل</v>
      </c>
      <c r="M496" s="25" t="str">
        <f t="shared" si="3"/>
        <v/>
      </c>
      <c r="N496" s="25" t="str">
        <f t="shared" si="4"/>
        <v/>
      </c>
      <c r="O496" s="25" t="str">
        <f t="shared" si="5"/>
        <v/>
      </c>
      <c r="P496" s="25">
        <f t="shared" si="6"/>
        <v>0</v>
      </c>
      <c r="S496" s="25" t="str">
        <f t="shared" si="7"/>
        <v/>
      </c>
    </row>
    <row r="497" ht="15.75" customHeight="1">
      <c r="A497" s="25" t="str">
        <f t="shared" si="1"/>
        <v>P496</v>
      </c>
      <c r="B497" s="25"/>
      <c r="G497" s="25"/>
      <c r="K497" s="25">
        <f t="shared" si="2"/>
        <v>1</v>
      </c>
      <c r="L497" s="25" t="str">
        <f t="shared" si="8"/>
        <v>الأصل</v>
      </c>
      <c r="M497" s="25" t="str">
        <f t="shared" si="3"/>
        <v/>
      </c>
      <c r="N497" s="25" t="str">
        <f t="shared" si="4"/>
        <v/>
      </c>
      <c r="O497" s="25" t="str">
        <f t="shared" si="5"/>
        <v/>
      </c>
      <c r="P497" s="25">
        <f t="shared" si="6"/>
        <v>0</v>
      </c>
      <c r="S497" s="25" t="str">
        <f t="shared" si="7"/>
        <v/>
      </c>
    </row>
    <row r="498" ht="15.75" customHeight="1">
      <c r="A498" s="25" t="str">
        <f t="shared" si="1"/>
        <v>P497</v>
      </c>
      <c r="B498" s="25"/>
      <c r="G498" s="25"/>
      <c r="K498" s="25">
        <f t="shared" si="2"/>
        <v>1</v>
      </c>
      <c r="L498" s="25" t="str">
        <f t="shared" si="8"/>
        <v>الأصل</v>
      </c>
      <c r="M498" s="25" t="str">
        <f t="shared" si="3"/>
        <v/>
      </c>
      <c r="N498" s="25" t="str">
        <f t="shared" si="4"/>
        <v/>
      </c>
      <c r="O498" s="25" t="str">
        <f t="shared" si="5"/>
        <v/>
      </c>
      <c r="P498" s="25">
        <f t="shared" si="6"/>
        <v>0</v>
      </c>
      <c r="S498" s="25" t="str">
        <f t="shared" si="7"/>
        <v/>
      </c>
    </row>
    <row r="499" ht="15.75" customHeight="1">
      <c r="A499" s="25" t="str">
        <f t="shared" si="1"/>
        <v>P498</v>
      </c>
      <c r="B499" s="25"/>
      <c r="G499" s="25"/>
      <c r="K499" s="25">
        <f t="shared" si="2"/>
        <v>1</v>
      </c>
      <c r="L499" s="25" t="str">
        <f t="shared" si="8"/>
        <v>الأصل</v>
      </c>
      <c r="M499" s="25" t="str">
        <f t="shared" si="3"/>
        <v/>
      </c>
      <c r="N499" s="25" t="str">
        <f t="shared" si="4"/>
        <v/>
      </c>
      <c r="O499" s="25" t="str">
        <f t="shared" si="5"/>
        <v/>
      </c>
      <c r="P499" s="25">
        <f t="shared" si="6"/>
        <v>0</v>
      </c>
      <c r="S499" s="25" t="str">
        <f t="shared" si="7"/>
        <v/>
      </c>
    </row>
    <row r="500" ht="15.75" customHeight="1">
      <c r="A500" s="25" t="str">
        <f t="shared" si="1"/>
        <v>P499</v>
      </c>
      <c r="B500" s="25"/>
      <c r="G500" s="25"/>
      <c r="K500" s="25">
        <f t="shared" si="2"/>
        <v>1</v>
      </c>
      <c r="L500" s="25" t="str">
        <f t="shared" si="8"/>
        <v>الأصل</v>
      </c>
      <c r="M500" s="25" t="str">
        <f t="shared" si="3"/>
        <v/>
      </c>
      <c r="N500" s="25" t="str">
        <f t="shared" si="4"/>
        <v/>
      </c>
      <c r="O500" s="25" t="str">
        <f t="shared" si="5"/>
        <v/>
      </c>
      <c r="P500" s="25">
        <f t="shared" si="6"/>
        <v>0</v>
      </c>
      <c r="S500" s="25" t="str">
        <f t="shared" si="7"/>
        <v/>
      </c>
    </row>
    <row r="501" ht="15.75" customHeight="1">
      <c r="A501" s="25" t="str">
        <f t="shared" si="1"/>
        <v>P500</v>
      </c>
      <c r="B501" s="25"/>
      <c r="G501" s="25"/>
      <c r="K501" s="25">
        <f t="shared" si="2"/>
        <v>1</v>
      </c>
      <c r="L501" s="25" t="str">
        <f t="shared" si="8"/>
        <v>الأصل</v>
      </c>
      <c r="M501" s="25" t="str">
        <f t="shared" si="3"/>
        <v/>
      </c>
      <c r="N501" s="25" t="str">
        <f t="shared" si="4"/>
        <v/>
      </c>
      <c r="O501" s="25" t="str">
        <f t="shared" si="5"/>
        <v/>
      </c>
      <c r="P501" s="25">
        <f t="shared" si="6"/>
        <v>0</v>
      </c>
      <c r="S501" s="25" t="str">
        <f t="shared" si="7"/>
        <v/>
      </c>
    </row>
    <row r="502" ht="15.75" customHeight="1">
      <c r="A502" s="25" t="str">
        <f t="shared" si="1"/>
        <v>P501</v>
      </c>
      <c r="B502" s="25"/>
      <c r="G502" s="25"/>
      <c r="K502" s="25">
        <f t="shared" si="2"/>
        <v>1</v>
      </c>
      <c r="L502" s="25" t="str">
        <f t="shared" si="8"/>
        <v>الأصل</v>
      </c>
      <c r="M502" s="25" t="str">
        <f t="shared" si="3"/>
        <v/>
      </c>
      <c r="N502" s="25" t="str">
        <f t="shared" si="4"/>
        <v/>
      </c>
      <c r="O502" s="25" t="str">
        <f t="shared" si="5"/>
        <v/>
      </c>
      <c r="P502" s="25">
        <f t="shared" si="6"/>
        <v>0</v>
      </c>
      <c r="S502" s="25" t="str">
        <f t="shared" si="7"/>
        <v/>
      </c>
    </row>
    <row r="503" ht="15.75" customHeight="1">
      <c r="A503" s="25" t="str">
        <f t="shared" si="1"/>
        <v>P502</v>
      </c>
      <c r="B503" s="25"/>
      <c r="G503" s="25"/>
      <c r="K503" s="25">
        <f t="shared" si="2"/>
        <v>1</v>
      </c>
      <c r="L503" s="25" t="str">
        <f t="shared" si="8"/>
        <v>الأصل</v>
      </c>
      <c r="M503" s="25" t="str">
        <f t="shared" si="3"/>
        <v/>
      </c>
      <c r="N503" s="25" t="str">
        <f t="shared" si="4"/>
        <v/>
      </c>
      <c r="O503" s="25" t="str">
        <f t="shared" si="5"/>
        <v/>
      </c>
      <c r="P503" s="25">
        <f t="shared" si="6"/>
        <v>0</v>
      </c>
      <c r="S503" s="25" t="str">
        <f t="shared" si="7"/>
        <v/>
      </c>
    </row>
    <row r="504" ht="15.75" customHeight="1">
      <c r="A504" s="25" t="str">
        <f t="shared" si="1"/>
        <v>P503</v>
      </c>
      <c r="B504" s="25"/>
      <c r="G504" s="25"/>
      <c r="K504" s="25">
        <f t="shared" si="2"/>
        <v>1</v>
      </c>
      <c r="L504" s="25" t="str">
        <f t="shared" si="8"/>
        <v>الأصل</v>
      </c>
      <c r="M504" s="25" t="str">
        <f t="shared" si="3"/>
        <v/>
      </c>
      <c r="N504" s="25" t="str">
        <f t="shared" si="4"/>
        <v/>
      </c>
      <c r="O504" s="25" t="str">
        <f t="shared" si="5"/>
        <v/>
      </c>
      <c r="P504" s="25">
        <f t="shared" si="6"/>
        <v>0</v>
      </c>
      <c r="S504" s="25" t="str">
        <f t="shared" si="7"/>
        <v/>
      </c>
    </row>
    <row r="505" ht="15.75" customHeight="1">
      <c r="A505" s="25" t="str">
        <f t="shared" si="1"/>
        <v>P504</v>
      </c>
      <c r="B505" s="25"/>
      <c r="G505" s="25"/>
      <c r="K505" s="25">
        <f t="shared" si="2"/>
        <v>1</v>
      </c>
      <c r="L505" s="25" t="str">
        <f t="shared" si="8"/>
        <v>الأصل</v>
      </c>
      <c r="M505" s="25" t="str">
        <f t="shared" si="3"/>
        <v/>
      </c>
      <c r="N505" s="25" t="str">
        <f t="shared" si="4"/>
        <v/>
      </c>
      <c r="O505" s="25" t="str">
        <f t="shared" si="5"/>
        <v/>
      </c>
      <c r="P505" s="25">
        <f t="shared" si="6"/>
        <v>0</v>
      </c>
      <c r="S505" s="25" t="str">
        <f t="shared" si="7"/>
        <v/>
      </c>
    </row>
    <row r="506" ht="15.75" customHeight="1">
      <c r="A506" s="25" t="str">
        <f t="shared" si="1"/>
        <v>P505</v>
      </c>
      <c r="B506" s="25"/>
      <c r="G506" s="25"/>
      <c r="K506" s="25">
        <f t="shared" si="2"/>
        <v>1</v>
      </c>
      <c r="L506" s="25" t="str">
        <f t="shared" si="8"/>
        <v>الأصل</v>
      </c>
      <c r="M506" s="25" t="str">
        <f t="shared" si="3"/>
        <v/>
      </c>
      <c r="N506" s="25" t="str">
        <f t="shared" si="4"/>
        <v/>
      </c>
      <c r="O506" s="25" t="str">
        <f t="shared" si="5"/>
        <v/>
      </c>
      <c r="P506" s="25">
        <f t="shared" si="6"/>
        <v>0</v>
      </c>
      <c r="S506" s="25" t="str">
        <f t="shared" si="7"/>
        <v/>
      </c>
    </row>
    <row r="507" ht="15.75" customHeight="1">
      <c r="A507" s="25" t="str">
        <f t="shared" si="1"/>
        <v>P506</v>
      </c>
      <c r="B507" s="25"/>
      <c r="G507" s="25"/>
      <c r="K507" s="25">
        <f t="shared" si="2"/>
        <v>1</v>
      </c>
      <c r="L507" s="25" t="str">
        <f t="shared" si="8"/>
        <v>الأصل</v>
      </c>
      <c r="M507" s="25" t="str">
        <f t="shared" si="3"/>
        <v/>
      </c>
      <c r="N507" s="25" t="str">
        <f t="shared" si="4"/>
        <v/>
      </c>
      <c r="O507" s="25" t="str">
        <f t="shared" si="5"/>
        <v/>
      </c>
      <c r="P507" s="25">
        <f t="shared" si="6"/>
        <v>0</v>
      </c>
      <c r="S507" s="25" t="str">
        <f t="shared" si="7"/>
        <v/>
      </c>
    </row>
    <row r="508" ht="15.75" customHeight="1">
      <c r="A508" s="25" t="str">
        <f t="shared" si="1"/>
        <v>P507</v>
      </c>
      <c r="B508" s="25"/>
      <c r="G508" s="25"/>
      <c r="K508" s="25">
        <f t="shared" si="2"/>
        <v>1</v>
      </c>
      <c r="L508" s="25" t="str">
        <f t="shared" si="8"/>
        <v>الأصل</v>
      </c>
      <c r="M508" s="25" t="str">
        <f t="shared" si="3"/>
        <v/>
      </c>
      <c r="N508" s="25" t="str">
        <f t="shared" si="4"/>
        <v/>
      </c>
      <c r="O508" s="25" t="str">
        <f t="shared" si="5"/>
        <v/>
      </c>
      <c r="P508" s="25">
        <f t="shared" si="6"/>
        <v>0</v>
      </c>
      <c r="S508" s="25" t="str">
        <f t="shared" si="7"/>
        <v/>
      </c>
    </row>
    <row r="509" ht="15.75" customHeight="1">
      <c r="A509" s="25" t="str">
        <f t="shared" si="1"/>
        <v>P508</v>
      </c>
      <c r="B509" s="25"/>
      <c r="G509" s="25"/>
      <c r="K509" s="25">
        <f t="shared" si="2"/>
        <v>1</v>
      </c>
      <c r="L509" s="25" t="str">
        <f t="shared" si="8"/>
        <v>الأصل</v>
      </c>
      <c r="M509" s="25" t="str">
        <f t="shared" si="3"/>
        <v/>
      </c>
      <c r="N509" s="25" t="str">
        <f t="shared" si="4"/>
        <v/>
      </c>
      <c r="O509" s="25" t="str">
        <f t="shared" si="5"/>
        <v/>
      </c>
      <c r="P509" s="25">
        <f t="shared" si="6"/>
        <v>0</v>
      </c>
      <c r="S509" s="25" t="str">
        <f t="shared" si="7"/>
        <v/>
      </c>
    </row>
    <row r="510" ht="15.75" customHeight="1">
      <c r="A510" s="25" t="str">
        <f t="shared" si="1"/>
        <v>P509</v>
      </c>
      <c r="B510" s="25"/>
      <c r="G510" s="25"/>
      <c r="K510" s="25">
        <f t="shared" si="2"/>
        <v>1</v>
      </c>
      <c r="L510" s="25" t="str">
        <f t="shared" si="8"/>
        <v>الأصل</v>
      </c>
      <c r="M510" s="25" t="str">
        <f t="shared" si="3"/>
        <v/>
      </c>
      <c r="N510" s="25" t="str">
        <f t="shared" si="4"/>
        <v/>
      </c>
      <c r="O510" s="25" t="str">
        <f t="shared" si="5"/>
        <v/>
      </c>
      <c r="P510" s="25">
        <f t="shared" si="6"/>
        <v>0</v>
      </c>
      <c r="S510" s="25" t="str">
        <f t="shared" si="7"/>
        <v/>
      </c>
    </row>
    <row r="511" ht="15.75" customHeight="1">
      <c r="A511" s="25" t="str">
        <f t="shared" si="1"/>
        <v>P510</v>
      </c>
      <c r="B511" s="25"/>
      <c r="G511" s="25"/>
      <c r="K511" s="25">
        <f t="shared" si="2"/>
        <v>1</v>
      </c>
      <c r="L511" s="25" t="str">
        <f t="shared" si="8"/>
        <v>الأصل</v>
      </c>
      <c r="M511" s="25" t="str">
        <f t="shared" si="3"/>
        <v/>
      </c>
      <c r="N511" s="25" t="str">
        <f t="shared" si="4"/>
        <v/>
      </c>
      <c r="O511" s="25" t="str">
        <f t="shared" si="5"/>
        <v/>
      </c>
      <c r="P511" s="25">
        <f t="shared" si="6"/>
        <v>0</v>
      </c>
      <c r="S511" s="25" t="str">
        <f t="shared" si="7"/>
        <v/>
      </c>
    </row>
    <row r="512" ht="15.75" customHeight="1">
      <c r="A512" s="25" t="str">
        <f t="shared" si="1"/>
        <v>P511</v>
      </c>
      <c r="B512" s="25"/>
      <c r="G512" s="25"/>
      <c r="K512" s="25">
        <f t="shared" si="2"/>
        <v>1</v>
      </c>
      <c r="L512" s="25" t="str">
        <f t="shared" si="8"/>
        <v>الأصل</v>
      </c>
      <c r="M512" s="25" t="str">
        <f t="shared" si="3"/>
        <v/>
      </c>
      <c r="N512" s="25" t="str">
        <f t="shared" si="4"/>
        <v/>
      </c>
      <c r="O512" s="25" t="str">
        <f t="shared" si="5"/>
        <v/>
      </c>
      <c r="P512" s="25">
        <f t="shared" si="6"/>
        <v>0</v>
      </c>
      <c r="S512" s="25" t="str">
        <f t="shared" si="7"/>
        <v/>
      </c>
    </row>
    <row r="513" ht="15.75" customHeight="1">
      <c r="A513" s="25" t="str">
        <f t="shared" si="1"/>
        <v>P512</v>
      </c>
      <c r="B513" s="25"/>
      <c r="G513" s="25"/>
      <c r="K513" s="25">
        <f t="shared" si="2"/>
        <v>1</v>
      </c>
      <c r="L513" s="25" t="str">
        <f t="shared" si="8"/>
        <v>الأصل</v>
      </c>
      <c r="M513" s="25" t="str">
        <f t="shared" si="3"/>
        <v/>
      </c>
      <c r="N513" s="25" t="str">
        <f t="shared" si="4"/>
        <v/>
      </c>
      <c r="O513" s="25" t="str">
        <f t="shared" si="5"/>
        <v/>
      </c>
      <c r="P513" s="25">
        <f t="shared" si="6"/>
        <v>0</v>
      </c>
      <c r="S513" s="25" t="str">
        <f t="shared" si="7"/>
        <v/>
      </c>
    </row>
    <row r="514" ht="15.75" customHeight="1">
      <c r="A514" s="25" t="str">
        <f t="shared" si="1"/>
        <v>P513</v>
      </c>
      <c r="B514" s="25"/>
      <c r="G514" s="25"/>
      <c r="K514" s="25">
        <f t="shared" si="2"/>
        <v>1</v>
      </c>
      <c r="L514" s="25" t="str">
        <f t="shared" si="8"/>
        <v>الأصل</v>
      </c>
      <c r="M514" s="25" t="str">
        <f t="shared" si="3"/>
        <v/>
      </c>
      <c r="N514" s="25" t="str">
        <f t="shared" si="4"/>
        <v/>
      </c>
      <c r="O514" s="25" t="str">
        <f t="shared" si="5"/>
        <v/>
      </c>
      <c r="P514" s="25">
        <f t="shared" si="6"/>
        <v>0</v>
      </c>
      <c r="S514" s="25" t="str">
        <f t="shared" si="7"/>
        <v/>
      </c>
    </row>
    <row r="515" ht="15.75" customHeight="1">
      <c r="A515" s="25" t="str">
        <f t="shared" si="1"/>
        <v>P514</v>
      </c>
      <c r="B515" s="25"/>
      <c r="G515" s="25"/>
      <c r="K515" s="25">
        <f t="shared" si="2"/>
        <v>1</v>
      </c>
      <c r="L515" s="25" t="str">
        <f t="shared" si="8"/>
        <v>الأصل</v>
      </c>
      <c r="M515" s="25" t="str">
        <f t="shared" si="3"/>
        <v/>
      </c>
      <c r="N515" s="25" t="str">
        <f t="shared" si="4"/>
        <v/>
      </c>
      <c r="O515" s="25" t="str">
        <f t="shared" si="5"/>
        <v/>
      </c>
      <c r="P515" s="25">
        <f t="shared" si="6"/>
        <v>0</v>
      </c>
      <c r="S515" s="25" t="str">
        <f t="shared" si="7"/>
        <v/>
      </c>
    </row>
    <row r="516" ht="15.75" customHeight="1">
      <c r="A516" s="25" t="str">
        <f t="shared" si="1"/>
        <v>P515</v>
      </c>
      <c r="B516" s="25"/>
      <c r="G516" s="25"/>
      <c r="K516" s="25">
        <f t="shared" si="2"/>
        <v>1</v>
      </c>
      <c r="L516" s="25" t="str">
        <f t="shared" si="8"/>
        <v>الأصل</v>
      </c>
      <c r="M516" s="25" t="str">
        <f t="shared" si="3"/>
        <v/>
      </c>
      <c r="N516" s="25" t="str">
        <f t="shared" si="4"/>
        <v/>
      </c>
      <c r="O516" s="25" t="str">
        <f t="shared" si="5"/>
        <v/>
      </c>
      <c r="P516" s="25">
        <f t="shared" si="6"/>
        <v>0</v>
      </c>
      <c r="S516" s="25" t="str">
        <f t="shared" si="7"/>
        <v/>
      </c>
    </row>
    <row r="517" ht="15.75" customHeight="1">
      <c r="A517" s="25" t="str">
        <f t="shared" si="1"/>
        <v>P516</v>
      </c>
      <c r="B517" s="25"/>
      <c r="G517" s="25"/>
      <c r="K517" s="25">
        <f t="shared" si="2"/>
        <v>1</v>
      </c>
      <c r="L517" s="25" t="str">
        <f t="shared" si="8"/>
        <v>الأصل</v>
      </c>
      <c r="M517" s="25" t="str">
        <f t="shared" si="3"/>
        <v/>
      </c>
      <c r="N517" s="25" t="str">
        <f t="shared" si="4"/>
        <v/>
      </c>
      <c r="O517" s="25" t="str">
        <f t="shared" si="5"/>
        <v/>
      </c>
      <c r="P517" s="25">
        <f t="shared" si="6"/>
        <v>0</v>
      </c>
      <c r="S517" s="25" t="str">
        <f t="shared" si="7"/>
        <v/>
      </c>
    </row>
    <row r="518" ht="15.75" customHeight="1">
      <c r="A518" s="25" t="str">
        <f t="shared" si="1"/>
        <v>P517</v>
      </c>
      <c r="B518" s="25"/>
      <c r="G518" s="25"/>
      <c r="K518" s="25">
        <f t="shared" si="2"/>
        <v>1</v>
      </c>
      <c r="L518" s="25" t="str">
        <f t="shared" si="8"/>
        <v>الأصل</v>
      </c>
      <c r="M518" s="25" t="str">
        <f t="shared" si="3"/>
        <v/>
      </c>
      <c r="N518" s="25" t="str">
        <f t="shared" si="4"/>
        <v/>
      </c>
      <c r="O518" s="25" t="str">
        <f t="shared" si="5"/>
        <v/>
      </c>
      <c r="P518" s="25">
        <f t="shared" si="6"/>
        <v>0</v>
      </c>
      <c r="S518" s="25" t="str">
        <f t="shared" si="7"/>
        <v/>
      </c>
    </row>
    <row r="519" ht="15.75" customHeight="1">
      <c r="A519" s="25" t="str">
        <f t="shared" si="1"/>
        <v>P518</v>
      </c>
      <c r="B519" s="25"/>
      <c r="G519" s="25"/>
      <c r="K519" s="25">
        <f t="shared" si="2"/>
        <v>1</v>
      </c>
      <c r="L519" s="25" t="str">
        <f t="shared" si="8"/>
        <v>الأصل</v>
      </c>
      <c r="M519" s="25" t="str">
        <f t="shared" si="3"/>
        <v/>
      </c>
      <c r="N519" s="25" t="str">
        <f t="shared" si="4"/>
        <v/>
      </c>
      <c r="O519" s="25" t="str">
        <f t="shared" si="5"/>
        <v/>
      </c>
      <c r="P519" s="25">
        <f t="shared" si="6"/>
        <v>0</v>
      </c>
      <c r="S519" s="25" t="str">
        <f t="shared" si="7"/>
        <v/>
      </c>
    </row>
    <row r="520" ht="15.75" customHeight="1">
      <c r="A520" s="25" t="str">
        <f t="shared" si="1"/>
        <v>P519</v>
      </c>
      <c r="B520" s="25"/>
      <c r="G520" s="25"/>
      <c r="K520" s="25">
        <f t="shared" si="2"/>
        <v>1</v>
      </c>
      <c r="L520" s="25" t="str">
        <f t="shared" si="8"/>
        <v>الأصل</v>
      </c>
      <c r="M520" s="25" t="str">
        <f t="shared" si="3"/>
        <v/>
      </c>
      <c r="N520" s="25" t="str">
        <f t="shared" si="4"/>
        <v/>
      </c>
      <c r="O520" s="25" t="str">
        <f t="shared" si="5"/>
        <v/>
      </c>
      <c r="P520" s="25">
        <f t="shared" si="6"/>
        <v>0</v>
      </c>
      <c r="S520" s="25" t="str">
        <f t="shared" si="7"/>
        <v/>
      </c>
    </row>
    <row r="521" ht="15.75" customHeight="1">
      <c r="A521" s="25" t="str">
        <f t="shared" si="1"/>
        <v>P520</v>
      </c>
      <c r="B521" s="25"/>
      <c r="G521" s="25"/>
      <c r="K521" s="25">
        <f t="shared" si="2"/>
        <v>1</v>
      </c>
      <c r="L521" s="25" t="str">
        <f t="shared" si="8"/>
        <v>الأصل</v>
      </c>
      <c r="M521" s="25" t="str">
        <f t="shared" si="3"/>
        <v/>
      </c>
      <c r="N521" s="25" t="str">
        <f t="shared" si="4"/>
        <v/>
      </c>
      <c r="O521" s="25" t="str">
        <f t="shared" si="5"/>
        <v/>
      </c>
      <c r="P521" s="25">
        <f t="shared" si="6"/>
        <v>0</v>
      </c>
      <c r="S521" s="25" t="str">
        <f t="shared" si="7"/>
        <v/>
      </c>
    </row>
    <row r="522" ht="15.75" customHeight="1">
      <c r="A522" s="25" t="str">
        <f t="shared" si="1"/>
        <v>P521</v>
      </c>
      <c r="B522" s="25"/>
      <c r="G522" s="25"/>
      <c r="K522" s="25">
        <f t="shared" si="2"/>
        <v>1</v>
      </c>
      <c r="L522" s="25" t="str">
        <f t="shared" si="8"/>
        <v>الأصل</v>
      </c>
      <c r="M522" s="25" t="str">
        <f t="shared" si="3"/>
        <v/>
      </c>
      <c r="N522" s="25" t="str">
        <f t="shared" si="4"/>
        <v/>
      </c>
      <c r="O522" s="25" t="str">
        <f t="shared" si="5"/>
        <v/>
      </c>
      <c r="P522" s="25">
        <f t="shared" si="6"/>
        <v>0</v>
      </c>
      <c r="S522" s="25" t="str">
        <f t="shared" si="7"/>
        <v/>
      </c>
    </row>
    <row r="523" ht="15.75" customHeight="1">
      <c r="A523" s="25" t="str">
        <f t="shared" si="1"/>
        <v>P522</v>
      </c>
      <c r="B523" s="25"/>
      <c r="G523" s="25"/>
      <c r="K523" s="25">
        <f t="shared" si="2"/>
        <v>1</v>
      </c>
      <c r="L523" s="25" t="str">
        <f t="shared" si="8"/>
        <v>الأصل</v>
      </c>
      <c r="M523" s="25" t="str">
        <f t="shared" si="3"/>
        <v/>
      </c>
      <c r="N523" s="25" t="str">
        <f t="shared" si="4"/>
        <v/>
      </c>
      <c r="O523" s="25" t="str">
        <f t="shared" si="5"/>
        <v/>
      </c>
      <c r="P523" s="25">
        <f t="shared" si="6"/>
        <v>0</v>
      </c>
      <c r="S523" s="25" t="str">
        <f t="shared" si="7"/>
        <v/>
      </c>
    </row>
    <row r="524" ht="15.75" customHeight="1">
      <c r="A524" s="25" t="str">
        <f t="shared" si="1"/>
        <v>P523</v>
      </c>
      <c r="B524" s="25"/>
      <c r="G524" s="25"/>
      <c r="K524" s="25">
        <f t="shared" si="2"/>
        <v>1</v>
      </c>
      <c r="L524" s="25" t="str">
        <f t="shared" si="8"/>
        <v>الأصل</v>
      </c>
      <c r="M524" s="25" t="str">
        <f t="shared" si="3"/>
        <v/>
      </c>
      <c r="N524" s="25" t="str">
        <f t="shared" si="4"/>
        <v/>
      </c>
      <c r="O524" s="25" t="str">
        <f t="shared" si="5"/>
        <v/>
      </c>
      <c r="P524" s="25">
        <f t="shared" si="6"/>
        <v>0</v>
      </c>
      <c r="S524" s="25" t="str">
        <f t="shared" si="7"/>
        <v/>
      </c>
    </row>
    <row r="525" ht="15.75" customHeight="1">
      <c r="A525" s="25" t="str">
        <f t="shared" si="1"/>
        <v>P524</v>
      </c>
      <c r="B525" s="25"/>
      <c r="G525" s="25"/>
      <c r="K525" s="25">
        <f t="shared" si="2"/>
        <v>1</v>
      </c>
      <c r="L525" s="25" t="str">
        <f t="shared" si="8"/>
        <v>الأصل</v>
      </c>
      <c r="M525" s="25" t="str">
        <f t="shared" si="3"/>
        <v/>
      </c>
      <c r="N525" s="25" t="str">
        <f t="shared" si="4"/>
        <v/>
      </c>
      <c r="O525" s="25" t="str">
        <f t="shared" si="5"/>
        <v/>
      </c>
      <c r="P525" s="25">
        <f t="shared" si="6"/>
        <v>0</v>
      </c>
      <c r="S525" s="25" t="str">
        <f t="shared" si="7"/>
        <v/>
      </c>
    </row>
    <row r="526" ht="15.75" customHeight="1">
      <c r="A526" s="25" t="str">
        <f t="shared" si="1"/>
        <v>P525</v>
      </c>
      <c r="B526" s="25"/>
      <c r="G526" s="25"/>
      <c r="K526" s="25">
        <f t="shared" si="2"/>
        <v>1</v>
      </c>
      <c r="L526" s="25" t="str">
        <f t="shared" si="8"/>
        <v>الأصل</v>
      </c>
      <c r="M526" s="25" t="str">
        <f t="shared" si="3"/>
        <v/>
      </c>
      <c r="N526" s="25" t="str">
        <f t="shared" si="4"/>
        <v/>
      </c>
      <c r="O526" s="25" t="str">
        <f t="shared" si="5"/>
        <v/>
      </c>
      <c r="P526" s="25">
        <f t="shared" si="6"/>
        <v>0</v>
      </c>
      <c r="S526" s="25" t="str">
        <f t="shared" si="7"/>
        <v/>
      </c>
    </row>
    <row r="527" ht="15.75" customHeight="1">
      <c r="A527" s="25" t="str">
        <f t="shared" si="1"/>
        <v>P526</v>
      </c>
      <c r="B527" s="25"/>
      <c r="G527" s="25"/>
      <c r="K527" s="25">
        <f t="shared" si="2"/>
        <v>1</v>
      </c>
      <c r="L527" s="25" t="str">
        <f t="shared" si="8"/>
        <v>الأصل</v>
      </c>
      <c r="M527" s="25" t="str">
        <f t="shared" si="3"/>
        <v/>
      </c>
      <c r="N527" s="25" t="str">
        <f t="shared" si="4"/>
        <v/>
      </c>
      <c r="O527" s="25" t="str">
        <f t="shared" si="5"/>
        <v/>
      </c>
      <c r="P527" s="25">
        <f t="shared" si="6"/>
        <v>0</v>
      </c>
      <c r="S527" s="25" t="str">
        <f t="shared" si="7"/>
        <v/>
      </c>
    </row>
    <row r="528" ht="15.75" customHeight="1">
      <c r="A528" s="25" t="str">
        <f t="shared" si="1"/>
        <v>P527</v>
      </c>
      <c r="B528" s="25"/>
      <c r="G528" s="25"/>
      <c r="K528" s="25">
        <f t="shared" si="2"/>
        <v>1</v>
      </c>
      <c r="L528" s="25" t="str">
        <f t="shared" si="8"/>
        <v>الأصل</v>
      </c>
      <c r="M528" s="25" t="str">
        <f t="shared" si="3"/>
        <v/>
      </c>
      <c r="N528" s="25" t="str">
        <f t="shared" si="4"/>
        <v/>
      </c>
      <c r="O528" s="25" t="str">
        <f t="shared" si="5"/>
        <v/>
      </c>
      <c r="P528" s="25">
        <f t="shared" si="6"/>
        <v>0</v>
      </c>
      <c r="S528" s="25" t="str">
        <f t="shared" si="7"/>
        <v/>
      </c>
    </row>
    <row r="529" ht="15.75" customHeight="1">
      <c r="A529" s="25" t="str">
        <f t="shared" si="1"/>
        <v>P528</v>
      </c>
      <c r="B529" s="25"/>
      <c r="G529" s="25"/>
      <c r="K529" s="25">
        <f t="shared" si="2"/>
        <v>1</v>
      </c>
      <c r="L529" s="25" t="str">
        <f t="shared" si="8"/>
        <v>الأصل</v>
      </c>
      <c r="M529" s="25" t="str">
        <f t="shared" si="3"/>
        <v/>
      </c>
      <c r="N529" s="25" t="str">
        <f t="shared" si="4"/>
        <v/>
      </c>
      <c r="O529" s="25" t="str">
        <f t="shared" si="5"/>
        <v/>
      </c>
      <c r="P529" s="25">
        <f t="shared" si="6"/>
        <v>0</v>
      </c>
      <c r="S529" s="25" t="str">
        <f t="shared" si="7"/>
        <v/>
      </c>
    </row>
    <row r="530" ht="15.75" customHeight="1">
      <c r="A530" s="25" t="str">
        <f t="shared" si="1"/>
        <v>P529</v>
      </c>
      <c r="B530" s="25"/>
      <c r="G530" s="25"/>
      <c r="K530" s="25">
        <f t="shared" si="2"/>
        <v>1</v>
      </c>
      <c r="L530" s="25" t="str">
        <f t="shared" si="8"/>
        <v>الأصل</v>
      </c>
      <c r="M530" s="25" t="str">
        <f t="shared" si="3"/>
        <v/>
      </c>
      <c r="N530" s="25" t="str">
        <f t="shared" si="4"/>
        <v/>
      </c>
      <c r="O530" s="25" t="str">
        <f t="shared" si="5"/>
        <v/>
      </c>
      <c r="P530" s="25">
        <f t="shared" si="6"/>
        <v>0</v>
      </c>
      <c r="S530" s="25" t="str">
        <f t="shared" si="7"/>
        <v/>
      </c>
    </row>
    <row r="531" ht="15.75" customHeight="1">
      <c r="A531" s="25" t="str">
        <f t="shared" si="1"/>
        <v>P530</v>
      </c>
      <c r="B531" s="25"/>
      <c r="G531" s="25"/>
      <c r="K531" s="25">
        <f t="shared" si="2"/>
        <v>1</v>
      </c>
      <c r="L531" s="25" t="str">
        <f t="shared" si="8"/>
        <v>الأصل</v>
      </c>
      <c r="M531" s="25" t="str">
        <f t="shared" si="3"/>
        <v/>
      </c>
      <c r="N531" s="25" t="str">
        <f t="shared" si="4"/>
        <v/>
      </c>
      <c r="O531" s="25" t="str">
        <f t="shared" si="5"/>
        <v/>
      </c>
      <c r="P531" s="25">
        <f t="shared" si="6"/>
        <v>0</v>
      </c>
      <c r="S531" s="25" t="str">
        <f t="shared" si="7"/>
        <v/>
      </c>
    </row>
    <row r="532" ht="15.75" customHeight="1">
      <c r="A532" s="25" t="str">
        <f t="shared" si="1"/>
        <v>P531</v>
      </c>
      <c r="B532" s="25"/>
      <c r="G532" s="25"/>
      <c r="K532" s="25">
        <f t="shared" si="2"/>
        <v>1</v>
      </c>
      <c r="L532" s="25" t="str">
        <f t="shared" si="8"/>
        <v>الأصل</v>
      </c>
      <c r="M532" s="25" t="str">
        <f t="shared" si="3"/>
        <v/>
      </c>
      <c r="N532" s="25" t="str">
        <f t="shared" si="4"/>
        <v/>
      </c>
      <c r="O532" s="25" t="str">
        <f t="shared" si="5"/>
        <v/>
      </c>
      <c r="P532" s="25">
        <f t="shared" si="6"/>
        <v>0</v>
      </c>
      <c r="S532" s="25" t="str">
        <f t="shared" si="7"/>
        <v/>
      </c>
    </row>
    <row r="533" ht="15.75" customHeight="1">
      <c r="A533" s="25" t="str">
        <f t="shared" si="1"/>
        <v>P532</v>
      </c>
      <c r="B533" s="25"/>
      <c r="G533" s="25"/>
      <c r="K533" s="25">
        <f t="shared" si="2"/>
        <v>1</v>
      </c>
      <c r="L533" s="25" t="str">
        <f t="shared" si="8"/>
        <v>الأصل</v>
      </c>
      <c r="M533" s="25" t="str">
        <f t="shared" si="3"/>
        <v/>
      </c>
      <c r="N533" s="25" t="str">
        <f t="shared" si="4"/>
        <v/>
      </c>
      <c r="O533" s="25" t="str">
        <f t="shared" si="5"/>
        <v/>
      </c>
      <c r="P533" s="25">
        <f t="shared" si="6"/>
        <v>0</v>
      </c>
      <c r="S533" s="25" t="str">
        <f t="shared" si="7"/>
        <v/>
      </c>
    </row>
    <row r="534" ht="15.75" customHeight="1">
      <c r="A534" s="25" t="str">
        <f t="shared" si="1"/>
        <v>P533</v>
      </c>
      <c r="B534" s="25"/>
      <c r="G534" s="25"/>
      <c r="K534" s="25">
        <f t="shared" si="2"/>
        <v>1</v>
      </c>
      <c r="L534" s="25" t="str">
        <f t="shared" si="8"/>
        <v>الأصل</v>
      </c>
      <c r="M534" s="25" t="str">
        <f t="shared" si="3"/>
        <v/>
      </c>
      <c r="N534" s="25" t="str">
        <f t="shared" si="4"/>
        <v/>
      </c>
      <c r="O534" s="25" t="str">
        <f t="shared" si="5"/>
        <v/>
      </c>
      <c r="P534" s="25">
        <f t="shared" si="6"/>
        <v>0</v>
      </c>
      <c r="S534" s="25" t="str">
        <f t="shared" si="7"/>
        <v/>
      </c>
    </row>
    <row r="535" ht="15.75" customHeight="1">
      <c r="A535" s="25" t="str">
        <f t="shared" si="1"/>
        <v>P534</v>
      </c>
      <c r="B535" s="25"/>
      <c r="G535" s="25"/>
      <c r="K535" s="25">
        <f t="shared" si="2"/>
        <v>1</v>
      </c>
      <c r="L535" s="25" t="str">
        <f t="shared" si="8"/>
        <v>الأصل</v>
      </c>
      <c r="M535" s="25" t="str">
        <f t="shared" si="3"/>
        <v/>
      </c>
      <c r="N535" s="25" t="str">
        <f t="shared" si="4"/>
        <v/>
      </c>
      <c r="O535" s="25" t="str">
        <f t="shared" si="5"/>
        <v/>
      </c>
      <c r="P535" s="25">
        <f t="shared" si="6"/>
        <v>0</v>
      </c>
      <c r="S535" s="25" t="str">
        <f t="shared" si="7"/>
        <v/>
      </c>
    </row>
    <row r="536" ht="15.75" customHeight="1">
      <c r="A536" s="25" t="str">
        <f t="shared" si="1"/>
        <v>P535</v>
      </c>
      <c r="B536" s="25"/>
      <c r="G536" s="25"/>
      <c r="K536" s="25">
        <f t="shared" si="2"/>
        <v>1</v>
      </c>
      <c r="L536" s="25" t="str">
        <f t="shared" si="8"/>
        <v>الأصل</v>
      </c>
      <c r="M536" s="25" t="str">
        <f t="shared" si="3"/>
        <v/>
      </c>
      <c r="N536" s="25" t="str">
        <f t="shared" si="4"/>
        <v/>
      </c>
      <c r="O536" s="25" t="str">
        <f t="shared" si="5"/>
        <v/>
      </c>
      <c r="P536" s="25">
        <f t="shared" si="6"/>
        <v>0</v>
      </c>
      <c r="S536" s="25" t="str">
        <f t="shared" si="7"/>
        <v/>
      </c>
    </row>
    <row r="537" ht="15.75" customHeight="1">
      <c r="A537" s="25" t="str">
        <f t="shared" si="1"/>
        <v>P536</v>
      </c>
      <c r="B537" s="25"/>
      <c r="G537" s="25"/>
      <c r="K537" s="25">
        <f t="shared" si="2"/>
        <v>1</v>
      </c>
      <c r="L537" s="25" t="str">
        <f t="shared" si="8"/>
        <v>الأصل</v>
      </c>
      <c r="M537" s="25" t="str">
        <f t="shared" si="3"/>
        <v/>
      </c>
      <c r="N537" s="25" t="str">
        <f t="shared" si="4"/>
        <v/>
      </c>
      <c r="O537" s="25" t="str">
        <f t="shared" si="5"/>
        <v/>
      </c>
      <c r="P537" s="25">
        <f t="shared" si="6"/>
        <v>0</v>
      </c>
      <c r="S537" s="25" t="str">
        <f t="shared" si="7"/>
        <v/>
      </c>
    </row>
    <row r="538" ht="15.75" customHeight="1">
      <c r="A538" s="25" t="str">
        <f t="shared" si="1"/>
        <v>P537</v>
      </c>
      <c r="B538" s="25"/>
      <c r="G538" s="25"/>
      <c r="K538" s="25">
        <f t="shared" si="2"/>
        <v>1</v>
      </c>
      <c r="L538" s="25" t="str">
        <f t="shared" si="8"/>
        <v>الأصل</v>
      </c>
      <c r="M538" s="25" t="str">
        <f t="shared" si="3"/>
        <v/>
      </c>
      <c r="N538" s="25" t="str">
        <f t="shared" si="4"/>
        <v/>
      </c>
      <c r="O538" s="25" t="str">
        <f t="shared" si="5"/>
        <v/>
      </c>
      <c r="P538" s="25">
        <f t="shared" si="6"/>
        <v>0</v>
      </c>
      <c r="S538" s="25" t="str">
        <f t="shared" si="7"/>
        <v/>
      </c>
    </row>
    <row r="539" ht="15.75" customHeight="1">
      <c r="A539" s="25" t="str">
        <f t="shared" si="1"/>
        <v>P538</v>
      </c>
      <c r="B539" s="25"/>
      <c r="G539" s="25"/>
      <c r="K539" s="25">
        <f t="shared" si="2"/>
        <v>1</v>
      </c>
      <c r="L539" s="25" t="str">
        <f t="shared" si="8"/>
        <v>الأصل</v>
      </c>
      <c r="M539" s="25" t="str">
        <f t="shared" si="3"/>
        <v/>
      </c>
      <c r="N539" s="25" t="str">
        <f t="shared" si="4"/>
        <v/>
      </c>
      <c r="O539" s="25" t="str">
        <f t="shared" si="5"/>
        <v/>
      </c>
      <c r="P539" s="25">
        <f t="shared" si="6"/>
        <v>0</v>
      </c>
      <c r="S539" s="25" t="str">
        <f t="shared" si="7"/>
        <v/>
      </c>
    </row>
    <row r="540" ht="15.75" customHeight="1">
      <c r="A540" s="25" t="str">
        <f t="shared" si="1"/>
        <v>P539</v>
      </c>
      <c r="B540" s="25"/>
      <c r="G540" s="25"/>
      <c r="K540" s="25">
        <f t="shared" si="2"/>
        <v>1</v>
      </c>
      <c r="L540" s="25" t="str">
        <f t="shared" si="8"/>
        <v>الأصل</v>
      </c>
      <c r="M540" s="25" t="str">
        <f t="shared" si="3"/>
        <v/>
      </c>
      <c r="N540" s="25" t="str">
        <f t="shared" si="4"/>
        <v/>
      </c>
      <c r="O540" s="25" t="str">
        <f t="shared" si="5"/>
        <v/>
      </c>
      <c r="P540" s="25">
        <f t="shared" si="6"/>
        <v>0</v>
      </c>
      <c r="S540" s="25" t="str">
        <f t="shared" si="7"/>
        <v/>
      </c>
    </row>
    <row r="541" ht="15.75" customHeight="1">
      <c r="A541" s="25" t="str">
        <f t="shared" si="1"/>
        <v>P540</v>
      </c>
      <c r="B541" s="25"/>
      <c r="G541" s="25"/>
      <c r="K541" s="25">
        <f t="shared" si="2"/>
        <v>1</v>
      </c>
      <c r="L541" s="25" t="str">
        <f t="shared" si="8"/>
        <v>الأصل</v>
      </c>
      <c r="M541" s="25" t="str">
        <f t="shared" si="3"/>
        <v/>
      </c>
      <c r="N541" s="25" t="str">
        <f t="shared" si="4"/>
        <v/>
      </c>
      <c r="O541" s="25" t="str">
        <f t="shared" si="5"/>
        <v/>
      </c>
      <c r="P541" s="25">
        <f t="shared" si="6"/>
        <v>0</v>
      </c>
      <c r="S541" s="25" t="str">
        <f t="shared" si="7"/>
        <v/>
      </c>
    </row>
    <row r="542" ht="15.75" customHeight="1">
      <c r="A542" s="25" t="str">
        <f t="shared" si="1"/>
        <v>P541</v>
      </c>
      <c r="B542" s="25"/>
      <c r="G542" s="25"/>
      <c r="K542" s="25">
        <f t="shared" si="2"/>
        <v>1</v>
      </c>
      <c r="L542" s="25" t="str">
        <f t="shared" si="8"/>
        <v>الأصل</v>
      </c>
      <c r="M542" s="25" t="str">
        <f t="shared" si="3"/>
        <v/>
      </c>
      <c r="N542" s="25" t="str">
        <f t="shared" si="4"/>
        <v/>
      </c>
      <c r="O542" s="25" t="str">
        <f t="shared" si="5"/>
        <v/>
      </c>
      <c r="P542" s="25">
        <f t="shared" si="6"/>
        <v>0</v>
      </c>
      <c r="S542" s="25" t="str">
        <f t="shared" si="7"/>
        <v/>
      </c>
    </row>
    <row r="543" ht="15.75" customHeight="1">
      <c r="A543" s="25" t="str">
        <f t="shared" si="1"/>
        <v>P542</v>
      </c>
      <c r="B543" s="25"/>
      <c r="G543" s="25"/>
      <c r="K543" s="25">
        <f t="shared" si="2"/>
        <v>1</v>
      </c>
      <c r="L543" s="25" t="str">
        <f t="shared" si="8"/>
        <v>الأصل</v>
      </c>
      <c r="M543" s="25" t="str">
        <f t="shared" si="3"/>
        <v/>
      </c>
      <c r="N543" s="25" t="str">
        <f t="shared" si="4"/>
        <v/>
      </c>
      <c r="O543" s="25" t="str">
        <f t="shared" si="5"/>
        <v/>
      </c>
      <c r="P543" s="25">
        <f t="shared" si="6"/>
        <v>0</v>
      </c>
      <c r="S543" s="25" t="str">
        <f t="shared" si="7"/>
        <v/>
      </c>
    </row>
    <row r="544" ht="15.75" customHeight="1">
      <c r="A544" s="25" t="str">
        <f t="shared" si="1"/>
        <v>P543</v>
      </c>
      <c r="B544" s="25"/>
      <c r="G544" s="25"/>
      <c r="K544" s="25">
        <f t="shared" si="2"/>
        <v>1</v>
      </c>
      <c r="L544" s="25" t="str">
        <f t="shared" si="8"/>
        <v>الأصل</v>
      </c>
      <c r="M544" s="25" t="str">
        <f t="shared" si="3"/>
        <v/>
      </c>
      <c r="N544" s="25" t="str">
        <f t="shared" si="4"/>
        <v/>
      </c>
      <c r="O544" s="25" t="str">
        <f t="shared" si="5"/>
        <v/>
      </c>
      <c r="P544" s="25">
        <f t="shared" si="6"/>
        <v>0</v>
      </c>
      <c r="S544" s="25" t="str">
        <f t="shared" si="7"/>
        <v/>
      </c>
    </row>
    <row r="545" ht="15.75" customHeight="1">
      <c r="A545" s="25" t="str">
        <f t="shared" si="1"/>
        <v>P544</v>
      </c>
      <c r="B545" s="25"/>
      <c r="G545" s="25"/>
      <c r="K545" s="25">
        <f t="shared" si="2"/>
        <v>1</v>
      </c>
      <c r="L545" s="25" t="str">
        <f t="shared" si="8"/>
        <v>الأصل</v>
      </c>
      <c r="M545" s="25" t="str">
        <f t="shared" si="3"/>
        <v/>
      </c>
      <c r="N545" s="25" t="str">
        <f t="shared" si="4"/>
        <v/>
      </c>
      <c r="O545" s="25" t="str">
        <f t="shared" si="5"/>
        <v/>
      </c>
      <c r="P545" s="25">
        <f t="shared" si="6"/>
        <v>0</v>
      </c>
      <c r="S545" s="25" t="str">
        <f t="shared" si="7"/>
        <v/>
      </c>
    </row>
    <row r="546" ht="15.75" customHeight="1">
      <c r="A546" s="25" t="str">
        <f t="shared" si="1"/>
        <v>P545</v>
      </c>
      <c r="B546" s="25"/>
      <c r="G546" s="25"/>
      <c r="K546" s="25">
        <f t="shared" si="2"/>
        <v>1</v>
      </c>
      <c r="L546" s="25" t="str">
        <f t="shared" si="8"/>
        <v>الأصل</v>
      </c>
      <c r="M546" s="25" t="str">
        <f t="shared" si="3"/>
        <v/>
      </c>
      <c r="N546" s="25" t="str">
        <f t="shared" si="4"/>
        <v/>
      </c>
      <c r="O546" s="25" t="str">
        <f t="shared" si="5"/>
        <v/>
      </c>
      <c r="P546" s="25">
        <f t="shared" si="6"/>
        <v>0</v>
      </c>
      <c r="S546" s="25" t="str">
        <f t="shared" si="7"/>
        <v/>
      </c>
    </row>
    <row r="547" ht="15.75" customHeight="1">
      <c r="A547" s="25" t="str">
        <f t="shared" si="1"/>
        <v>P546</v>
      </c>
      <c r="B547" s="25"/>
      <c r="G547" s="25"/>
      <c r="K547" s="25">
        <f t="shared" si="2"/>
        <v>1</v>
      </c>
      <c r="L547" s="25" t="str">
        <f t="shared" si="8"/>
        <v>الأصل</v>
      </c>
      <c r="M547" s="25" t="str">
        <f t="shared" si="3"/>
        <v/>
      </c>
      <c r="N547" s="25" t="str">
        <f t="shared" si="4"/>
        <v/>
      </c>
      <c r="O547" s="25" t="str">
        <f t="shared" si="5"/>
        <v/>
      </c>
      <c r="P547" s="25">
        <f t="shared" si="6"/>
        <v>0</v>
      </c>
      <c r="S547" s="25" t="str">
        <f t="shared" si="7"/>
        <v/>
      </c>
    </row>
    <row r="548" ht="15.75" customHeight="1">
      <c r="A548" s="25" t="str">
        <f t="shared" si="1"/>
        <v>P547</v>
      </c>
      <c r="B548" s="25"/>
      <c r="G548" s="25"/>
      <c r="K548" s="25">
        <f t="shared" si="2"/>
        <v>1</v>
      </c>
      <c r="L548" s="25" t="str">
        <f t="shared" si="8"/>
        <v>الأصل</v>
      </c>
      <c r="M548" s="25" t="str">
        <f t="shared" si="3"/>
        <v/>
      </c>
      <c r="N548" s="25" t="str">
        <f t="shared" si="4"/>
        <v/>
      </c>
      <c r="O548" s="25" t="str">
        <f t="shared" si="5"/>
        <v/>
      </c>
      <c r="P548" s="25">
        <f t="shared" si="6"/>
        <v>0</v>
      </c>
      <c r="S548" s="25" t="str">
        <f t="shared" si="7"/>
        <v/>
      </c>
    </row>
    <row r="549" ht="15.75" customHeight="1">
      <c r="A549" s="25" t="str">
        <f t="shared" si="1"/>
        <v>P548</v>
      </c>
      <c r="B549" s="25"/>
      <c r="G549" s="25"/>
      <c r="K549" s="25">
        <f t="shared" si="2"/>
        <v>1</v>
      </c>
      <c r="L549" s="25" t="str">
        <f t="shared" si="8"/>
        <v>الأصل</v>
      </c>
      <c r="M549" s="25" t="str">
        <f t="shared" si="3"/>
        <v/>
      </c>
      <c r="N549" s="25" t="str">
        <f t="shared" si="4"/>
        <v/>
      </c>
      <c r="O549" s="25" t="str">
        <f t="shared" si="5"/>
        <v/>
      </c>
      <c r="P549" s="25">
        <f t="shared" si="6"/>
        <v>0</v>
      </c>
      <c r="S549" s="25" t="str">
        <f t="shared" si="7"/>
        <v/>
      </c>
    </row>
    <row r="550" ht="15.75" customHeight="1">
      <c r="A550" s="25" t="str">
        <f t="shared" si="1"/>
        <v>P549</v>
      </c>
      <c r="B550" s="25"/>
      <c r="G550" s="25"/>
      <c r="K550" s="25">
        <f t="shared" si="2"/>
        <v>1</v>
      </c>
      <c r="L550" s="25" t="str">
        <f t="shared" si="8"/>
        <v>الأصل</v>
      </c>
      <c r="M550" s="25" t="str">
        <f t="shared" si="3"/>
        <v/>
      </c>
      <c r="N550" s="25" t="str">
        <f t="shared" si="4"/>
        <v/>
      </c>
      <c r="O550" s="25" t="str">
        <f t="shared" si="5"/>
        <v/>
      </c>
      <c r="P550" s="25">
        <f t="shared" si="6"/>
        <v>0</v>
      </c>
      <c r="S550" s="25" t="str">
        <f t="shared" si="7"/>
        <v/>
      </c>
    </row>
    <row r="551" ht="15.75" customHeight="1">
      <c r="A551" s="25" t="str">
        <f t="shared" si="1"/>
        <v>P550</v>
      </c>
      <c r="B551" s="25"/>
      <c r="G551" s="25"/>
      <c r="K551" s="25">
        <f t="shared" si="2"/>
        <v>1</v>
      </c>
      <c r="L551" s="25" t="str">
        <f t="shared" si="8"/>
        <v>الأصل</v>
      </c>
      <c r="M551" s="25" t="str">
        <f t="shared" si="3"/>
        <v/>
      </c>
      <c r="N551" s="25" t="str">
        <f t="shared" si="4"/>
        <v/>
      </c>
      <c r="O551" s="25" t="str">
        <f t="shared" si="5"/>
        <v/>
      </c>
      <c r="P551" s="25">
        <f t="shared" si="6"/>
        <v>0</v>
      </c>
      <c r="S551" s="25" t="str">
        <f t="shared" si="7"/>
        <v/>
      </c>
    </row>
    <row r="552" ht="15.75" customHeight="1">
      <c r="A552" s="25" t="str">
        <f t="shared" si="1"/>
        <v>P551</v>
      </c>
      <c r="B552" s="25"/>
      <c r="G552" s="25"/>
      <c r="K552" s="25">
        <f t="shared" si="2"/>
        <v>1</v>
      </c>
      <c r="L552" s="25" t="str">
        <f t="shared" si="8"/>
        <v>الأصل</v>
      </c>
      <c r="M552" s="25" t="str">
        <f t="shared" si="3"/>
        <v/>
      </c>
      <c r="N552" s="25" t="str">
        <f t="shared" si="4"/>
        <v/>
      </c>
      <c r="O552" s="25" t="str">
        <f t="shared" si="5"/>
        <v/>
      </c>
      <c r="P552" s="25">
        <f t="shared" si="6"/>
        <v>0</v>
      </c>
      <c r="S552" s="25" t="str">
        <f t="shared" si="7"/>
        <v/>
      </c>
    </row>
    <row r="553" ht="15.75" customHeight="1">
      <c r="A553" s="25" t="str">
        <f t="shared" si="1"/>
        <v>P552</v>
      </c>
      <c r="B553" s="25"/>
      <c r="G553" s="25"/>
      <c r="K553" s="25">
        <f t="shared" si="2"/>
        <v>1</v>
      </c>
      <c r="L553" s="25" t="str">
        <f t="shared" si="8"/>
        <v>الأصل</v>
      </c>
      <c r="M553" s="25" t="str">
        <f t="shared" si="3"/>
        <v/>
      </c>
      <c r="N553" s="25" t="str">
        <f t="shared" si="4"/>
        <v/>
      </c>
      <c r="O553" s="25" t="str">
        <f t="shared" si="5"/>
        <v/>
      </c>
      <c r="P553" s="25">
        <f t="shared" si="6"/>
        <v>0</v>
      </c>
      <c r="S553" s="25" t="str">
        <f t="shared" si="7"/>
        <v/>
      </c>
    </row>
    <row r="554" ht="15.75" customHeight="1">
      <c r="A554" s="25" t="str">
        <f t="shared" si="1"/>
        <v>P553</v>
      </c>
      <c r="B554" s="25"/>
      <c r="G554" s="25"/>
      <c r="K554" s="25">
        <f t="shared" si="2"/>
        <v>1</v>
      </c>
      <c r="L554" s="25" t="str">
        <f t="shared" si="8"/>
        <v>الأصل</v>
      </c>
      <c r="M554" s="25" t="str">
        <f t="shared" si="3"/>
        <v/>
      </c>
      <c r="N554" s="25" t="str">
        <f t="shared" si="4"/>
        <v/>
      </c>
      <c r="O554" s="25" t="str">
        <f t="shared" si="5"/>
        <v/>
      </c>
      <c r="P554" s="25">
        <f t="shared" si="6"/>
        <v>0</v>
      </c>
      <c r="S554" s="25" t="str">
        <f t="shared" si="7"/>
        <v/>
      </c>
    </row>
    <row r="555" ht="15.75" customHeight="1">
      <c r="A555" s="25" t="str">
        <f t="shared" si="1"/>
        <v>P554</v>
      </c>
      <c r="B555" s="25"/>
      <c r="G555" s="25"/>
      <c r="K555" s="25">
        <f t="shared" si="2"/>
        <v>1</v>
      </c>
      <c r="L555" s="25" t="str">
        <f t="shared" si="8"/>
        <v>الأصل</v>
      </c>
      <c r="M555" s="25" t="str">
        <f t="shared" si="3"/>
        <v/>
      </c>
      <c r="N555" s="25" t="str">
        <f t="shared" si="4"/>
        <v/>
      </c>
      <c r="O555" s="25" t="str">
        <f t="shared" si="5"/>
        <v/>
      </c>
      <c r="P555" s="25">
        <f t="shared" si="6"/>
        <v>0</v>
      </c>
      <c r="S555" s="25" t="str">
        <f t="shared" si="7"/>
        <v/>
      </c>
    </row>
    <row r="556" ht="15.75" customHeight="1">
      <c r="A556" s="25" t="str">
        <f t="shared" si="1"/>
        <v>P555</v>
      </c>
      <c r="B556" s="25"/>
      <c r="G556" s="25"/>
      <c r="K556" s="25">
        <f t="shared" si="2"/>
        <v>1</v>
      </c>
      <c r="L556" s="25" t="str">
        <f t="shared" si="8"/>
        <v>الأصل</v>
      </c>
      <c r="M556" s="25" t="str">
        <f t="shared" si="3"/>
        <v/>
      </c>
      <c r="N556" s="25" t="str">
        <f t="shared" si="4"/>
        <v/>
      </c>
      <c r="O556" s="25" t="str">
        <f t="shared" si="5"/>
        <v/>
      </c>
      <c r="P556" s="25">
        <f t="shared" si="6"/>
        <v>0</v>
      </c>
      <c r="S556" s="25" t="str">
        <f t="shared" si="7"/>
        <v/>
      </c>
    </row>
    <row r="557" ht="15.75" customHeight="1">
      <c r="A557" s="25" t="str">
        <f t="shared" si="1"/>
        <v>P556</v>
      </c>
      <c r="B557" s="25"/>
      <c r="G557" s="25"/>
      <c r="K557" s="25">
        <f t="shared" si="2"/>
        <v>1</v>
      </c>
      <c r="L557" s="25" t="str">
        <f t="shared" si="8"/>
        <v>الأصل</v>
      </c>
      <c r="M557" s="25" t="str">
        <f t="shared" si="3"/>
        <v/>
      </c>
      <c r="N557" s="25" t="str">
        <f t="shared" si="4"/>
        <v/>
      </c>
      <c r="O557" s="25" t="str">
        <f t="shared" si="5"/>
        <v/>
      </c>
      <c r="P557" s="25">
        <f t="shared" si="6"/>
        <v>0</v>
      </c>
      <c r="S557" s="25" t="str">
        <f t="shared" si="7"/>
        <v/>
      </c>
    </row>
    <row r="558" ht="15.75" customHeight="1">
      <c r="A558" s="25" t="str">
        <f t="shared" si="1"/>
        <v>P557</v>
      </c>
      <c r="B558" s="25"/>
      <c r="G558" s="25"/>
      <c r="K558" s="25">
        <f t="shared" si="2"/>
        <v>1</v>
      </c>
      <c r="L558" s="25" t="str">
        <f t="shared" si="8"/>
        <v>الأصل</v>
      </c>
      <c r="M558" s="25" t="str">
        <f t="shared" si="3"/>
        <v/>
      </c>
      <c r="N558" s="25" t="str">
        <f t="shared" si="4"/>
        <v/>
      </c>
      <c r="O558" s="25" t="str">
        <f t="shared" si="5"/>
        <v/>
      </c>
      <c r="P558" s="25">
        <f t="shared" si="6"/>
        <v>0</v>
      </c>
      <c r="S558" s="25" t="str">
        <f t="shared" si="7"/>
        <v/>
      </c>
    </row>
    <row r="559" ht="15.75" customHeight="1">
      <c r="A559" s="25" t="str">
        <f t="shared" si="1"/>
        <v>P558</v>
      </c>
      <c r="B559" s="25"/>
      <c r="G559" s="25"/>
      <c r="K559" s="25">
        <f t="shared" si="2"/>
        <v>1</v>
      </c>
      <c r="L559" s="25" t="str">
        <f t="shared" si="8"/>
        <v>الأصل</v>
      </c>
      <c r="M559" s="25" t="str">
        <f t="shared" si="3"/>
        <v/>
      </c>
      <c r="N559" s="25" t="str">
        <f t="shared" si="4"/>
        <v/>
      </c>
      <c r="O559" s="25" t="str">
        <f t="shared" si="5"/>
        <v/>
      </c>
      <c r="P559" s="25">
        <f t="shared" si="6"/>
        <v>0</v>
      </c>
      <c r="S559" s="25" t="str">
        <f t="shared" si="7"/>
        <v/>
      </c>
    </row>
    <row r="560" ht="15.75" customHeight="1">
      <c r="A560" s="25" t="str">
        <f t="shared" si="1"/>
        <v>P559</v>
      </c>
      <c r="B560" s="25"/>
      <c r="G560" s="25"/>
      <c r="K560" s="25">
        <f t="shared" si="2"/>
        <v>1</v>
      </c>
      <c r="L560" s="25" t="str">
        <f t="shared" si="8"/>
        <v>الأصل</v>
      </c>
      <c r="M560" s="25" t="str">
        <f t="shared" si="3"/>
        <v/>
      </c>
      <c r="N560" s="25" t="str">
        <f t="shared" si="4"/>
        <v/>
      </c>
      <c r="O560" s="25" t="str">
        <f t="shared" si="5"/>
        <v/>
      </c>
      <c r="P560" s="25">
        <f t="shared" si="6"/>
        <v>0</v>
      </c>
      <c r="S560" s="25" t="str">
        <f t="shared" si="7"/>
        <v/>
      </c>
    </row>
    <row r="561" ht="15.75" customHeight="1">
      <c r="A561" s="25" t="str">
        <f t="shared" si="1"/>
        <v>P560</v>
      </c>
      <c r="B561" s="25"/>
      <c r="G561" s="25"/>
      <c r="K561" s="25">
        <f t="shared" si="2"/>
        <v>1</v>
      </c>
      <c r="L561" s="25" t="str">
        <f t="shared" si="8"/>
        <v>الأصل</v>
      </c>
      <c r="M561" s="25" t="str">
        <f t="shared" si="3"/>
        <v/>
      </c>
      <c r="N561" s="25" t="str">
        <f t="shared" si="4"/>
        <v/>
      </c>
      <c r="O561" s="25" t="str">
        <f t="shared" si="5"/>
        <v/>
      </c>
      <c r="P561" s="25">
        <f t="shared" si="6"/>
        <v>0</v>
      </c>
      <c r="S561" s="25" t="str">
        <f t="shared" si="7"/>
        <v/>
      </c>
    </row>
    <row r="562" ht="15.75" customHeight="1">
      <c r="A562" s="25" t="str">
        <f t="shared" si="1"/>
        <v>P561</v>
      </c>
      <c r="B562" s="25"/>
      <c r="G562" s="25"/>
      <c r="K562" s="25">
        <f t="shared" si="2"/>
        <v>1</v>
      </c>
      <c r="L562" s="25" t="str">
        <f t="shared" si="8"/>
        <v>الأصل</v>
      </c>
      <c r="M562" s="25" t="str">
        <f t="shared" si="3"/>
        <v/>
      </c>
      <c r="N562" s="25" t="str">
        <f t="shared" si="4"/>
        <v/>
      </c>
      <c r="O562" s="25" t="str">
        <f t="shared" si="5"/>
        <v/>
      </c>
      <c r="P562" s="25">
        <f t="shared" si="6"/>
        <v>0</v>
      </c>
      <c r="S562" s="25" t="str">
        <f t="shared" si="7"/>
        <v/>
      </c>
    </row>
    <row r="563" ht="15.75" customHeight="1">
      <c r="A563" s="25" t="str">
        <f t="shared" si="1"/>
        <v>P562</v>
      </c>
      <c r="B563" s="25"/>
      <c r="G563" s="25"/>
      <c r="K563" s="25">
        <f t="shared" si="2"/>
        <v>1</v>
      </c>
      <c r="L563" s="25" t="str">
        <f t="shared" si="8"/>
        <v>الأصل</v>
      </c>
      <c r="M563" s="25" t="str">
        <f t="shared" si="3"/>
        <v/>
      </c>
      <c r="N563" s="25" t="str">
        <f t="shared" si="4"/>
        <v/>
      </c>
      <c r="O563" s="25" t="str">
        <f t="shared" si="5"/>
        <v/>
      </c>
      <c r="P563" s="25">
        <f t="shared" si="6"/>
        <v>0</v>
      </c>
      <c r="S563" s="25" t="str">
        <f t="shared" si="7"/>
        <v/>
      </c>
    </row>
    <row r="564" ht="15.75" customHeight="1">
      <c r="A564" s="25" t="str">
        <f t="shared" si="1"/>
        <v>P563</v>
      </c>
      <c r="B564" s="25"/>
      <c r="G564" s="25"/>
      <c r="K564" s="25">
        <f t="shared" si="2"/>
        <v>1</v>
      </c>
      <c r="L564" s="25" t="str">
        <f t="shared" si="8"/>
        <v>الأصل</v>
      </c>
      <c r="M564" s="25" t="str">
        <f t="shared" si="3"/>
        <v/>
      </c>
      <c r="N564" s="25" t="str">
        <f t="shared" si="4"/>
        <v/>
      </c>
      <c r="O564" s="25" t="str">
        <f t="shared" si="5"/>
        <v/>
      </c>
      <c r="P564" s="25">
        <f t="shared" si="6"/>
        <v>0</v>
      </c>
      <c r="S564" s="25" t="str">
        <f t="shared" si="7"/>
        <v/>
      </c>
    </row>
    <row r="565" ht="15.75" customHeight="1">
      <c r="A565" s="25" t="str">
        <f t="shared" si="1"/>
        <v>P564</v>
      </c>
      <c r="B565" s="25"/>
      <c r="G565" s="25"/>
      <c r="K565" s="25">
        <f t="shared" si="2"/>
        <v>1</v>
      </c>
      <c r="L565" s="25" t="str">
        <f t="shared" si="8"/>
        <v>الأصل</v>
      </c>
      <c r="M565" s="25" t="str">
        <f t="shared" si="3"/>
        <v/>
      </c>
      <c r="N565" s="25" t="str">
        <f t="shared" si="4"/>
        <v/>
      </c>
      <c r="O565" s="25" t="str">
        <f t="shared" si="5"/>
        <v/>
      </c>
      <c r="P565" s="25">
        <f t="shared" si="6"/>
        <v>0</v>
      </c>
      <c r="S565" s="25" t="str">
        <f t="shared" si="7"/>
        <v/>
      </c>
    </row>
    <row r="566" ht="15.75" customHeight="1">
      <c r="A566" s="25" t="str">
        <f t="shared" si="1"/>
        <v>P565</v>
      </c>
      <c r="B566" s="25"/>
      <c r="G566" s="25"/>
      <c r="K566" s="25">
        <f t="shared" si="2"/>
        <v>1</v>
      </c>
      <c r="L566" s="25" t="str">
        <f t="shared" si="8"/>
        <v>الأصل</v>
      </c>
      <c r="M566" s="25" t="str">
        <f t="shared" si="3"/>
        <v/>
      </c>
      <c r="N566" s="25" t="str">
        <f t="shared" si="4"/>
        <v/>
      </c>
      <c r="O566" s="25" t="str">
        <f t="shared" si="5"/>
        <v/>
      </c>
      <c r="P566" s="25">
        <f t="shared" si="6"/>
        <v>0</v>
      </c>
      <c r="S566" s="25" t="str">
        <f t="shared" si="7"/>
        <v/>
      </c>
    </row>
    <row r="567" ht="15.75" customHeight="1">
      <c r="A567" s="25" t="str">
        <f t="shared" si="1"/>
        <v>P566</v>
      </c>
      <c r="B567" s="25"/>
      <c r="G567" s="25"/>
      <c r="K567" s="25">
        <f t="shared" si="2"/>
        <v>1</v>
      </c>
      <c r="L567" s="25" t="str">
        <f t="shared" si="8"/>
        <v>الأصل</v>
      </c>
      <c r="M567" s="25" t="str">
        <f t="shared" si="3"/>
        <v/>
      </c>
      <c r="N567" s="25" t="str">
        <f t="shared" si="4"/>
        <v/>
      </c>
      <c r="O567" s="25" t="str">
        <f t="shared" si="5"/>
        <v/>
      </c>
      <c r="P567" s="25">
        <f t="shared" si="6"/>
        <v>0</v>
      </c>
      <c r="S567" s="25" t="str">
        <f t="shared" si="7"/>
        <v/>
      </c>
    </row>
    <row r="568" ht="15.75" customHeight="1">
      <c r="A568" s="25" t="str">
        <f t="shared" si="1"/>
        <v>P567</v>
      </c>
      <c r="B568" s="25"/>
      <c r="G568" s="25"/>
      <c r="K568" s="25">
        <f t="shared" si="2"/>
        <v>1</v>
      </c>
      <c r="L568" s="25" t="str">
        <f t="shared" si="8"/>
        <v>الأصل</v>
      </c>
      <c r="M568" s="25" t="str">
        <f t="shared" si="3"/>
        <v/>
      </c>
      <c r="N568" s="25" t="str">
        <f t="shared" si="4"/>
        <v/>
      </c>
      <c r="O568" s="25" t="str">
        <f t="shared" si="5"/>
        <v/>
      </c>
      <c r="P568" s="25">
        <f t="shared" si="6"/>
        <v>0</v>
      </c>
      <c r="S568" s="25" t="str">
        <f t="shared" si="7"/>
        <v/>
      </c>
    </row>
    <row r="569" ht="15.75" customHeight="1">
      <c r="A569" s="25" t="str">
        <f t="shared" si="1"/>
        <v>P568</v>
      </c>
      <c r="B569" s="25"/>
      <c r="G569" s="25"/>
      <c r="K569" s="25">
        <f t="shared" si="2"/>
        <v>1</v>
      </c>
      <c r="L569" s="25" t="str">
        <f t="shared" si="8"/>
        <v>الأصل</v>
      </c>
      <c r="M569" s="25" t="str">
        <f t="shared" si="3"/>
        <v/>
      </c>
      <c r="N569" s="25" t="str">
        <f t="shared" si="4"/>
        <v/>
      </c>
      <c r="O569" s="25" t="str">
        <f t="shared" si="5"/>
        <v/>
      </c>
      <c r="P569" s="25">
        <f t="shared" si="6"/>
        <v>0</v>
      </c>
      <c r="S569" s="25" t="str">
        <f t="shared" si="7"/>
        <v/>
      </c>
    </row>
    <row r="570" ht="15.75" customHeight="1">
      <c r="A570" s="25" t="str">
        <f t="shared" si="1"/>
        <v>P569</v>
      </c>
      <c r="B570" s="25"/>
      <c r="G570" s="25"/>
      <c r="K570" s="25">
        <f t="shared" si="2"/>
        <v>1</v>
      </c>
      <c r="L570" s="25" t="str">
        <f t="shared" si="8"/>
        <v>الأصل</v>
      </c>
      <c r="M570" s="25" t="str">
        <f t="shared" si="3"/>
        <v/>
      </c>
      <c r="N570" s="25" t="str">
        <f t="shared" si="4"/>
        <v/>
      </c>
      <c r="O570" s="25" t="str">
        <f t="shared" si="5"/>
        <v/>
      </c>
      <c r="P570" s="25">
        <f t="shared" si="6"/>
        <v>0</v>
      </c>
      <c r="S570" s="25" t="str">
        <f t="shared" si="7"/>
        <v/>
      </c>
    </row>
    <row r="571" ht="15.75" customHeight="1">
      <c r="A571" s="25" t="str">
        <f t="shared" si="1"/>
        <v>P570</v>
      </c>
      <c r="B571" s="25"/>
      <c r="G571" s="25"/>
      <c r="K571" s="25">
        <f t="shared" si="2"/>
        <v>1</v>
      </c>
      <c r="L571" s="25" t="str">
        <f t="shared" si="8"/>
        <v>الأصل</v>
      </c>
      <c r="M571" s="25" t="str">
        <f t="shared" si="3"/>
        <v/>
      </c>
      <c r="N571" s="25" t="str">
        <f t="shared" si="4"/>
        <v/>
      </c>
      <c r="O571" s="25" t="str">
        <f t="shared" si="5"/>
        <v/>
      </c>
      <c r="P571" s="25">
        <f t="shared" si="6"/>
        <v>0</v>
      </c>
      <c r="S571" s="25" t="str">
        <f t="shared" si="7"/>
        <v/>
      </c>
    </row>
    <row r="572" ht="15.75" customHeight="1">
      <c r="A572" s="25" t="str">
        <f t="shared" si="1"/>
        <v>P571</v>
      </c>
      <c r="B572" s="25"/>
      <c r="G572" s="25"/>
      <c r="K572" s="25">
        <f t="shared" si="2"/>
        <v>1</v>
      </c>
      <c r="L572" s="25" t="str">
        <f t="shared" si="8"/>
        <v>الأصل</v>
      </c>
      <c r="M572" s="25" t="str">
        <f t="shared" si="3"/>
        <v/>
      </c>
      <c r="N572" s="25" t="str">
        <f t="shared" si="4"/>
        <v/>
      </c>
      <c r="O572" s="25" t="str">
        <f t="shared" si="5"/>
        <v/>
      </c>
      <c r="P572" s="25">
        <f t="shared" si="6"/>
        <v>0</v>
      </c>
      <c r="S572" s="25" t="str">
        <f t="shared" si="7"/>
        <v/>
      </c>
    </row>
    <row r="573" ht="15.75" customHeight="1">
      <c r="A573" s="25" t="str">
        <f t="shared" si="1"/>
        <v>P572</v>
      </c>
      <c r="B573" s="25"/>
      <c r="G573" s="25"/>
      <c r="K573" s="25">
        <f t="shared" si="2"/>
        <v>1</v>
      </c>
      <c r="L573" s="25" t="str">
        <f t="shared" si="8"/>
        <v>الأصل</v>
      </c>
      <c r="M573" s="25" t="str">
        <f t="shared" si="3"/>
        <v/>
      </c>
      <c r="N573" s="25" t="str">
        <f t="shared" si="4"/>
        <v/>
      </c>
      <c r="O573" s="25" t="str">
        <f t="shared" si="5"/>
        <v/>
      </c>
      <c r="P573" s="25">
        <f t="shared" si="6"/>
        <v>0</v>
      </c>
      <c r="S573" s="25" t="str">
        <f t="shared" si="7"/>
        <v/>
      </c>
    </row>
    <row r="574" ht="15.75" customHeight="1">
      <c r="A574" s="25" t="str">
        <f t="shared" si="1"/>
        <v>P573</v>
      </c>
      <c r="B574" s="25"/>
      <c r="G574" s="25"/>
      <c r="K574" s="25">
        <f t="shared" si="2"/>
        <v>1</v>
      </c>
      <c r="L574" s="25" t="str">
        <f t="shared" si="8"/>
        <v>الأصل</v>
      </c>
      <c r="M574" s="25" t="str">
        <f t="shared" si="3"/>
        <v/>
      </c>
      <c r="N574" s="25" t="str">
        <f t="shared" si="4"/>
        <v/>
      </c>
      <c r="O574" s="25" t="str">
        <f t="shared" si="5"/>
        <v/>
      </c>
      <c r="P574" s="25">
        <f t="shared" si="6"/>
        <v>0</v>
      </c>
      <c r="S574" s="25" t="str">
        <f t="shared" si="7"/>
        <v/>
      </c>
    </row>
    <row r="575" ht="15.75" customHeight="1">
      <c r="A575" s="25" t="str">
        <f t="shared" si="1"/>
        <v>P574</v>
      </c>
      <c r="B575" s="25"/>
      <c r="G575" s="25"/>
      <c r="K575" s="25">
        <f t="shared" si="2"/>
        <v>1</v>
      </c>
      <c r="L575" s="25" t="str">
        <f t="shared" si="8"/>
        <v>الأصل</v>
      </c>
      <c r="M575" s="25" t="str">
        <f t="shared" si="3"/>
        <v/>
      </c>
      <c r="N575" s="25" t="str">
        <f t="shared" si="4"/>
        <v/>
      </c>
      <c r="O575" s="25" t="str">
        <f t="shared" si="5"/>
        <v/>
      </c>
      <c r="P575" s="25">
        <f t="shared" si="6"/>
        <v>0</v>
      </c>
      <c r="S575" s="25" t="str">
        <f t="shared" si="7"/>
        <v/>
      </c>
    </row>
    <row r="576" ht="15.75" customHeight="1">
      <c r="A576" s="25" t="str">
        <f t="shared" si="1"/>
        <v>P575</v>
      </c>
      <c r="B576" s="25"/>
      <c r="G576" s="25"/>
      <c r="K576" s="25">
        <f t="shared" si="2"/>
        <v>1</v>
      </c>
      <c r="L576" s="25" t="str">
        <f t="shared" si="8"/>
        <v>الأصل</v>
      </c>
      <c r="M576" s="25" t="str">
        <f t="shared" si="3"/>
        <v/>
      </c>
      <c r="N576" s="25" t="str">
        <f t="shared" si="4"/>
        <v/>
      </c>
      <c r="O576" s="25" t="str">
        <f t="shared" si="5"/>
        <v/>
      </c>
      <c r="P576" s="25">
        <f t="shared" si="6"/>
        <v>0</v>
      </c>
      <c r="S576" s="25" t="str">
        <f t="shared" si="7"/>
        <v/>
      </c>
    </row>
    <row r="577" ht="15.75" customHeight="1">
      <c r="A577" s="25" t="str">
        <f t="shared" si="1"/>
        <v>P576</v>
      </c>
      <c r="B577" s="25"/>
      <c r="G577" s="25"/>
      <c r="K577" s="25">
        <f t="shared" si="2"/>
        <v>1</v>
      </c>
      <c r="L577" s="25" t="str">
        <f t="shared" si="8"/>
        <v>الأصل</v>
      </c>
      <c r="M577" s="25" t="str">
        <f t="shared" si="3"/>
        <v/>
      </c>
      <c r="N577" s="25" t="str">
        <f t="shared" si="4"/>
        <v/>
      </c>
      <c r="O577" s="25" t="str">
        <f t="shared" si="5"/>
        <v/>
      </c>
      <c r="P577" s="25">
        <f t="shared" si="6"/>
        <v>0</v>
      </c>
      <c r="S577" s="25" t="str">
        <f t="shared" si="7"/>
        <v/>
      </c>
    </row>
    <row r="578" ht="15.75" customHeight="1">
      <c r="A578" s="25" t="str">
        <f t="shared" si="1"/>
        <v>P577</v>
      </c>
      <c r="B578" s="25"/>
      <c r="G578" s="25"/>
      <c r="K578" s="25">
        <f t="shared" si="2"/>
        <v>1</v>
      </c>
      <c r="L578" s="25" t="str">
        <f t="shared" si="8"/>
        <v>الأصل</v>
      </c>
      <c r="M578" s="25" t="str">
        <f t="shared" si="3"/>
        <v/>
      </c>
      <c r="N578" s="25" t="str">
        <f t="shared" si="4"/>
        <v/>
      </c>
      <c r="O578" s="25" t="str">
        <f t="shared" si="5"/>
        <v/>
      </c>
      <c r="P578" s="25">
        <f t="shared" si="6"/>
        <v>0</v>
      </c>
      <c r="S578" s="25" t="str">
        <f t="shared" si="7"/>
        <v/>
      </c>
    </row>
    <row r="579" ht="15.75" customHeight="1">
      <c r="A579" s="25" t="str">
        <f t="shared" si="1"/>
        <v>P578</v>
      </c>
      <c r="B579" s="25"/>
      <c r="G579" s="25"/>
      <c r="K579" s="25">
        <f t="shared" si="2"/>
        <v>1</v>
      </c>
      <c r="L579" s="25" t="str">
        <f t="shared" si="8"/>
        <v>الأصل</v>
      </c>
      <c r="M579" s="25" t="str">
        <f t="shared" si="3"/>
        <v/>
      </c>
      <c r="N579" s="25" t="str">
        <f t="shared" si="4"/>
        <v/>
      </c>
      <c r="O579" s="25" t="str">
        <f t="shared" si="5"/>
        <v/>
      </c>
      <c r="P579" s="25">
        <f t="shared" si="6"/>
        <v>0</v>
      </c>
      <c r="S579" s="25" t="str">
        <f t="shared" si="7"/>
        <v/>
      </c>
    </row>
    <row r="580" ht="15.75" customHeight="1">
      <c r="A580" s="25" t="str">
        <f t="shared" si="1"/>
        <v>P579</v>
      </c>
      <c r="B580" s="25"/>
      <c r="G580" s="25"/>
      <c r="K580" s="25">
        <f t="shared" si="2"/>
        <v>1</v>
      </c>
      <c r="L580" s="25" t="str">
        <f t="shared" si="8"/>
        <v>الأصل</v>
      </c>
      <c r="M580" s="25" t="str">
        <f t="shared" si="3"/>
        <v/>
      </c>
      <c r="N580" s="25" t="str">
        <f t="shared" si="4"/>
        <v/>
      </c>
      <c r="O580" s="25" t="str">
        <f t="shared" si="5"/>
        <v/>
      </c>
      <c r="P580" s="25">
        <f t="shared" si="6"/>
        <v>0</v>
      </c>
      <c r="S580" s="25" t="str">
        <f t="shared" si="7"/>
        <v/>
      </c>
    </row>
    <row r="581" ht="15.75" customHeight="1">
      <c r="A581" s="25" t="str">
        <f t="shared" si="1"/>
        <v>P580</v>
      </c>
      <c r="B581" s="25"/>
      <c r="G581" s="25"/>
      <c r="K581" s="25">
        <f t="shared" si="2"/>
        <v>1</v>
      </c>
      <c r="L581" s="25" t="str">
        <f t="shared" si="8"/>
        <v>الأصل</v>
      </c>
      <c r="M581" s="25" t="str">
        <f t="shared" si="3"/>
        <v/>
      </c>
      <c r="N581" s="25" t="str">
        <f t="shared" si="4"/>
        <v/>
      </c>
      <c r="O581" s="25" t="str">
        <f t="shared" si="5"/>
        <v/>
      </c>
      <c r="P581" s="25">
        <f t="shared" si="6"/>
        <v>0</v>
      </c>
      <c r="S581" s="25" t="str">
        <f t="shared" si="7"/>
        <v/>
      </c>
    </row>
    <row r="582" ht="15.75" customHeight="1">
      <c r="A582" s="25" t="str">
        <f t="shared" si="1"/>
        <v>P581</v>
      </c>
      <c r="B582" s="25"/>
      <c r="G582" s="25"/>
      <c r="K582" s="25">
        <f t="shared" si="2"/>
        <v>1</v>
      </c>
      <c r="L582" s="25" t="str">
        <f t="shared" si="8"/>
        <v>الأصل</v>
      </c>
      <c r="M582" s="25" t="str">
        <f t="shared" si="3"/>
        <v/>
      </c>
      <c r="N582" s="25" t="str">
        <f t="shared" si="4"/>
        <v/>
      </c>
      <c r="O582" s="25" t="str">
        <f t="shared" si="5"/>
        <v/>
      </c>
      <c r="P582" s="25">
        <f t="shared" si="6"/>
        <v>0</v>
      </c>
      <c r="S582" s="25" t="str">
        <f t="shared" si="7"/>
        <v/>
      </c>
    </row>
    <row r="583" ht="15.75" customHeight="1">
      <c r="A583" s="25" t="str">
        <f t="shared" si="1"/>
        <v>P582</v>
      </c>
      <c r="B583" s="25"/>
      <c r="G583" s="25"/>
      <c r="K583" s="25">
        <f t="shared" si="2"/>
        <v>1</v>
      </c>
      <c r="L583" s="25" t="str">
        <f t="shared" si="8"/>
        <v>الأصل</v>
      </c>
      <c r="M583" s="25" t="str">
        <f t="shared" si="3"/>
        <v/>
      </c>
      <c r="N583" s="25" t="str">
        <f t="shared" si="4"/>
        <v/>
      </c>
      <c r="O583" s="25" t="str">
        <f t="shared" si="5"/>
        <v/>
      </c>
      <c r="P583" s="25">
        <f t="shared" si="6"/>
        <v>0</v>
      </c>
      <c r="S583" s="25" t="str">
        <f t="shared" si="7"/>
        <v/>
      </c>
    </row>
    <row r="584" ht="15.75" customHeight="1">
      <c r="A584" s="25" t="str">
        <f t="shared" si="1"/>
        <v>P583</v>
      </c>
      <c r="B584" s="25"/>
      <c r="G584" s="25"/>
      <c r="K584" s="25">
        <f t="shared" si="2"/>
        <v>1</v>
      </c>
      <c r="L584" s="25" t="str">
        <f t="shared" si="8"/>
        <v>الأصل</v>
      </c>
      <c r="M584" s="25" t="str">
        <f t="shared" si="3"/>
        <v/>
      </c>
      <c r="N584" s="25" t="str">
        <f t="shared" si="4"/>
        <v/>
      </c>
      <c r="O584" s="25" t="str">
        <f t="shared" si="5"/>
        <v/>
      </c>
      <c r="P584" s="25">
        <f t="shared" si="6"/>
        <v>0</v>
      </c>
      <c r="S584" s="25" t="str">
        <f t="shared" si="7"/>
        <v/>
      </c>
    </row>
    <row r="585" ht="15.75" customHeight="1">
      <c r="A585" s="25" t="str">
        <f t="shared" si="1"/>
        <v>P584</v>
      </c>
      <c r="B585" s="25"/>
      <c r="G585" s="25"/>
      <c r="K585" s="25">
        <f t="shared" si="2"/>
        <v>1</v>
      </c>
      <c r="L585" s="25" t="str">
        <f t="shared" si="8"/>
        <v>الأصل</v>
      </c>
      <c r="M585" s="25" t="str">
        <f t="shared" si="3"/>
        <v/>
      </c>
      <c r="N585" s="25" t="str">
        <f t="shared" si="4"/>
        <v/>
      </c>
      <c r="O585" s="25" t="str">
        <f t="shared" si="5"/>
        <v/>
      </c>
      <c r="P585" s="25">
        <f t="shared" si="6"/>
        <v>0</v>
      </c>
      <c r="S585" s="25" t="str">
        <f t="shared" si="7"/>
        <v/>
      </c>
    </row>
    <row r="586" ht="15.75" customHeight="1">
      <c r="A586" s="25" t="str">
        <f t="shared" si="1"/>
        <v>P585</v>
      </c>
      <c r="B586" s="25"/>
      <c r="G586" s="25"/>
      <c r="K586" s="25">
        <f t="shared" si="2"/>
        <v>1</v>
      </c>
      <c r="L586" s="25" t="str">
        <f t="shared" si="8"/>
        <v>الأصل</v>
      </c>
      <c r="M586" s="25" t="str">
        <f t="shared" si="3"/>
        <v/>
      </c>
      <c r="N586" s="25" t="str">
        <f t="shared" si="4"/>
        <v/>
      </c>
      <c r="O586" s="25" t="str">
        <f t="shared" si="5"/>
        <v/>
      </c>
      <c r="P586" s="25">
        <f t="shared" si="6"/>
        <v>0</v>
      </c>
      <c r="S586" s="25" t="str">
        <f t="shared" si="7"/>
        <v/>
      </c>
    </row>
    <row r="587" ht="15.75" customHeight="1">
      <c r="A587" s="25" t="str">
        <f t="shared" si="1"/>
        <v>P586</v>
      </c>
      <c r="B587" s="25"/>
      <c r="G587" s="25"/>
      <c r="K587" s="25">
        <f t="shared" si="2"/>
        <v>1</v>
      </c>
      <c r="L587" s="25" t="str">
        <f t="shared" si="8"/>
        <v>الأصل</v>
      </c>
      <c r="M587" s="25" t="str">
        <f t="shared" si="3"/>
        <v/>
      </c>
      <c r="N587" s="25" t="str">
        <f t="shared" si="4"/>
        <v/>
      </c>
      <c r="O587" s="25" t="str">
        <f t="shared" si="5"/>
        <v/>
      </c>
      <c r="P587" s="25">
        <f t="shared" si="6"/>
        <v>0</v>
      </c>
      <c r="S587" s="25" t="str">
        <f t="shared" si="7"/>
        <v/>
      </c>
    </row>
    <row r="588" ht="15.75" customHeight="1">
      <c r="A588" s="25" t="str">
        <f t="shared" si="1"/>
        <v>P587</v>
      </c>
      <c r="B588" s="25"/>
      <c r="G588" s="25"/>
      <c r="K588" s="25">
        <f t="shared" si="2"/>
        <v>1</v>
      </c>
      <c r="L588" s="25" t="str">
        <f t="shared" si="8"/>
        <v>الأصل</v>
      </c>
      <c r="M588" s="25" t="str">
        <f t="shared" si="3"/>
        <v/>
      </c>
      <c r="N588" s="25" t="str">
        <f t="shared" si="4"/>
        <v/>
      </c>
      <c r="O588" s="25" t="str">
        <f t="shared" si="5"/>
        <v/>
      </c>
      <c r="P588" s="25">
        <f t="shared" si="6"/>
        <v>0</v>
      </c>
      <c r="S588" s="25" t="str">
        <f t="shared" si="7"/>
        <v/>
      </c>
    </row>
    <row r="589" ht="15.75" customHeight="1">
      <c r="A589" s="25" t="str">
        <f t="shared" si="1"/>
        <v>P588</v>
      </c>
      <c r="B589" s="25"/>
      <c r="G589" s="25"/>
      <c r="K589" s="25">
        <f t="shared" si="2"/>
        <v>1</v>
      </c>
      <c r="L589" s="25" t="str">
        <f t="shared" si="8"/>
        <v>الأصل</v>
      </c>
      <c r="M589" s="25" t="str">
        <f t="shared" si="3"/>
        <v/>
      </c>
      <c r="N589" s="25" t="str">
        <f t="shared" si="4"/>
        <v/>
      </c>
      <c r="O589" s="25" t="str">
        <f t="shared" si="5"/>
        <v/>
      </c>
      <c r="P589" s="25">
        <f t="shared" si="6"/>
        <v>0</v>
      </c>
      <c r="S589" s="25" t="str">
        <f t="shared" si="7"/>
        <v/>
      </c>
    </row>
    <row r="590" ht="15.75" customHeight="1">
      <c r="A590" s="25" t="str">
        <f t="shared" si="1"/>
        <v>P589</v>
      </c>
      <c r="B590" s="25"/>
      <c r="G590" s="25"/>
      <c r="K590" s="25">
        <f t="shared" si="2"/>
        <v>1</v>
      </c>
      <c r="L590" s="25" t="str">
        <f t="shared" si="8"/>
        <v>الأصل</v>
      </c>
      <c r="M590" s="25" t="str">
        <f t="shared" si="3"/>
        <v/>
      </c>
      <c r="N590" s="25" t="str">
        <f t="shared" si="4"/>
        <v/>
      </c>
      <c r="O590" s="25" t="str">
        <f t="shared" si="5"/>
        <v/>
      </c>
      <c r="P590" s="25">
        <f t="shared" si="6"/>
        <v>0</v>
      </c>
      <c r="S590" s="25" t="str">
        <f t="shared" si="7"/>
        <v/>
      </c>
    </row>
    <row r="591" ht="15.75" customHeight="1">
      <c r="A591" s="25" t="str">
        <f t="shared" si="1"/>
        <v>P590</v>
      </c>
      <c r="B591" s="25"/>
      <c r="G591" s="25"/>
      <c r="K591" s="25">
        <f t="shared" si="2"/>
        <v>1</v>
      </c>
      <c r="L591" s="25" t="str">
        <f t="shared" si="8"/>
        <v>الأصل</v>
      </c>
      <c r="M591" s="25" t="str">
        <f t="shared" si="3"/>
        <v/>
      </c>
      <c r="N591" s="25" t="str">
        <f t="shared" si="4"/>
        <v/>
      </c>
      <c r="O591" s="25" t="str">
        <f t="shared" si="5"/>
        <v/>
      </c>
      <c r="P591" s="25">
        <f t="shared" si="6"/>
        <v>0</v>
      </c>
      <c r="S591" s="25" t="str">
        <f t="shared" si="7"/>
        <v/>
      </c>
    </row>
    <row r="592" ht="15.75" customHeight="1">
      <c r="A592" s="25" t="str">
        <f t="shared" si="1"/>
        <v>P591</v>
      </c>
      <c r="B592" s="25"/>
      <c r="G592" s="25"/>
      <c r="K592" s="25">
        <f t="shared" si="2"/>
        <v>1</v>
      </c>
      <c r="L592" s="25" t="str">
        <f t="shared" si="8"/>
        <v>الأصل</v>
      </c>
      <c r="M592" s="25" t="str">
        <f t="shared" si="3"/>
        <v/>
      </c>
      <c r="N592" s="25" t="str">
        <f t="shared" si="4"/>
        <v/>
      </c>
      <c r="O592" s="25" t="str">
        <f t="shared" si="5"/>
        <v/>
      </c>
      <c r="P592" s="25">
        <f t="shared" si="6"/>
        <v>0</v>
      </c>
      <c r="S592" s="25" t="str">
        <f t="shared" si="7"/>
        <v/>
      </c>
    </row>
    <row r="593" ht="15.75" customHeight="1">
      <c r="A593" s="25" t="str">
        <f t="shared" si="1"/>
        <v>P592</v>
      </c>
      <c r="B593" s="25"/>
      <c r="G593" s="25"/>
      <c r="K593" s="25">
        <f t="shared" si="2"/>
        <v>1</v>
      </c>
      <c r="L593" s="25" t="str">
        <f t="shared" si="8"/>
        <v>الأصل</v>
      </c>
      <c r="M593" s="25" t="str">
        <f t="shared" si="3"/>
        <v/>
      </c>
      <c r="N593" s="25" t="str">
        <f t="shared" si="4"/>
        <v/>
      </c>
      <c r="O593" s="25" t="str">
        <f t="shared" si="5"/>
        <v/>
      </c>
      <c r="P593" s="25">
        <f t="shared" si="6"/>
        <v>0</v>
      </c>
      <c r="S593" s="25" t="str">
        <f t="shared" si="7"/>
        <v/>
      </c>
    </row>
    <row r="594" ht="15.75" customHeight="1">
      <c r="A594" s="25" t="str">
        <f t="shared" si="1"/>
        <v>P593</v>
      </c>
      <c r="B594" s="25"/>
      <c r="G594" s="25"/>
      <c r="K594" s="25">
        <f t="shared" si="2"/>
        <v>1</v>
      </c>
      <c r="L594" s="25" t="str">
        <f t="shared" si="8"/>
        <v>الأصل</v>
      </c>
      <c r="M594" s="25" t="str">
        <f t="shared" si="3"/>
        <v/>
      </c>
      <c r="N594" s="25" t="str">
        <f t="shared" si="4"/>
        <v/>
      </c>
      <c r="O594" s="25" t="str">
        <f t="shared" si="5"/>
        <v/>
      </c>
      <c r="P594" s="25">
        <f t="shared" si="6"/>
        <v>0</v>
      </c>
      <c r="S594" s="25" t="str">
        <f t="shared" si="7"/>
        <v/>
      </c>
    </row>
    <row r="595" ht="15.75" customHeight="1">
      <c r="A595" s="25" t="str">
        <f t="shared" si="1"/>
        <v>P594</v>
      </c>
      <c r="B595" s="25"/>
      <c r="G595" s="25"/>
      <c r="K595" s="25">
        <f t="shared" si="2"/>
        <v>1</v>
      </c>
      <c r="L595" s="25" t="str">
        <f t="shared" si="8"/>
        <v>الأصل</v>
      </c>
      <c r="M595" s="25" t="str">
        <f t="shared" si="3"/>
        <v/>
      </c>
      <c r="N595" s="25" t="str">
        <f t="shared" si="4"/>
        <v/>
      </c>
      <c r="O595" s="25" t="str">
        <f t="shared" si="5"/>
        <v/>
      </c>
      <c r="P595" s="25">
        <f t="shared" si="6"/>
        <v>0</v>
      </c>
      <c r="S595" s="25" t="str">
        <f t="shared" si="7"/>
        <v/>
      </c>
    </row>
    <row r="596" ht="15.75" customHeight="1">
      <c r="A596" s="25" t="str">
        <f t="shared" si="1"/>
        <v>P595</v>
      </c>
      <c r="B596" s="25"/>
      <c r="G596" s="25"/>
      <c r="K596" s="25">
        <f t="shared" si="2"/>
        <v>1</v>
      </c>
      <c r="L596" s="25" t="str">
        <f t="shared" si="8"/>
        <v>الأصل</v>
      </c>
      <c r="M596" s="25" t="str">
        <f t="shared" si="3"/>
        <v/>
      </c>
      <c r="N596" s="25" t="str">
        <f t="shared" si="4"/>
        <v/>
      </c>
      <c r="O596" s="25" t="str">
        <f t="shared" si="5"/>
        <v/>
      </c>
      <c r="P596" s="25">
        <f t="shared" si="6"/>
        <v>0</v>
      </c>
      <c r="S596" s="25" t="str">
        <f t="shared" si="7"/>
        <v/>
      </c>
    </row>
    <row r="597" ht="15.75" customHeight="1">
      <c r="A597" s="25" t="str">
        <f t="shared" si="1"/>
        <v>P596</v>
      </c>
      <c r="B597" s="25"/>
      <c r="G597" s="25"/>
      <c r="K597" s="25">
        <f t="shared" si="2"/>
        <v>1</v>
      </c>
      <c r="L597" s="25" t="str">
        <f t="shared" si="8"/>
        <v>الأصل</v>
      </c>
      <c r="M597" s="25" t="str">
        <f t="shared" si="3"/>
        <v/>
      </c>
      <c r="N597" s="25" t="str">
        <f t="shared" si="4"/>
        <v/>
      </c>
      <c r="O597" s="25" t="str">
        <f t="shared" si="5"/>
        <v/>
      </c>
      <c r="P597" s="25">
        <f t="shared" si="6"/>
        <v>0</v>
      </c>
      <c r="S597" s="25" t="str">
        <f t="shared" si="7"/>
        <v/>
      </c>
    </row>
    <row r="598" ht="15.75" customHeight="1">
      <c r="A598" s="25" t="str">
        <f t="shared" si="1"/>
        <v>P597</v>
      </c>
      <c r="B598" s="25"/>
      <c r="G598" s="25"/>
      <c r="K598" s="25">
        <f t="shared" si="2"/>
        <v>1</v>
      </c>
      <c r="L598" s="25" t="str">
        <f t="shared" si="8"/>
        <v>الأصل</v>
      </c>
      <c r="M598" s="25" t="str">
        <f t="shared" si="3"/>
        <v/>
      </c>
      <c r="N598" s="25" t="str">
        <f t="shared" si="4"/>
        <v/>
      </c>
      <c r="O598" s="25" t="str">
        <f t="shared" si="5"/>
        <v/>
      </c>
      <c r="P598" s="25">
        <f t="shared" si="6"/>
        <v>0</v>
      </c>
      <c r="S598" s="25" t="str">
        <f t="shared" si="7"/>
        <v/>
      </c>
    </row>
    <row r="599" ht="15.75" customHeight="1">
      <c r="A599" s="25" t="str">
        <f t="shared" si="1"/>
        <v>P598</v>
      </c>
      <c r="B599" s="25"/>
      <c r="G599" s="25"/>
      <c r="K599" s="25">
        <f t="shared" si="2"/>
        <v>1</v>
      </c>
      <c r="L599" s="25" t="str">
        <f t="shared" si="8"/>
        <v>الأصل</v>
      </c>
      <c r="M599" s="25" t="str">
        <f t="shared" si="3"/>
        <v/>
      </c>
      <c r="N599" s="25" t="str">
        <f t="shared" si="4"/>
        <v/>
      </c>
      <c r="O599" s="25" t="str">
        <f t="shared" si="5"/>
        <v/>
      </c>
      <c r="P599" s="25">
        <f t="shared" si="6"/>
        <v>0</v>
      </c>
      <c r="S599" s="25" t="str">
        <f t="shared" si="7"/>
        <v/>
      </c>
    </row>
    <row r="600" ht="15.75" customHeight="1">
      <c r="A600" s="25" t="str">
        <f t="shared" si="1"/>
        <v>P599</v>
      </c>
      <c r="B600" s="25"/>
      <c r="G600" s="25"/>
      <c r="K600" s="25">
        <f t="shared" si="2"/>
        <v>1</v>
      </c>
      <c r="L600" s="25" t="str">
        <f t="shared" si="8"/>
        <v>الأصل</v>
      </c>
      <c r="M600" s="25" t="str">
        <f t="shared" si="3"/>
        <v/>
      </c>
      <c r="N600" s="25" t="str">
        <f t="shared" si="4"/>
        <v/>
      </c>
      <c r="O600" s="25" t="str">
        <f t="shared" si="5"/>
        <v/>
      </c>
      <c r="P600" s="25">
        <f t="shared" si="6"/>
        <v>0</v>
      </c>
      <c r="S600" s="25" t="str">
        <f t="shared" si="7"/>
        <v/>
      </c>
    </row>
    <row r="601" ht="15.75" customHeight="1">
      <c r="A601" s="25" t="str">
        <f t="shared" si="1"/>
        <v>P600</v>
      </c>
      <c r="B601" s="25"/>
      <c r="G601" s="25"/>
      <c r="K601" s="25">
        <f t="shared" si="2"/>
        <v>1</v>
      </c>
      <c r="L601" s="25" t="str">
        <f t="shared" si="8"/>
        <v>الأصل</v>
      </c>
      <c r="M601" s="25" t="str">
        <f t="shared" si="3"/>
        <v/>
      </c>
      <c r="N601" s="25" t="str">
        <f t="shared" si="4"/>
        <v/>
      </c>
      <c r="O601" s="25" t="str">
        <f t="shared" si="5"/>
        <v/>
      </c>
      <c r="P601" s="25">
        <f t="shared" si="6"/>
        <v>0</v>
      </c>
      <c r="S601" s="25" t="str">
        <f t="shared" si="7"/>
        <v/>
      </c>
    </row>
    <row r="602" ht="15.75" customHeight="1">
      <c r="A602" s="25" t="str">
        <f t="shared" si="1"/>
        <v>P601</v>
      </c>
      <c r="B602" s="25"/>
      <c r="G602" s="25"/>
      <c r="K602" s="25">
        <f t="shared" si="2"/>
        <v>1</v>
      </c>
      <c r="L602" s="25" t="str">
        <f t="shared" si="8"/>
        <v>الأصل</v>
      </c>
      <c r="M602" s="25" t="str">
        <f t="shared" si="3"/>
        <v/>
      </c>
      <c r="N602" s="25" t="str">
        <f t="shared" si="4"/>
        <v/>
      </c>
      <c r="O602" s="25" t="str">
        <f t="shared" si="5"/>
        <v/>
      </c>
      <c r="P602" s="25">
        <f t="shared" si="6"/>
        <v>0</v>
      </c>
      <c r="S602" s="25" t="str">
        <f t="shared" si="7"/>
        <v/>
      </c>
    </row>
    <row r="603" ht="15.75" customHeight="1">
      <c r="A603" s="25" t="str">
        <f t="shared" si="1"/>
        <v>P602</v>
      </c>
      <c r="B603" s="25"/>
      <c r="G603" s="25"/>
      <c r="K603" s="25">
        <f t="shared" si="2"/>
        <v>1</v>
      </c>
      <c r="L603" s="25" t="str">
        <f t="shared" si="8"/>
        <v>الأصل</v>
      </c>
      <c r="M603" s="25" t="str">
        <f t="shared" si="3"/>
        <v/>
      </c>
      <c r="N603" s="25" t="str">
        <f t="shared" si="4"/>
        <v/>
      </c>
      <c r="O603" s="25" t="str">
        <f t="shared" si="5"/>
        <v/>
      </c>
      <c r="P603" s="25">
        <f t="shared" si="6"/>
        <v>0</v>
      </c>
      <c r="S603" s="25" t="str">
        <f t="shared" si="7"/>
        <v/>
      </c>
    </row>
    <row r="604" ht="15.75" customHeight="1">
      <c r="A604" s="25" t="str">
        <f t="shared" si="1"/>
        <v>P603</v>
      </c>
      <c r="B604" s="25"/>
      <c r="G604" s="25"/>
      <c r="K604" s="25">
        <f t="shared" si="2"/>
        <v>1</v>
      </c>
      <c r="L604" s="25" t="str">
        <f t="shared" si="8"/>
        <v>الأصل</v>
      </c>
      <c r="M604" s="25" t="str">
        <f t="shared" si="3"/>
        <v/>
      </c>
      <c r="N604" s="25" t="str">
        <f t="shared" si="4"/>
        <v/>
      </c>
      <c r="O604" s="25" t="str">
        <f t="shared" si="5"/>
        <v/>
      </c>
      <c r="P604" s="25">
        <f t="shared" si="6"/>
        <v>0</v>
      </c>
      <c r="S604" s="25" t="str">
        <f t="shared" si="7"/>
        <v/>
      </c>
    </row>
    <row r="605" ht="15.75" customHeight="1">
      <c r="A605" s="25" t="str">
        <f t="shared" si="1"/>
        <v>P604</v>
      </c>
      <c r="B605" s="25"/>
      <c r="G605" s="25"/>
      <c r="K605" s="25">
        <f t="shared" si="2"/>
        <v>1</v>
      </c>
      <c r="L605" s="25" t="str">
        <f t="shared" si="8"/>
        <v>الأصل</v>
      </c>
      <c r="M605" s="25" t="str">
        <f t="shared" si="3"/>
        <v/>
      </c>
      <c r="N605" s="25" t="str">
        <f t="shared" si="4"/>
        <v/>
      </c>
      <c r="O605" s="25" t="str">
        <f t="shared" si="5"/>
        <v/>
      </c>
      <c r="P605" s="25">
        <f t="shared" si="6"/>
        <v>0</v>
      </c>
      <c r="S605" s="25" t="str">
        <f t="shared" si="7"/>
        <v/>
      </c>
    </row>
    <row r="606" ht="15.75" customHeight="1">
      <c r="A606" s="25" t="str">
        <f t="shared" si="1"/>
        <v>P605</v>
      </c>
      <c r="B606" s="25"/>
      <c r="G606" s="25"/>
      <c r="K606" s="25">
        <f t="shared" si="2"/>
        <v>1</v>
      </c>
      <c r="L606" s="25" t="str">
        <f t="shared" si="8"/>
        <v>الأصل</v>
      </c>
      <c r="M606" s="25" t="str">
        <f t="shared" si="3"/>
        <v/>
      </c>
      <c r="N606" s="25" t="str">
        <f t="shared" si="4"/>
        <v/>
      </c>
      <c r="O606" s="25" t="str">
        <f t="shared" si="5"/>
        <v/>
      </c>
      <c r="P606" s="25">
        <f t="shared" si="6"/>
        <v>0</v>
      </c>
      <c r="S606" s="25" t="str">
        <f t="shared" si="7"/>
        <v/>
      </c>
    </row>
    <row r="607" ht="15.75" customHeight="1">
      <c r="A607" s="25" t="str">
        <f t="shared" si="1"/>
        <v>P606</v>
      </c>
      <c r="B607" s="25"/>
      <c r="G607" s="25"/>
      <c r="K607" s="25">
        <f t="shared" si="2"/>
        <v>1</v>
      </c>
      <c r="L607" s="25" t="str">
        <f t="shared" si="8"/>
        <v>الأصل</v>
      </c>
      <c r="M607" s="25" t="str">
        <f t="shared" si="3"/>
        <v/>
      </c>
      <c r="N607" s="25" t="str">
        <f t="shared" si="4"/>
        <v/>
      </c>
      <c r="O607" s="25" t="str">
        <f t="shared" si="5"/>
        <v/>
      </c>
      <c r="P607" s="25">
        <f t="shared" si="6"/>
        <v>0</v>
      </c>
      <c r="S607" s="25" t="str">
        <f t="shared" si="7"/>
        <v/>
      </c>
    </row>
    <row r="608" ht="15.75" customHeight="1">
      <c r="A608" s="25" t="str">
        <f t="shared" si="1"/>
        <v>P607</v>
      </c>
      <c r="B608" s="25"/>
      <c r="G608" s="25"/>
      <c r="K608" s="25">
        <f t="shared" si="2"/>
        <v>1</v>
      </c>
      <c r="L608" s="25" t="str">
        <f t="shared" si="8"/>
        <v>الأصل</v>
      </c>
      <c r="M608" s="25" t="str">
        <f t="shared" si="3"/>
        <v/>
      </c>
      <c r="N608" s="25" t="str">
        <f t="shared" si="4"/>
        <v/>
      </c>
      <c r="O608" s="25" t="str">
        <f t="shared" si="5"/>
        <v/>
      </c>
      <c r="P608" s="25">
        <f t="shared" si="6"/>
        <v>0</v>
      </c>
      <c r="S608" s="25" t="str">
        <f t="shared" si="7"/>
        <v/>
      </c>
    </row>
    <row r="609" ht="15.75" customHeight="1">
      <c r="A609" s="25" t="str">
        <f t="shared" si="1"/>
        <v>P608</v>
      </c>
      <c r="B609" s="25"/>
      <c r="G609" s="25"/>
      <c r="K609" s="25">
        <f t="shared" si="2"/>
        <v>1</v>
      </c>
      <c r="L609" s="25" t="str">
        <f t="shared" si="8"/>
        <v>الأصل</v>
      </c>
      <c r="M609" s="25" t="str">
        <f t="shared" si="3"/>
        <v/>
      </c>
      <c r="N609" s="25" t="str">
        <f t="shared" si="4"/>
        <v/>
      </c>
      <c r="O609" s="25" t="str">
        <f t="shared" si="5"/>
        <v/>
      </c>
      <c r="P609" s="25">
        <f t="shared" si="6"/>
        <v>0</v>
      </c>
      <c r="S609" s="25" t="str">
        <f t="shared" si="7"/>
        <v/>
      </c>
    </row>
    <row r="610" ht="15.75" customHeight="1">
      <c r="A610" s="25" t="str">
        <f t="shared" si="1"/>
        <v>P609</v>
      </c>
      <c r="B610" s="25"/>
      <c r="G610" s="25"/>
      <c r="K610" s="25">
        <f t="shared" si="2"/>
        <v>1</v>
      </c>
      <c r="L610" s="25" t="str">
        <f t="shared" si="8"/>
        <v>الأصل</v>
      </c>
      <c r="M610" s="25" t="str">
        <f t="shared" si="3"/>
        <v/>
      </c>
      <c r="N610" s="25" t="str">
        <f t="shared" si="4"/>
        <v/>
      </c>
      <c r="O610" s="25" t="str">
        <f t="shared" si="5"/>
        <v/>
      </c>
      <c r="P610" s="25">
        <f t="shared" si="6"/>
        <v>0</v>
      </c>
      <c r="S610" s="25" t="str">
        <f t="shared" si="7"/>
        <v/>
      </c>
    </row>
    <row r="611" ht="15.75" customHeight="1">
      <c r="A611" s="25" t="str">
        <f t="shared" si="1"/>
        <v>P610</v>
      </c>
      <c r="B611" s="25"/>
      <c r="G611" s="25"/>
      <c r="K611" s="25">
        <f t="shared" si="2"/>
        <v>1</v>
      </c>
      <c r="L611" s="25" t="str">
        <f t="shared" si="8"/>
        <v>الأصل</v>
      </c>
      <c r="M611" s="25" t="str">
        <f t="shared" si="3"/>
        <v/>
      </c>
      <c r="N611" s="25" t="str">
        <f t="shared" si="4"/>
        <v/>
      </c>
      <c r="O611" s="25" t="str">
        <f t="shared" si="5"/>
        <v/>
      </c>
      <c r="P611" s="25">
        <f t="shared" si="6"/>
        <v>0</v>
      </c>
      <c r="S611" s="25" t="str">
        <f t="shared" si="7"/>
        <v/>
      </c>
    </row>
    <row r="612" ht="15.75" customHeight="1">
      <c r="A612" s="25" t="str">
        <f t="shared" si="1"/>
        <v>P611</v>
      </c>
      <c r="B612" s="25"/>
      <c r="G612" s="25"/>
      <c r="K612" s="25">
        <f t="shared" si="2"/>
        <v>1</v>
      </c>
      <c r="L612" s="25" t="str">
        <f t="shared" si="8"/>
        <v>الأصل</v>
      </c>
      <c r="M612" s="25" t="str">
        <f t="shared" si="3"/>
        <v/>
      </c>
      <c r="N612" s="25" t="str">
        <f t="shared" si="4"/>
        <v/>
      </c>
      <c r="O612" s="25" t="str">
        <f t="shared" si="5"/>
        <v/>
      </c>
      <c r="P612" s="25">
        <f t="shared" si="6"/>
        <v>0</v>
      </c>
      <c r="S612" s="25" t="str">
        <f t="shared" si="7"/>
        <v/>
      </c>
    </row>
    <row r="613" ht="15.75" customHeight="1">
      <c r="A613" s="25" t="str">
        <f t="shared" si="1"/>
        <v>P612</v>
      </c>
      <c r="B613" s="25"/>
      <c r="G613" s="25"/>
      <c r="K613" s="25">
        <f t="shared" si="2"/>
        <v>1</v>
      </c>
      <c r="L613" s="25" t="str">
        <f t="shared" si="8"/>
        <v>الأصل</v>
      </c>
      <c r="M613" s="25" t="str">
        <f t="shared" si="3"/>
        <v/>
      </c>
      <c r="N613" s="25" t="str">
        <f t="shared" si="4"/>
        <v/>
      </c>
      <c r="O613" s="25" t="str">
        <f t="shared" si="5"/>
        <v/>
      </c>
      <c r="P613" s="25">
        <f t="shared" si="6"/>
        <v>0</v>
      </c>
      <c r="S613" s="25" t="str">
        <f t="shared" si="7"/>
        <v/>
      </c>
    </row>
    <row r="614" ht="15.75" customHeight="1">
      <c r="A614" s="25" t="str">
        <f t="shared" si="1"/>
        <v>P613</v>
      </c>
      <c r="B614" s="25"/>
      <c r="G614" s="25"/>
      <c r="K614" s="25">
        <f t="shared" si="2"/>
        <v>1</v>
      </c>
      <c r="L614" s="25" t="str">
        <f t="shared" si="8"/>
        <v>الأصل</v>
      </c>
      <c r="M614" s="25" t="str">
        <f t="shared" si="3"/>
        <v/>
      </c>
      <c r="N614" s="25" t="str">
        <f t="shared" si="4"/>
        <v/>
      </c>
      <c r="O614" s="25" t="str">
        <f t="shared" si="5"/>
        <v/>
      </c>
      <c r="P614" s="25">
        <f t="shared" si="6"/>
        <v>0</v>
      </c>
      <c r="S614" s="25" t="str">
        <f t="shared" si="7"/>
        <v/>
      </c>
    </row>
    <row r="615" ht="15.75" customHeight="1">
      <c r="A615" s="25" t="str">
        <f t="shared" si="1"/>
        <v>P614</v>
      </c>
      <c r="B615" s="25"/>
      <c r="G615" s="25"/>
      <c r="K615" s="25">
        <f t="shared" si="2"/>
        <v>1</v>
      </c>
      <c r="L615" s="25" t="str">
        <f t="shared" si="8"/>
        <v>الأصل</v>
      </c>
      <c r="M615" s="25" t="str">
        <f t="shared" si="3"/>
        <v/>
      </c>
      <c r="N615" s="25" t="str">
        <f t="shared" si="4"/>
        <v/>
      </c>
      <c r="O615" s="25" t="str">
        <f t="shared" si="5"/>
        <v/>
      </c>
      <c r="P615" s="25">
        <f t="shared" si="6"/>
        <v>0</v>
      </c>
      <c r="S615" s="25" t="str">
        <f t="shared" si="7"/>
        <v/>
      </c>
    </row>
    <row r="616" ht="15.75" customHeight="1">
      <c r="A616" s="25" t="str">
        <f t="shared" si="1"/>
        <v>P615</v>
      </c>
      <c r="B616" s="25"/>
      <c r="G616" s="25"/>
      <c r="K616" s="25">
        <f t="shared" si="2"/>
        <v>1</v>
      </c>
      <c r="L616" s="25" t="str">
        <f t="shared" si="8"/>
        <v>الأصل</v>
      </c>
      <c r="M616" s="25" t="str">
        <f t="shared" si="3"/>
        <v/>
      </c>
      <c r="N616" s="25" t="str">
        <f t="shared" si="4"/>
        <v/>
      </c>
      <c r="O616" s="25" t="str">
        <f t="shared" si="5"/>
        <v/>
      </c>
      <c r="P616" s="25">
        <f t="shared" si="6"/>
        <v>0</v>
      </c>
      <c r="S616" s="25" t="str">
        <f t="shared" si="7"/>
        <v/>
      </c>
    </row>
    <row r="617" ht="15.75" customHeight="1">
      <c r="A617" s="25" t="str">
        <f t="shared" si="1"/>
        <v>P616</v>
      </c>
      <c r="B617" s="25"/>
      <c r="G617" s="25"/>
      <c r="K617" s="25">
        <f t="shared" si="2"/>
        <v>1</v>
      </c>
      <c r="L617" s="25" t="str">
        <f t="shared" si="8"/>
        <v>الأصل</v>
      </c>
      <c r="M617" s="25" t="str">
        <f t="shared" si="3"/>
        <v/>
      </c>
      <c r="N617" s="25" t="str">
        <f t="shared" si="4"/>
        <v/>
      </c>
      <c r="O617" s="25" t="str">
        <f t="shared" si="5"/>
        <v/>
      </c>
      <c r="P617" s="25">
        <f t="shared" si="6"/>
        <v>0</v>
      </c>
      <c r="S617" s="25" t="str">
        <f t="shared" si="7"/>
        <v/>
      </c>
    </row>
    <row r="618" ht="15.75" customHeight="1">
      <c r="A618" s="25" t="str">
        <f t="shared" si="1"/>
        <v>P617</v>
      </c>
      <c r="B618" s="25"/>
      <c r="G618" s="25"/>
      <c r="K618" s="25">
        <f t="shared" si="2"/>
        <v>1</v>
      </c>
      <c r="L618" s="25" t="str">
        <f t="shared" si="8"/>
        <v>الأصل</v>
      </c>
      <c r="M618" s="25" t="str">
        <f t="shared" si="3"/>
        <v/>
      </c>
      <c r="N618" s="25" t="str">
        <f t="shared" si="4"/>
        <v/>
      </c>
      <c r="O618" s="25" t="str">
        <f t="shared" si="5"/>
        <v/>
      </c>
      <c r="P618" s="25">
        <f t="shared" si="6"/>
        <v>0</v>
      </c>
      <c r="S618" s="25" t="str">
        <f t="shared" si="7"/>
        <v/>
      </c>
    </row>
    <row r="619" ht="15.75" customHeight="1">
      <c r="A619" s="25" t="str">
        <f t="shared" si="1"/>
        <v>P618</v>
      </c>
      <c r="B619" s="25"/>
      <c r="G619" s="25"/>
      <c r="K619" s="25">
        <f t="shared" si="2"/>
        <v>1</v>
      </c>
      <c r="L619" s="25" t="str">
        <f t="shared" si="8"/>
        <v>الأصل</v>
      </c>
      <c r="M619" s="25" t="str">
        <f t="shared" si="3"/>
        <v/>
      </c>
      <c r="N619" s="25" t="str">
        <f t="shared" si="4"/>
        <v/>
      </c>
      <c r="O619" s="25" t="str">
        <f t="shared" si="5"/>
        <v/>
      </c>
      <c r="P619" s="25">
        <f t="shared" si="6"/>
        <v>0</v>
      </c>
      <c r="S619" s="25" t="str">
        <f t="shared" si="7"/>
        <v/>
      </c>
    </row>
    <row r="620" ht="15.75" customHeight="1">
      <c r="A620" s="25" t="str">
        <f t="shared" si="1"/>
        <v>P619</v>
      </c>
      <c r="B620" s="25"/>
      <c r="G620" s="25"/>
      <c r="K620" s="25">
        <f t="shared" si="2"/>
        <v>1</v>
      </c>
      <c r="L620" s="25" t="str">
        <f t="shared" si="8"/>
        <v>الأصل</v>
      </c>
      <c r="M620" s="25" t="str">
        <f t="shared" si="3"/>
        <v/>
      </c>
      <c r="N620" s="25" t="str">
        <f t="shared" si="4"/>
        <v/>
      </c>
      <c r="O620" s="25" t="str">
        <f t="shared" si="5"/>
        <v/>
      </c>
      <c r="P620" s="25">
        <f t="shared" si="6"/>
        <v>0</v>
      </c>
      <c r="S620" s="25" t="str">
        <f t="shared" si="7"/>
        <v/>
      </c>
    </row>
    <row r="621" ht="15.75" customHeight="1">
      <c r="A621" s="25" t="str">
        <f t="shared" si="1"/>
        <v>P620</v>
      </c>
      <c r="B621" s="25"/>
      <c r="G621" s="25"/>
      <c r="K621" s="25">
        <f t="shared" si="2"/>
        <v>1</v>
      </c>
      <c r="L621" s="25" t="str">
        <f t="shared" si="8"/>
        <v>الأصل</v>
      </c>
      <c r="M621" s="25" t="str">
        <f t="shared" si="3"/>
        <v/>
      </c>
      <c r="N621" s="25" t="str">
        <f t="shared" si="4"/>
        <v/>
      </c>
      <c r="O621" s="25" t="str">
        <f t="shared" si="5"/>
        <v/>
      </c>
      <c r="P621" s="25">
        <f t="shared" si="6"/>
        <v>0</v>
      </c>
      <c r="S621" s="25" t="str">
        <f t="shared" si="7"/>
        <v/>
      </c>
    </row>
    <row r="622" ht="15.75" customHeight="1">
      <c r="A622" s="25" t="str">
        <f t="shared" si="1"/>
        <v>P621</v>
      </c>
      <c r="B622" s="25"/>
      <c r="G622" s="25"/>
      <c r="K622" s="25">
        <f t="shared" si="2"/>
        <v>1</v>
      </c>
      <c r="L622" s="25" t="str">
        <f t="shared" si="8"/>
        <v>الأصل</v>
      </c>
      <c r="M622" s="25" t="str">
        <f t="shared" si="3"/>
        <v/>
      </c>
      <c r="N622" s="25" t="str">
        <f t="shared" si="4"/>
        <v/>
      </c>
      <c r="O622" s="25" t="str">
        <f t="shared" si="5"/>
        <v/>
      </c>
      <c r="P622" s="25">
        <f t="shared" si="6"/>
        <v>0</v>
      </c>
      <c r="S622" s="25" t="str">
        <f t="shared" si="7"/>
        <v/>
      </c>
    </row>
    <row r="623" ht="15.75" customHeight="1">
      <c r="A623" s="25" t="str">
        <f t="shared" si="1"/>
        <v>P622</v>
      </c>
      <c r="B623" s="25"/>
      <c r="G623" s="25"/>
      <c r="K623" s="25">
        <f t="shared" si="2"/>
        <v>1</v>
      </c>
      <c r="L623" s="25" t="str">
        <f t="shared" si="8"/>
        <v>الأصل</v>
      </c>
      <c r="M623" s="25" t="str">
        <f t="shared" si="3"/>
        <v/>
      </c>
      <c r="N623" s="25" t="str">
        <f t="shared" si="4"/>
        <v/>
      </c>
      <c r="O623" s="25" t="str">
        <f t="shared" si="5"/>
        <v/>
      </c>
      <c r="P623" s="25">
        <f t="shared" si="6"/>
        <v>0</v>
      </c>
      <c r="S623" s="25" t="str">
        <f t="shared" si="7"/>
        <v/>
      </c>
    </row>
    <row r="624" ht="15.75" customHeight="1">
      <c r="A624" s="25" t="str">
        <f t="shared" si="1"/>
        <v>P623</v>
      </c>
      <c r="B624" s="25"/>
      <c r="G624" s="25"/>
      <c r="K624" s="25">
        <f t="shared" si="2"/>
        <v>1</v>
      </c>
      <c r="L624" s="25" t="str">
        <f t="shared" si="8"/>
        <v>الأصل</v>
      </c>
      <c r="M624" s="25" t="str">
        <f t="shared" si="3"/>
        <v/>
      </c>
      <c r="N624" s="25" t="str">
        <f t="shared" si="4"/>
        <v/>
      </c>
      <c r="O624" s="25" t="str">
        <f t="shared" si="5"/>
        <v/>
      </c>
      <c r="P624" s="25">
        <f t="shared" si="6"/>
        <v>0</v>
      </c>
      <c r="S624" s="25" t="str">
        <f t="shared" si="7"/>
        <v/>
      </c>
    </row>
    <row r="625" ht="15.75" customHeight="1">
      <c r="A625" s="25" t="str">
        <f t="shared" si="1"/>
        <v>P624</v>
      </c>
      <c r="B625" s="25"/>
      <c r="G625" s="25"/>
      <c r="K625" s="25">
        <f t="shared" si="2"/>
        <v>1</v>
      </c>
      <c r="L625" s="25" t="str">
        <f t="shared" si="8"/>
        <v>الأصل</v>
      </c>
      <c r="M625" s="25" t="str">
        <f t="shared" si="3"/>
        <v/>
      </c>
      <c r="N625" s="25" t="str">
        <f t="shared" si="4"/>
        <v/>
      </c>
      <c r="O625" s="25" t="str">
        <f t="shared" si="5"/>
        <v/>
      </c>
      <c r="P625" s="25">
        <f t="shared" si="6"/>
        <v>0</v>
      </c>
      <c r="S625" s="25" t="str">
        <f t="shared" si="7"/>
        <v/>
      </c>
    </row>
    <row r="626" ht="15.75" customHeight="1">
      <c r="A626" s="25" t="str">
        <f t="shared" si="1"/>
        <v>P625</v>
      </c>
      <c r="B626" s="25"/>
      <c r="G626" s="25"/>
      <c r="K626" s="25">
        <f t="shared" si="2"/>
        <v>1</v>
      </c>
      <c r="L626" s="25" t="str">
        <f t="shared" si="8"/>
        <v>الأصل</v>
      </c>
      <c r="M626" s="25" t="str">
        <f t="shared" si="3"/>
        <v/>
      </c>
      <c r="N626" s="25" t="str">
        <f t="shared" si="4"/>
        <v/>
      </c>
      <c r="O626" s="25" t="str">
        <f t="shared" si="5"/>
        <v/>
      </c>
      <c r="P626" s="25">
        <f t="shared" si="6"/>
        <v>0</v>
      </c>
      <c r="S626" s="25" t="str">
        <f t="shared" si="7"/>
        <v/>
      </c>
    </row>
    <row r="627" ht="15.75" customHeight="1">
      <c r="A627" s="25" t="str">
        <f t="shared" si="1"/>
        <v>P626</v>
      </c>
      <c r="B627" s="25"/>
      <c r="G627" s="25"/>
      <c r="K627" s="25">
        <f t="shared" si="2"/>
        <v>1</v>
      </c>
      <c r="L627" s="25" t="str">
        <f t="shared" si="8"/>
        <v>الأصل</v>
      </c>
      <c r="M627" s="25" t="str">
        <f t="shared" si="3"/>
        <v/>
      </c>
      <c r="N627" s="25" t="str">
        <f t="shared" si="4"/>
        <v/>
      </c>
      <c r="O627" s="25" t="str">
        <f t="shared" si="5"/>
        <v/>
      </c>
      <c r="P627" s="25">
        <f t="shared" si="6"/>
        <v>0</v>
      </c>
      <c r="S627" s="25" t="str">
        <f t="shared" si="7"/>
        <v/>
      </c>
    </row>
    <row r="628" ht="15.75" customHeight="1">
      <c r="A628" s="25" t="str">
        <f t="shared" si="1"/>
        <v>P627</v>
      </c>
      <c r="B628" s="25"/>
      <c r="G628" s="25"/>
      <c r="K628" s="25">
        <f t="shared" si="2"/>
        <v>1</v>
      </c>
      <c r="L628" s="25" t="str">
        <f t="shared" si="8"/>
        <v>الأصل</v>
      </c>
      <c r="M628" s="25" t="str">
        <f t="shared" si="3"/>
        <v/>
      </c>
      <c r="N628" s="25" t="str">
        <f t="shared" si="4"/>
        <v/>
      </c>
      <c r="O628" s="25" t="str">
        <f t="shared" si="5"/>
        <v/>
      </c>
      <c r="P628" s="25">
        <f t="shared" si="6"/>
        <v>0</v>
      </c>
      <c r="S628" s="25" t="str">
        <f t="shared" si="7"/>
        <v/>
      </c>
    </row>
    <row r="629" ht="15.75" customHeight="1">
      <c r="A629" s="25" t="str">
        <f t="shared" si="1"/>
        <v>P628</v>
      </c>
      <c r="B629" s="25"/>
      <c r="G629" s="25"/>
      <c r="K629" s="25">
        <f t="shared" si="2"/>
        <v>1</v>
      </c>
      <c r="L629" s="25" t="str">
        <f t="shared" si="8"/>
        <v>الأصل</v>
      </c>
      <c r="M629" s="25" t="str">
        <f t="shared" si="3"/>
        <v/>
      </c>
      <c r="N629" s="25" t="str">
        <f t="shared" si="4"/>
        <v/>
      </c>
      <c r="O629" s="25" t="str">
        <f t="shared" si="5"/>
        <v/>
      </c>
      <c r="P629" s="25">
        <f t="shared" si="6"/>
        <v>0</v>
      </c>
      <c r="S629" s="25" t="str">
        <f t="shared" si="7"/>
        <v/>
      </c>
    </row>
    <row r="630" ht="15.75" customHeight="1">
      <c r="A630" s="25" t="str">
        <f t="shared" si="1"/>
        <v>P629</v>
      </c>
      <c r="B630" s="25"/>
      <c r="G630" s="25"/>
      <c r="K630" s="25">
        <f t="shared" si="2"/>
        <v>1</v>
      </c>
      <c r="L630" s="25" t="str">
        <f t="shared" si="8"/>
        <v>الأصل</v>
      </c>
      <c r="M630" s="25" t="str">
        <f t="shared" si="3"/>
        <v/>
      </c>
      <c r="N630" s="25" t="str">
        <f t="shared" si="4"/>
        <v/>
      </c>
      <c r="O630" s="25" t="str">
        <f t="shared" si="5"/>
        <v/>
      </c>
      <c r="P630" s="25">
        <f t="shared" si="6"/>
        <v>0</v>
      </c>
      <c r="S630" s="25" t="str">
        <f t="shared" si="7"/>
        <v/>
      </c>
    </row>
    <row r="631" ht="15.75" customHeight="1">
      <c r="A631" s="25" t="str">
        <f t="shared" si="1"/>
        <v>P630</v>
      </c>
      <c r="B631" s="25"/>
      <c r="G631" s="25"/>
      <c r="K631" s="25">
        <f t="shared" si="2"/>
        <v>1</v>
      </c>
      <c r="L631" s="25" t="str">
        <f t="shared" si="8"/>
        <v>الأصل</v>
      </c>
      <c r="M631" s="25" t="str">
        <f t="shared" si="3"/>
        <v/>
      </c>
      <c r="N631" s="25" t="str">
        <f t="shared" si="4"/>
        <v/>
      </c>
      <c r="O631" s="25" t="str">
        <f t="shared" si="5"/>
        <v/>
      </c>
      <c r="P631" s="25">
        <f t="shared" si="6"/>
        <v>0</v>
      </c>
      <c r="S631" s="25" t="str">
        <f t="shared" si="7"/>
        <v/>
      </c>
    </row>
    <row r="632" ht="15.75" customHeight="1">
      <c r="A632" s="25" t="str">
        <f t="shared" si="1"/>
        <v>P631</v>
      </c>
      <c r="B632" s="25"/>
      <c r="G632" s="25"/>
      <c r="K632" s="25">
        <f t="shared" si="2"/>
        <v>1</v>
      </c>
      <c r="L632" s="25" t="str">
        <f t="shared" si="8"/>
        <v>الأصل</v>
      </c>
      <c r="M632" s="25" t="str">
        <f t="shared" si="3"/>
        <v/>
      </c>
      <c r="N632" s="25" t="str">
        <f t="shared" si="4"/>
        <v/>
      </c>
      <c r="O632" s="25" t="str">
        <f t="shared" si="5"/>
        <v/>
      </c>
      <c r="P632" s="25">
        <f t="shared" si="6"/>
        <v>0</v>
      </c>
      <c r="S632" s="25" t="str">
        <f t="shared" si="7"/>
        <v/>
      </c>
    </row>
    <row r="633" ht="15.75" customHeight="1">
      <c r="A633" s="25" t="str">
        <f t="shared" si="1"/>
        <v>P632</v>
      </c>
      <c r="B633" s="25"/>
      <c r="G633" s="25"/>
      <c r="K633" s="25">
        <f t="shared" si="2"/>
        <v>1</v>
      </c>
      <c r="L633" s="25" t="str">
        <f t="shared" si="8"/>
        <v>الأصل</v>
      </c>
      <c r="M633" s="25" t="str">
        <f t="shared" si="3"/>
        <v/>
      </c>
      <c r="N633" s="25" t="str">
        <f t="shared" si="4"/>
        <v/>
      </c>
      <c r="O633" s="25" t="str">
        <f t="shared" si="5"/>
        <v/>
      </c>
      <c r="P633" s="25">
        <f t="shared" si="6"/>
        <v>0</v>
      </c>
      <c r="S633" s="25" t="str">
        <f t="shared" si="7"/>
        <v/>
      </c>
    </row>
    <row r="634" ht="15.75" customHeight="1">
      <c r="A634" s="25" t="str">
        <f t="shared" si="1"/>
        <v>P633</v>
      </c>
      <c r="B634" s="25"/>
      <c r="G634" s="25"/>
      <c r="K634" s="25">
        <f t="shared" si="2"/>
        <v>1</v>
      </c>
      <c r="L634" s="25" t="str">
        <f t="shared" si="8"/>
        <v>الأصل</v>
      </c>
      <c r="M634" s="25" t="str">
        <f t="shared" si="3"/>
        <v/>
      </c>
      <c r="N634" s="25" t="str">
        <f t="shared" si="4"/>
        <v/>
      </c>
      <c r="O634" s="25" t="str">
        <f t="shared" si="5"/>
        <v/>
      </c>
      <c r="P634" s="25">
        <f t="shared" si="6"/>
        <v>0</v>
      </c>
      <c r="S634" s="25" t="str">
        <f t="shared" si="7"/>
        <v/>
      </c>
    </row>
    <row r="635" ht="15.75" customHeight="1">
      <c r="A635" s="25" t="str">
        <f t="shared" si="1"/>
        <v>P634</v>
      </c>
      <c r="B635" s="25"/>
      <c r="G635" s="25"/>
      <c r="K635" s="25">
        <f t="shared" si="2"/>
        <v>1</v>
      </c>
      <c r="L635" s="25" t="str">
        <f t="shared" si="8"/>
        <v>الأصل</v>
      </c>
      <c r="M635" s="25" t="str">
        <f t="shared" si="3"/>
        <v/>
      </c>
      <c r="N635" s="25" t="str">
        <f t="shared" si="4"/>
        <v/>
      </c>
      <c r="O635" s="25" t="str">
        <f t="shared" si="5"/>
        <v/>
      </c>
      <c r="P635" s="25">
        <f t="shared" si="6"/>
        <v>0</v>
      </c>
      <c r="S635" s="25" t="str">
        <f t="shared" si="7"/>
        <v/>
      </c>
    </row>
    <row r="636" ht="15.75" customHeight="1">
      <c r="A636" s="25" t="str">
        <f t="shared" si="1"/>
        <v>P635</v>
      </c>
      <c r="B636" s="25"/>
      <c r="G636" s="25"/>
      <c r="K636" s="25">
        <f t="shared" si="2"/>
        <v>1</v>
      </c>
      <c r="L636" s="25" t="str">
        <f t="shared" si="8"/>
        <v>الأصل</v>
      </c>
      <c r="M636" s="25" t="str">
        <f t="shared" si="3"/>
        <v/>
      </c>
      <c r="N636" s="25" t="str">
        <f t="shared" si="4"/>
        <v/>
      </c>
      <c r="O636" s="25" t="str">
        <f t="shared" si="5"/>
        <v/>
      </c>
      <c r="P636" s="25">
        <f t="shared" si="6"/>
        <v>0</v>
      </c>
      <c r="S636" s="25" t="str">
        <f t="shared" si="7"/>
        <v/>
      </c>
    </row>
    <row r="637" ht="15.75" customHeight="1">
      <c r="A637" s="25" t="str">
        <f t="shared" si="1"/>
        <v>P636</v>
      </c>
      <c r="B637" s="25"/>
      <c r="G637" s="25"/>
      <c r="K637" s="25">
        <f t="shared" si="2"/>
        <v>1</v>
      </c>
      <c r="L637" s="25" t="str">
        <f t="shared" si="8"/>
        <v>الأصل</v>
      </c>
      <c r="M637" s="25" t="str">
        <f t="shared" si="3"/>
        <v/>
      </c>
      <c r="N637" s="25" t="str">
        <f t="shared" si="4"/>
        <v/>
      </c>
      <c r="O637" s="25" t="str">
        <f t="shared" si="5"/>
        <v/>
      </c>
      <c r="P637" s="25">
        <f t="shared" si="6"/>
        <v>0</v>
      </c>
      <c r="S637" s="25" t="str">
        <f t="shared" si="7"/>
        <v/>
      </c>
    </row>
    <row r="638" ht="15.75" customHeight="1">
      <c r="A638" s="25" t="str">
        <f t="shared" si="1"/>
        <v>P637</v>
      </c>
      <c r="B638" s="25"/>
      <c r="G638" s="25"/>
      <c r="K638" s="25">
        <f t="shared" si="2"/>
        <v>1</v>
      </c>
      <c r="L638" s="25" t="str">
        <f t="shared" si="8"/>
        <v>الأصل</v>
      </c>
      <c r="M638" s="25" t="str">
        <f t="shared" si="3"/>
        <v/>
      </c>
      <c r="N638" s="25" t="str">
        <f t="shared" si="4"/>
        <v/>
      </c>
      <c r="O638" s="25" t="str">
        <f t="shared" si="5"/>
        <v/>
      </c>
      <c r="P638" s="25">
        <f t="shared" si="6"/>
        <v>0</v>
      </c>
      <c r="S638" s="25" t="str">
        <f t="shared" si="7"/>
        <v/>
      </c>
    </row>
    <row r="639" ht="15.75" customHeight="1">
      <c r="A639" s="25" t="str">
        <f t="shared" si="1"/>
        <v>P638</v>
      </c>
      <c r="B639" s="25"/>
      <c r="G639" s="25"/>
      <c r="K639" s="25">
        <f t="shared" si="2"/>
        <v>1</v>
      </c>
      <c r="L639" s="25" t="str">
        <f t="shared" si="8"/>
        <v>الأصل</v>
      </c>
      <c r="M639" s="25" t="str">
        <f t="shared" si="3"/>
        <v/>
      </c>
      <c r="N639" s="25" t="str">
        <f t="shared" si="4"/>
        <v/>
      </c>
      <c r="O639" s="25" t="str">
        <f t="shared" si="5"/>
        <v/>
      </c>
      <c r="P639" s="25">
        <f t="shared" si="6"/>
        <v>0</v>
      </c>
      <c r="S639" s="25" t="str">
        <f t="shared" si="7"/>
        <v/>
      </c>
    </row>
    <row r="640" ht="15.75" customHeight="1">
      <c r="A640" s="25" t="str">
        <f t="shared" si="1"/>
        <v>P639</v>
      </c>
      <c r="B640" s="25"/>
      <c r="G640" s="25"/>
      <c r="K640" s="25">
        <f t="shared" si="2"/>
        <v>1</v>
      </c>
      <c r="L640" s="25" t="str">
        <f t="shared" si="8"/>
        <v>الأصل</v>
      </c>
      <c r="M640" s="25" t="str">
        <f t="shared" si="3"/>
        <v/>
      </c>
      <c r="N640" s="25" t="str">
        <f t="shared" si="4"/>
        <v/>
      </c>
      <c r="O640" s="25" t="str">
        <f t="shared" si="5"/>
        <v/>
      </c>
      <c r="P640" s="25">
        <f t="shared" si="6"/>
        <v>0</v>
      </c>
      <c r="S640" s="25" t="str">
        <f t="shared" si="7"/>
        <v/>
      </c>
    </row>
    <row r="641" ht="15.75" customHeight="1">
      <c r="A641" s="25" t="str">
        <f t="shared" si="1"/>
        <v>P640</v>
      </c>
      <c r="B641" s="25"/>
      <c r="G641" s="25"/>
      <c r="K641" s="25">
        <f t="shared" si="2"/>
        <v>1</v>
      </c>
      <c r="L641" s="25" t="str">
        <f t="shared" si="8"/>
        <v>الأصل</v>
      </c>
      <c r="M641" s="25" t="str">
        <f t="shared" si="3"/>
        <v/>
      </c>
      <c r="N641" s="25" t="str">
        <f t="shared" si="4"/>
        <v/>
      </c>
      <c r="O641" s="25" t="str">
        <f t="shared" si="5"/>
        <v/>
      </c>
      <c r="P641" s="25">
        <f t="shared" si="6"/>
        <v>0</v>
      </c>
      <c r="S641" s="25" t="str">
        <f t="shared" si="7"/>
        <v/>
      </c>
    </row>
    <row r="642" ht="15.75" customHeight="1">
      <c r="A642" s="25" t="str">
        <f t="shared" si="1"/>
        <v>P641</v>
      </c>
      <c r="B642" s="25"/>
      <c r="G642" s="25"/>
      <c r="K642" s="25">
        <f t="shared" si="2"/>
        <v>1</v>
      </c>
      <c r="L642" s="25" t="str">
        <f t="shared" si="8"/>
        <v>الأصل</v>
      </c>
      <c r="M642" s="25" t="str">
        <f t="shared" si="3"/>
        <v/>
      </c>
      <c r="N642" s="25" t="str">
        <f t="shared" si="4"/>
        <v/>
      </c>
      <c r="O642" s="25" t="str">
        <f t="shared" si="5"/>
        <v/>
      </c>
      <c r="P642" s="25">
        <f t="shared" si="6"/>
        <v>0</v>
      </c>
      <c r="S642" s="25" t="str">
        <f t="shared" si="7"/>
        <v/>
      </c>
    </row>
    <row r="643" ht="15.75" customHeight="1">
      <c r="A643" s="25" t="str">
        <f t="shared" si="1"/>
        <v>P642</v>
      </c>
      <c r="B643" s="25"/>
      <c r="G643" s="25"/>
      <c r="K643" s="25">
        <f t="shared" si="2"/>
        <v>1</v>
      </c>
      <c r="L643" s="25" t="str">
        <f t="shared" si="8"/>
        <v>الأصل</v>
      </c>
      <c r="M643" s="25" t="str">
        <f t="shared" si="3"/>
        <v/>
      </c>
      <c r="N643" s="25" t="str">
        <f t="shared" si="4"/>
        <v/>
      </c>
      <c r="O643" s="25" t="str">
        <f t="shared" si="5"/>
        <v/>
      </c>
      <c r="P643" s="25">
        <f t="shared" si="6"/>
        <v>0</v>
      </c>
      <c r="S643" s="25" t="str">
        <f t="shared" si="7"/>
        <v/>
      </c>
    </row>
    <row r="644" ht="15.75" customHeight="1">
      <c r="A644" s="25" t="str">
        <f t="shared" si="1"/>
        <v>P643</v>
      </c>
      <c r="B644" s="25"/>
      <c r="G644" s="25"/>
      <c r="K644" s="25">
        <f t="shared" si="2"/>
        <v>1</v>
      </c>
      <c r="L644" s="25" t="str">
        <f t="shared" si="8"/>
        <v>الأصل</v>
      </c>
      <c r="M644" s="25" t="str">
        <f t="shared" si="3"/>
        <v/>
      </c>
      <c r="N644" s="25" t="str">
        <f t="shared" si="4"/>
        <v/>
      </c>
      <c r="O644" s="25" t="str">
        <f t="shared" si="5"/>
        <v/>
      </c>
      <c r="P644" s="25">
        <f t="shared" si="6"/>
        <v>0</v>
      </c>
      <c r="S644" s="25" t="str">
        <f t="shared" si="7"/>
        <v/>
      </c>
    </row>
    <row r="645" ht="15.75" customHeight="1">
      <c r="A645" s="25" t="str">
        <f t="shared" si="1"/>
        <v>P644</v>
      </c>
      <c r="B645" s="25"/>
      <c r="G645" s="25"/>
      <c r="K645" s="25">
        <f t="shared" si="2"/>
        <v>1</v>
      </c>
      <c r="L645" s="25" t="str">
        <f t="shared" si="8"/>
        <v>الأصل</v>
      </c>
      <c r="M645" s="25" t="str">
        <f t="shared" si="3"/>
        <v/>
      </c>
      <c r="N645" s="25" t="str">
        <f t="shared" si="4"/>
        <v/>
      </c>
      <c r="O645" s="25" t="str">
        <f t="shared" si="5"/>
        <v/>
      </c>
      <c r="P645" s="25">
        <f t="shared" si="6"/>
        <v>0</v>
      </c>
      <c r="S645" s="25" t="str">
        <f t="shared" si="7"/>
        <v/>
      </c>
    </row>
    <row r="646" ht="15.75" customHeight="1">
      <c r="A646" s="25" t="str">
        <f t="shared" si="1"/>
        <v>P645</v>
      </c>
      <c r="B646" s="25"/>
      <c r="G646" s="25"/>
      <c r="K646" s="25">
        <f t="shared" si="2"/>
        <v>1</v>
      </c>
      <c r="L646" s="25" t="str">
        <f t="shared" si="8"/>
        <v>الأصل</v>
      </c>
      <c r="M646" s="25" t="str">
        <f t="shared" si="3"/>
        <v/>
      </c>
      <c r="N646" s="25" t="str">
        <f t="shared" si="4"/>
        <v/>
      </c>
      <c r="O646" s="25" t="str">
        <f t="shared" si="5"/>
        <v/>
      </c>
      <c r="P646" s="25">
        <f t="shared" si="6"/>
        <v>0</v>
      </c>
      <c r="S646" s="25" t="str">
        <f t="shared" si="7"/>
        <v/>
      </c>
    </row>
    <row r="647" ht="15.75" customHeight="1">
      <c r="A647" s="25" t="str">
        <f t="shared" si="1"/>
        <v>P646</v>
      </c>
      <c r="B647" s="25"/>
      <c r="G647" s="25"/>
      <c r="K647" s="25">
        <f t="shared" si="2"/>
        <v>1</v>
      </c>
      <c r="L647" s="25" t="str">
        <f t="shared" si="8"/>
        <v>الأصل</v>
      </c>
      <c r="M647" s="25" t="str">
        <f t="shared" si="3"/>
        <v/>
      </c>
      <c r="N647" s="25" t="str">
        <f t="shared" si="4"/>
        <v/>
      </c>
      <c r="O647" s="25" t="str">
        <f t="shared" si="5"/>
        <v/>
      </c>
      <c r="P647" s="25">
        <f t="shared" si="6"/>
        <v>0</v>
      </c>
      <c r="S647" s="25" t="str">
        <f t="shared" si="7"/>
        <v/>
      </c>
    </row>
    <row r="648" ht="15.75" customHeight="1">
      <c r="A648" s="25" t="str">
        <f t="shared" si="1"/>
        <v>P647</v>
      </c>
      <c r="B648" s="25"/>
      <c r="G648" s="25"/>
      <c r="K648" s="25">
        <f t="shared" si="2"/>
        <v>1</v>
      </c>
      <c r="L648" s="25" t="str">
        <f t="shared" si="8"/>
        <v>الأصل</v>
      </c>
      <c r="M648" s="25" t="str">
        <f t="shared" si="3"/>
        <v/>
      </c>
      <c r="N648" s="25" t="str">
        <f t="shared" si="4"/>
        <v/>
      </c>
      <c r="O648" s="25" t="str">
        <f t="shared" si="5"/>
        <v/>
      </c>
      <c r="P648" s="25">
        <f t="shared" si="6"/>
        <v>0</v>
      </c>
      <c r="S648" s="25" t="str">
        <f t="shared" si="7"/>
        <v/>
      </c>
    </row>
    <row r="649" ht="15.75" customHeight="1">
      <c r="A649" s="25" t="str">
        <f t="shared" si="1"/>
        <v>P648</v>
      </c>
      <c r="B649" s="25"/>
      <c r="G649" s="25"/>
      <c r="K649" s="25">
        <f t="shared" si="2"/>
        <v>1</v>
      </c>
      <c r="L649" s="25" t="str">
        <f t="shared" si="8"/>
        <v>الأصل</v>
      </c>
      <c r="M649" s="25" t="str">
        <f t="shared" si="3"/>
        <v/>
      </c>
      <c r="N649" s="25" t="str">
        <f t="shared" si="4"/>
        <v/>
      </c>
      <c r="O649" s="25" t="str">
        <f t="shared" si="5"/>
        <v/>
      </c>
      <c r="P649" s="25">
        <f t="shared" si="6"/>
        <v>0</v>
      </c>
      <c r="S649" s="25" t="str">
        <f t="shared" si="7"/>
        <v/>
      </c>
    </row>
    <row r="650" ht="15.75" customHeight="1">
      <c r="A650" s="25" t="str">
        <f t="shared" si="1"/>
        <v>P649</v>
      </c>
      <c r="B650" s="25"/>
      <c r="G650" s="25"/>
      <c r="K650" s="25">
        <f t="shared" si="2"/>
        <v>1</v>
      </c>
      <c r="L650" s="25" t="str">
        <f t="shared" si="8"/>
        <v>الأصل</v>
      </c>
      <c r="M650" s="25" t="str">
        <f t="shared" si="3"/>
        <v/>
      </c>
      <c r="N650" s="25" t="str">
        <f t="shared" si="4"/>
        <v/>
      </c>
      <c r="O650" s="25" t="str">
        <f t="shared" si="5"/>
        <v/>
      </c>
      <c r="P650" s="25">
        <f t="shared" si="6"/>
        <v>0</v>
      </c>
      <c r="S650" s="25" t="str">
        <f t="shared" si="7"/>
        <v/>
      </c>
    </row>
    <row r="651" ht="15.75" customHeight="1">
      <c r="A651" s="25" t="str">
        <f t="shared" si="1"/>
        <v>P650</v>
      </c>
      <c r="B651" s="25"/>
      <c r="G651" s="25"/>
      <c r="K651" s="25">
        <f t="shared" si="2"/>
        <v>1</v>
      </c>
      <c r="L651" s="25" t="str">
        <f t="shared" si="8"/>
        <v>الأصل</v>
      </c>
      <c r="M651" s="25" t="str">
        <f t="shared" si="3"/>
        <v/>
      </c>
      <c r="N651" s="25" t="str">
        <f t="shared" si="4"/>
        <v/>
      </c>
      <c r="O651" s="25" t="str">
        <f t="shared" si="5"/>
        <v/>
      </c>
      <c r="P651" s="25">
        <f t="shared" si="6"/>
        <v>0</v>
      </c>
      <c r="S651" s="25" t="str">
        <f t="shared" si="7"/>
        <v/>
      </c>
    </row>
    <row r="652" ht="15.75" customHeight="1">
      <c r="A652" s="25" t="str">
        <f t="shared" si="1"/>
        <v>P651</v>
      </c>
      <c r="B652" s="25"/>
      <c r="G652" s="25"/>
      <c r="K652" s="25">
        <f t="shared" si="2"/>
        <v>1</v>
      </c>
      <c r="L652" s="25" t="str">
        <f t="shared" si="8"/>
        <v>الأصل</v>
      </c>
      <c r="M652" s="25" t="str">
        <f t="shared" si="3"/>
        <v/>
      </c>
      <c r="N652" s="25" t="str">
        <f t="shared" si="4"/>
        <v/>
      </c>
      <c r="O652" s="25" t="str">
        <f t="shared" si="5"/>
        <v/>
      </c>
      <c r="P652" s="25">
        <f t="shared" si="6"/>
        <v>0</v>
      </c>
      <c r="S652" s="25" t="str">
        <f t="shared" si="7"/>
        <v/>
      </c>
    </row>
    <row r="653" ht="15.75" customHeight="1">
      <c r="A653" s="25" t="str">
        <f t="shared" si="1"/>
        <v>P652</v>
      </c>
      <c r="B653" s="25"/>
      <c r="G653" s="25"/>
      <c r="K653" s="25">
        <f t="shared" si="2"/>
        <v>1</v>
      </c>
      <c r="L653" s="25" t="str">
        <f t="shared" si="8"/>
        <v>الأصل</v>
      </c>
      <c r="M653" s="25" t="str">
        <f t="shared" si="3"/>
        <v/>
      </c>
      <c r="N653" s="25" t="str">
        <f t="shared" si="4"/>
        <v/>
      </c>
      <c r="O653" s="25" t="str">
        <f t="shared" si="5"/>
        <v/>
      </c>
      <c r="P653" s="25">
        <f t="shared" si="6"/>
        <v>0</v>
      </c>
      <c r="S653" s="25" t="str">
        <f t="shared" si="7"/>
        <v/>
      </c>
    </row>
    <row r="654" ht="15.75" customHeight="1">
      <c r="A654" s="25" t="str">
        <f t="shared" si="1"/>
        <v>P653</v>
      </c>
      <c r="B654" s="25"/>
      <c r="G654" s="25"/>
      <c r="K654" s="25">
        <f t="shared" si="2"/>
        <v>1</v>
      </c>
      <c r="L654" s="25" t="str">
        <f t="shared" si="8"/>
        <v>الأصل</v>
      </c>
      <c r="M654" s="25" t="str">
        <f t="shared" si="3"/>
        <v/>
      </c>
      <c r="N654" s="25" t="str">
        <f t="shared" si="4"/>
        <v/>
      </c>
      <c r="O654" s="25" t="str">
        <f t="shared" si="5"/>
        <v/>
      </c>
      <c r="P654" s="25">
        <f t="shared" si="6"/>
        <v>0</v>
      </c>
      <c r="S654" s="25" t="str">
        <f t="shared" si="7"/>
        <v/>
      </c>
    </row>
    <row r="655" ht="15.75" customHeight="1">
      <c r="A655" s="25" t="str">
        <f t="shared" si="1"/>
        <v>P654</v>
      </c>
      <c r="B655" s="25"/>
      <c r="G655" s="25"/>
      <c r="K655" s="25">
        <f t="shared" si="2"/>
        <v>1</v>
      </c>
      <c r="L655" s="25" t="str">
        <f t="shared" si="8"/>
        <v>الأصل</v>
      </c>
      <c r="M655" s="25" t="str">
        <f t="shared" si="3"/>
        <v/>
      </c>
      <c r="N655" s="25" t="str">
        <f t="shared" si="4"/>
        <v/>
      </c>
      <c r="O655" s="25" t="str">
        <f t="shared" si="5"/>
        <v/>
      </c>
      <c r="P655" s="25">
        <f t="shared" si="6"/>
        <v>0</v>
      </c>
      <c r="S655" s="25" t="str">
        <f t="shared" si="7"/>
        <v/>
      </c>
    </row>
    <row r="656" ht="15.75" customHeight="1">
      <c r="A656" s="25" t="str">
        <f t="shared" si="1"/>
        <v>P655</v>
      </c>
      <c r="B656" s="25"/>
      <c r="G656" s="25"/>
      <c r="K656" s="25">
        <f t="shared" si="2"/>
        <v>1</v>
      </c>
      <c r="L656" s="25" t="str">
        <f t="shared" si="8"/>
        <v>الأصل</v>
      </c>
      <c r="M656" s="25" t="str">
        <f t="shared" si="3"/>
        <v/>
      </c>
      <c r="N656" s="25" t="str">
        <f t="shared" si="4"/>
        <v/>
      </c>
      <c r="O656" s="25" t="str">
        <f t="shared" si="5"/>
        <v/>
      </c>
      <c r="P656" s="25">
        <f t="shared" si="6"/>
        <v>0</v>
      </c>
      <c r="S656" s="25" t="str">
        <f t="shared" si="7"/>
        <v/>
      </c>
    </row>
    <row r="657" ht="15.75" customHeight="1">
      <c r="A657" s="25" t="str">
        <f t="shared" si="1"/>
        <v>P656</v>
      </c>
      <c r="B657" s="25"/>
      <c r="G657" s="25"/>
      <c r="K657" s="25">
        <f t="shared" si="2"/>
        <v>1</v>
      </c>
      <c r="L657" s="25" t="str">
        <f t="shared" si="8"/>
        <v>الأصل</v>
      </c>
      <c r="M657" s="25" t="str">
        <f t="shared" si="3"/>
        <v/>
      </c>
      <c r="N657" s="25" t="str">
        <f t="shared" si="4"/>
        <v/>
      </c>
      <c r="O657" s="25" t="str">
        <f t="shared" si="5"/>
        <v/>
      </c>
      <c r="P657" s="25">
        <f t="shared" si="6"/>
        <v>0</v>
      </c>
      <c r="S657" s="25" t="str">
        <f t="shared" si="7"/>
        <v/>
      </c>
    </row>
    <row r="658" ht="15.75" customHeight="1">
      <c r="A658" s="25" t="str">
        <f t="shared" si="1"/>
        <v>P657</v>
      </c>
      <c r="B658" s="25"/>
      <c r="G658" s="25"/>
      <c r="K658" s="25">
        <f t="shared" si="2"/>
        <v>1</v>
      </c>
      <c r="L658" s="25" t="str">
        <f t="shared" si="8"/>
        <v>الأصل</v>
      </c>
      <c r="M658" s="25" t="str">
        <f t="shared" si="3"/>
        <v/>
      </c>
      <c r="N658" s="25" t="str">
        <f t="shared" si="4"/>
        <v/>
      </c>
      <c r="O658" s="25" t="str">
        <f t="shared" si="5"/>
        <v/>
      </c>
      <c r="P658" s="25">
        <f t="shared" si="6"/>
        <v>0</v>
      </c>
      <c r="S658" s="25" t="str">
        <f t="shared" si="7"/>
        <v/>
      </c>
    </row>
    <row r="659" ht="15.75" customHeight="1">
      <c r="A659" s="25" t="str">
        <f t="shared" si="1"/>
        <v>P658</v>
      </c>
      <c r="B659" s="25"/>
      <c r="G659" s="25"/>
      <c r="K659" s="25">
        <f t="shared" si="2"/>
        <v>1</v>
      </c>
      <c r="L659" s="25" t="str">
        <f t="shared" si="8"/>
        <v>الأصل</v>
      </c>
      <c r="M659" s="25" t="str">
        <f t="shared" si="3"/>
        <v/>
      </c>
      <c r="N659" s="25" t="str">
        <f t="shared" si="4"/>
        <v/>
      </c>
      <c r="O659" s="25" t="str">
        <f t="shared" si="5"/>
        <v/>
      </c>
      <c r="P659" s="25">
        <f t="shared" si="6"/>
        <v>0</v>
      </c>
      <c r="S659" s="25" t="str">
        <f t="shared" si="7"/>
        <v/>
      </c>
    </row>
    <row r="660" ht="15.75" customHeight="1">
      <c r="A660" s="25" t="str">
        <f t="shared" si="1"/>
        <v>P659</v>
      </c>
      <c r="B660" s="25"/>
      <c r="G660" s="25"/>
      <c r="K660" s="25">
        <f t="shared" si="2"/>
        <v>1</v>
      </c>
      <c r="L660" s="25" t="str">
        <f t="shared" si="8"/>
        <v>الأصل</v>
      </c>
      <c r="M660" s="25" t="str">
        <f t="shared" si="3"/>
        <v/>
      </c>
      <c r="N660" s="25" t="str">
        <f t="shared" si="4"/>
        <v/>
      </c>
      <c r="O660" s="25" t="str">
        <f t="shared" si="5"/>
        <v/>
      </c>
      <c r="P660" s="25">
        <f t="shared" si="6"/>
        <v>0</v>
      </c>
      <c r="S660" s="25" t="str">
        <f t="shared" si="7"/>
        <v/>
      </c>
    </row>
    <row r="661" ht="15.75" customHeight="1">
      <c r="A661" s="25" t="str">
        <f t="shared" si="1"/>
        <v>P660</v>
      </c>
      <c r="B661" s="25"/>
      <c r="G661" s="25"/>
      <c r="K661" s="25">
        <f t="shared" si="2"/>
        <v>1</v>
      </c>
      <c r="L661" s="25" t="str">
        <f t="shared" si="8"/>
        <v>الأصل</v>
      </c>
      <c r="M661" s="25" t="str">
        <f t="shared" si="3"/>
        <v/>
      </c>
      <c r="N661" s="25" t="str">
        <f t="shared" si="4"/>
        <v/>
      </c>
      <c r="O661" s="25" t="str">
        <f t="shared" si="5"/>
        <v/>
      </c>
      <c r="P661" s="25">
        <f t="shared" si="6"/>
        <v>0</v>
      </c>
      <c r="S661" s="25" t="str">
        <f t="shared" si="7"/>
        <v/>
      </c>
    </row>
    <row r="662" ht="15.75" customHeight="1">
      <c r="A662" s="25" t="str">
        <f t="shared" si="1"/>
        <v>P661</v>
      </c>
      <c r="B662" s="25"/>
      <c r="G662" s="25"/>
      <c r="K662" s="25">
        <f t="shared" si="2"/>
        <v>1</v>
      </c>
      <c r="L662" s="25" t="str">
        <f t="shared" si="8"/>
        <v>الأصل</v>
      </c>
      <c r="M662" s="25" t="str">
        <f t="shared" si="3"/>
        <v/>
      </c>
      <c r="N662" s="25" t="str">
        <f t="shared" si="4"/>
        <v/>
      </c>
      <c r="O662" s="25" t="str">
        <f t="shared" si="5"/>
        <v/>
      </c>
      <c r="P662" s="25">
        <f t="shared" si="6"/>
        <v>0</v>
      </c>
      <c r="S662" s="25" t="str">
        <f t="shared" si="7"/>
        <v/>
      </c>
    </row>
    <row r="663" ht="15.75" customHeight="1">
      <c r="A663" s="25" t="str">
        <f t="shared" si="1"/>
        <v>P662</v>
      </c>
      <c r="B663" s="25"/>
      <c r="G663" s="25"/>
      <c r="K663" s="25">
        <f t="shared" si="2"/>
        <v>1</v>
      </c>
      <c r="L663" s="25" t="str">
        <f t="shared" si="8"/>
        <v>الأصل</v>
      </c>
      <c r="M663" s="25" t="str">
        <f t="shared" si="3"/>
        <v/>
      </c>
      <c r="N663" s="25" t="str">
        <f t="shared" si="4"/>
        <v/>
      </c>
      <c r="O663" s="25" t="str">
        <f t="shared" si="5"/>
        <v/>
      </c>
      <c r="P663" s="25">
        <f t="shared" si="6"/>
        <v>0</v>
      </c>
      <c r="S663" s="25" t="str">
        <f t="shared" si="7"/>
        <v/>
      </c>
    </row>
    <row r="664" ht="15.75" customHeight="1">
      <c r="A664" s="25" t="str">
        <f t="shared" si="1"/>
        <v>P663</v>
      </c>
      <c r="B664" s="25"/>
      <c r="G664" s="25"/>
      <c r="K664" s="25">
        <f t="shared" si="2"/>
        <v>1</v>
      </c>
      <c r="L664" s="25" t="str">
        <f t="shared" si="8"/>
        <v>الأصل</v>
      </c>
      <c r="M664" s="25" t="str">
        <f t="shared" si="3"/>
        <v/>
      </c>
      <c r="N664" s="25" t="str">
        <f t="shared" si="4"/>
        <v/>
      </c>
      <c r="O664" s="25" t="str">
        <f t="shared" si="5"/>
        <v/>
      </c>
      <c r="P664" s="25">
        <f t="shared" si="6"/>
        <v>0</v>
      </c>
      <c r="S664" s="25" t="str">
        <f t="shared" si="7"/>
        <v/>
      </c>
    </row>
    <row r="665" ht="15.75" customHeight="1">
      <c r="A665" s="25" t="str">
        <f t="shared" si="1"/>
        <v>P664</v>
      </c>
      <c r="B665" s="25"/>
      <c r="G665" s="25"/>
      <c r="K665" s="25">
        <f t="shared" si="2"/>
        <v>1</v>
      </c>
      <c r="L665" s="25" t="str">
        <f t="shared" si="8"/>
        <v>الأصل</v>
      </c>
      <c r="M665" s="25" t="str">
        <f t="shared" si="3"/>
        <v/>
      </c>
      <c r="N665" s="25" t="str">
        <f t="shared" si="4"/>
        <v/>
      </c>
      <c r="O665" s="25" t="str">
        <f t="shared" si="5"/>
        <v/>
      </c>
      <c r="P665" s="25">
        <f t="shared" si="6"/>
        <v>0</v>
      </c>
      <c r="S665" s="25" t="str">
        <f t="shared" si="7"/>
        <v/>
      </c>
    </row>
    <row r="666" ht="15.75" customHeight="1">
      <c r="A666" s="25" t="str">
        <f t="shared" si="1"/>
        <v>P665</v>
      </c>
      <c r="B666" s="25"/>
      <c r="G666" s="25"/>
      <c r="K666" s="25">
        <f t="shared" si="2"/>
        <v>1</v>
      </c>
      <c r="L666" s="25" t="str">
        <f t="shared" si="8"/>
        <v>الأصل</v>
      </c>
      <c r="M666" s="25" t="str">
        <f t="shared" si="3"/>
        <v/>
      </c>
      <c r="N666" s="25" t="str">
        <f t="shared" si="4"/>
        <v/>
      </c>
      <c r="O666" s="25" t="str">
        <f t="shared" si="5"/>
        <v/>
      </c>
      <c r="P666" s="25">
        <f t="shared" si="6"/>
        <v>0</v>
      </c>
      <c r="S666" s="25" t="str">
        <f t="shared" si="7"/>
        <v/>
      </c>
    </row>
    <row r="667" ht="15.75" customHeight="1">
      <c r="A667" s="25" t="str">
        <f t="shared" si="1"/>
        <v>P666</v>
      </c>
      <c r="B667" s="25"/>
      <c r="G667" s="25"/>
      <c r="K667" s="25">
        <f t="shared" si="2"/>
        <v>1</v>
      </c>
      <c r="L667" s="25" t="str">
        <f t="shared" si="8"/>
        <v>الأصل</v>
      </c>
      <c r="M667" s="25" t="str">
        <f t="shared" si="3"/>
        <v/>
      </c>
      <c r="N667" s="25" t="str">
        <f t="shared" si="4"/>
        <v/>
      </c>
      <c r="O667" s="25" t="str">
        <f t="shared" si="5"/>
        <v/>
      </c>
      <c r="P667" s="25">
        <f t="shared" si="6"/>
        <v>0</v>
      </c>
      <c r="S667" s="25" t="str">
        <f t="shared" si="7"/>
        <v/>
      </c>
    </row>
    <row r="668" ht="15.75" customHeight="1">
      <c r="A668" s="25" t="str">
        <f t="shared" si="1"/>
        <v>P667</v>
      </c>
      <c r="B668" s="25"/>
      <c r="G668" s="25"/>
      <c r="K668" s="25">
        <f t="shared" si="2"/>
        <v>1</v>
      </c>
      <c r="L668" s="25" t="str">
        <f t="shared" si="8"/>
        <v>الأصل</v>
      </c>
      <c r="M668" s="25" t="str">
        <f t="shared" si="3"/>
        <v/>
      </c>
      <c r="N668" s="25" t="str">
        <f t="shared" si="4"/>
        <v/>
      </c>
      <c r="O668" s="25" t="str">
        <f t="shared" si="5"/>
        <v/>
      </c>
      <c r="P668" s="25">
        <f t="shared" si="6"/>
        <v>0</v>
      </c>
      <c r="S668" s="25" t="str">
        <f t="shared" si="7"/>
        <v/>
      </c>
    </row>
    <row r="669" ht="15.75" customHeight="1">
      <c r="A669" s="25" t="str">
        <f t="shared" si="1"/>
        <v>P668</v>
      </c>
      <c r="B669" s="25"/>
      <c r="G669" s="25"/>
      <c r="K669" s="25">
        <f t="shared" si="2"/>
        <v>1</v>
      </c>
      <c r="L669" s="25" t="str">
        <f t="shared" si="8"/>
        <v>الأصل</v>
      </c>
      <c r="M669" s="25" t="str">
        <f t="shared" si="3"/>
        <v/>
      </c>
      <c r="N669" s="25" t="str">
        <f t="shared" si="4"/>
        <v/>
      </c>
      <c r="O669" s="25" t="str">
        <f t="shared" si="5"/>
        <v/>
      </c>
      <c r="P669" s="25">
        <f t="shared" si="6"/>
        <v>0</v>
      </c>
      <c r="S669" s="25" t="str">
        <f t="shared" si="7"/>
        <v/>
      </c>
    </row>
    <row r="670" ht="15.75" customHeight="1">
      <c r="A670" s="25" t="str">
        <f t="shared" si="1"/>
        <v>P669</v>
      </c>
      <c r="B670" s="25"/>
      <c r="G670" s="25"/>
      <c r="K670" s="25">
        <f t="shared" si="2"/>
        <v>1</v>
      </c>
      <c r="L670" s="25" t="str">
        <f t="shared" si="8"/>
        <v>الأصل</v>
      </c>
      <c r="M670" s="25" t="str">
        <f t="shared" si="3"/>
        <v/>
      </c>
      <c r="N670" s="25" t="str">
        <f t="shared" si="4"/>
        <v/>
      </c>
      <c r="O670" s="25" t="str">
        <f t="shared" si="5"/>
        <v/>
      </c>
      <c r="P670" s="25">
        <f t="shared" si="6"/>
        <v>0</v>
      </c>
      <c r="S670" s="25" t="str">
        <f t="shared" si="7"/>
        <v/>
      </c>
    </row>
    <row r="671" ht="15.75" customHeight="1">
      <c r="A671" s="25" t="str">
        <f t="shared" si="1"/>
        <v>P670</v>
      </c>
      <c r="B671" s="25"/>
      <c r="G671" s="25"/>
      <c r="K671" s="25">
        <f t="shared" si="2"/>
        <v>1</v>
      </c>
      <c r="L671" s="25" t="str">
        <f t="shared" si="8"/>
        <v>الأصل</v>
      </c>
      <c r="M671" s="25" t="str">
        <f t="shared" si="3"/>
        <v/>
      </c>
      <c r="N671" s="25" t="str">
        <f t="shared" si="4"/>
        <v/>
      </c>
      <c r="O671" s="25" t="str">
        <f t="shared" si="5"/>
        <v/>
      </c>
      <c r="P671" s="25">
        <f t="shared" si="6"/>
        <v>0</v>
      </c>
      <c r="S671" s="25" t="str">
        <f t="shared" si="7"/>
        <v/>
      </c>
    </row>
    <row r="672" ht="15.75" customHeight="1">
      <c r="A672" s="25" t="str">
        <f t="shared" si="1"/>
        <v>P671</v>
      </c>
      <c r="B672" s="25"/>
      <c r="G672" s="25"/>
      <c r="K672" s="25">
        <f t="shared" si="2"/>
        <v>1</v>
      </c>
      <c r="L672" s="25" t="str">
        <f t="shared" si="8"/>
        <v>الأصل</v>
      </c>
      <c r="M672" s="25" t="str">
        <f t="shared" si="3"/>
        <v/>
      </c>
      <c r="N672" s="25" t="str">
        <f t="shared" si="4"/>
        <v/>
      </c>
      <c r="O672" s="25" t="str">
        <f t="shared" si="5"/>
        <v/>
      </c>
      <c r="P672" s="25">
        <f t="shared" si="6"/>
        <v>0</v>
      </c>
      <c r="S672" s="25" t="str">
        <f t="shared" si="7"/>
        <v/>
      </c>
    </row>
    <row r="673" ht="15.75" customHeight="1">
      <c r="A673" s="25" t="str">
        <f t="shared" si="1"/>
        <v>P672</v>
      </c>
      <c r="B673" s="25"/>
      <c r="G673" s="25"/>
      <c r="K673" s="25">
        <f t="shared" si="2"/>
        <v>1</v>
      </c>
      <c r="L673" s="25" t="str">
        <f t="shared" si="8"/>
        <v>الأصل</v>
      </c>
      <c r="M673" s="25" t="str">
        <f t="shared" si="3"/>
        <v/>
      </c>
      <c r="N673" s="25" t="str">
        <f t="shared" si="4"/>
        <v/>
      </c>
      <c r="O673" s="25" t="str">
        <f t="shared" si="5"/>
        <v/>
      </c>
      <c r="P673" s="25">
        <f t="shared" si="6"/>
        <v>0</v>
      </c>
      <c r="S673" s="25" t="str">
        <f t="shared" si="7"/>
        <v/>
      </c>
    </row>
    <row r="674" ht="15.75" customHeight="1">
      <c r="A674" s="25" t="str">
        <f t="shared" si="1"/>
        <v>P673</v>
      </c>
      <c r="B674" s="25"/>
      <c r="G674" s="25"/>
      <c r="K674" s="25">
        <f t="shared" si="2"/>
        <v>1</v>
      </c>
      <c r="L674" s="25" t="str">
        <f t="shared" si="8"/>
        <v>الأصل</v>
      </c>
      <c r="M674" s="25" t="str">
        <f t="shared" si="3"/>
        <v/>
      </c>
      <c r="N674" s="25" t="str">
        <f t="shared" si="4"/>
        <v/>
      </c>
      <c r="O674" s="25" t="str">
        <f t="shared" si="5"/>
        <v/>
      </c>
      <c r="P674" s="25">
        <f t="shared" si="6"/>
        <v>0</v>
      </c>
      <c r="S674" s="25" t="str">
        <f t="shared" si="7"/>
        <v/>
      </c>
    </row>
    <row r="675" ht="15.75" customHeight="1">
      <c r="A675" s="25" t="str">
        <f t="shared" si="1"/>
        <v>P674</v>
      </c>
      <c r="B675" s="25"/>
      <c r="G675" s="25"/>
      <c r="K675" s="25">
        <f t="shared" si="2"/>
        <v>1</v>
      </c>
      <c r="L675" s="25" t="str">
        <f t="shared" si="8"/>
        <v>الأصل</v>
      </c>
      <c r="M675" s="25" t="str">
        <f t="shared" si="3"/>
        <v/>
      </c>
      <c r="N675" s="25" t="str">
        <f t="shared" si="4"/>
        <v/>
      </c>
      <c r="O675" s="25" t="str">
        <f t="shared" si="5"/>
        <v/>
      </c>
      <c r="P675" s="25">
        <f t="shared" si="6"/>
        <v>0</v>
      </c>
      <c r="S675" s="25" t="str">
        <f t="shared" si="7"/>
        <v/>
      </c>
    </row>
    <row r="676" ht="15.75" customHeight="1">
      <c r="A676" s="25" t="str">
        <f t="shared" si="1"/>
        <v>P675</v>
      </c>
      <c r="B676" s="25"/>
      <c r="G676" s="25"/>
      <c r="K676" s="25">
        <f t="shared" si="2"/>
        <v>1</v>
      </c>
      <c r="L676" s="25" t="str">
        <f t="shared" si="8"/>
        <v>الأصل</v>
      </c>
      <c r="M676" s="25" t="str">
        <f t="shared" si="3"/>
        <v/>
      </c>
      <c r="N676" s="25" t="str">
        <f t="shared" si="4"/>
        <v/>
      </c>
      <c r="O676" s="25" t="str">
        <f t="shared" si="5"/>
        <v/>
      </c>
      <c r="P676" s="25">
        <f t="shared" si="6"/>
        <v>0</v>
      </c>
      <c r="S676" s="25" t="str">
        <f t="shared" si="7"/>
        <v/>
      </c>
    </row>
    <row r="677" ht="15.75" customHeight="1">
      <c r="A677" s="25" t="str">
        <f t="shared" si="1"/>
        <v>P676</v>
      </c>
      <c r="B677" s="25"/>
      <c r="G677" s="25"/>
      <c r="K677" s="25">
        <f t="shared" si="2"/>
        <v>1</v>
      </c>
      <c r="L677" s="25" t="str">
        <f t="shared" si="8"/>
        <v>الأصل</v>
      </c>
      <c r="M677" s="25" t="str">
        <f t="shared" si="3"/>
        <v/>
      </c>
      <c r="N677" s="25" t="str">
        <f t="shared" si="4"/>
        <v/>
      </c>
      <c r="O677" s="25" t="str">
        <f t="shared" si="5"/>
        <v/>
      </c>
      <c r="P677" s="25">
        <f t="shared" si="6"/>
        <v>0</v>
      </c>
      <c r="S677" s="25" t="str">
        <f t="shared" si="7"/>
        <v/>
      </c>
    </row>
    <row r="678" ht="15.75" customHeight="1">
      <c r="A678" s="25" t="str">
        <f t="shared" si="1"/>
        <v>P677</v>
      </c>
      <c r="B678" s="25"/>
      <c r="G678" s="25"/>
      <c r="K678" s="25">
        <f t="shared" si="2"/>
        <v>1</v>
      </c>
      <c r="L678" s="25" t="str">
        <f t="shared" si="8"/>
        <v>الأصل</v>
      </c>
      <c r="M678" s="25" t="str">
        <f t="shared" si="3"/>
        <v/>
      </c>
      <c r="N678" s="25" t="str">
        <f t="shared" si="4"/>
        <v/>
      </c>
      <c r="O678" s="25" t="str">
        <f t="shared" si="5"/>
        <v/>
      </c>
      <c r="P678" s="25">
        <f t="shared" si="6"/>
        <v>0</v>
      </c>
      <c r="S678" s="25" t="str">
        <f t="shared" si="7"/>
        <v/>
      </c>
    </row>
    <row r="679" ht="15.75" customHeight="1">
      <c r="A679" s="25" t="str">
        <f t="shared" si="1"/>
        <v>P678</v>
      </c>
      <c r="B679" s="25"/>
      <c r="G679" s="25"/>
      <c r="K679" s="25">
        <f t="shared" si="2"/>
        <v>1</v>
      </c>
      <c r="L679" s="25" t="str">
        <f t="shared" si="8"/>
        <v>الأصل</v>
      </c>
      <c r="M679" s="25" t="str">
        <f t="shared" si="3"/>
        <v/>
      </c>
      <c r="N679" s="25" t="str">
        <f t="shared" si="4"/>
        <v/>
      </c>
      <c r="O679" s="25" t="str">
        <f t="shared" si="5"/>
        <v/>
      </c>
      <c r="P679" s="25">
        <f t="shared" si="6"/>
        <v>0</v>
      </c>
      <c r="S679" s="25" t="str">
        <f t="shared" si="7"/>
        <v/>
      </c>
    </row>
    <row r="680" ht="15.75" customHeight="1">
      <c r="A680" s="25" t="str">
        <f t="shared" si="1"/>
        <v>P679</v>
      </c>
      <c r="B680" s="25"/>
      <c r="G680" s="25"/>
      <c r="K680" s="25">
        <f t="shared" si="2"/>
        <v>1</v>
      </c>
      <c r="L680" s="25" t="str">
        <f t="shared" si="8"/>
        <v>الأصل</v>
      </c>
      <c r="M680" s="25" t="str">
        <f t="shared" si="3"/>
        <v/>
      </c>
      <c r="N680" s="25" t="str">
        <f t="shared" si="4"/>
        <v/>
      </c>
      <c r="O680" s="25" t="str">
        <f t="shared" si="5"/>
        <v/>
      </c>
      <c r="P680" s="25">
        <f t="shared" si="6"/>
        <v>0</v>
      </c>
      <c r="S680" s="25" t="str">
        <f t="shared" si="7"/>
        <v/>
      </c>
    </row>
    <row r="681" ht="15.75" customHeight="1">
      <c r="A681" s="25" t="str">
        <f t="shared" si="1"/>
        <v>P680</v>
      </c>
      <c r="B681" s="25"/>
      <c r="G681" s="25"/>
      <c r="K681" s="25">
        <f t="shared" si="2"/>
        <v>1</v>
      </c>
      <c r="L681" s="25" t="str">
        <f t="shared" si="8"/>
        <v>الأصل</v>
      </c>
      <c r="M681" s="25" t="str">
        <f t="shared" si="3"/>
        <v/>
      </c>
      <c r="N681" s="25" t="str">
        <f t="shared" si="4"/>
        <v/>
      </c>
      <c r="O681" s="25" t="str">
        <f t="shared" si="5"/>
        <v/>
      </c>
      <c r="P681" s="25">
        <f t="shared" si="6"/>
        <v>0</v>
      </c>
      <c r="S681" s="25" t="str">
        <f t="shared" si="7"/>
        <v/>
      </c>
    </row>
    <row r="682" ht="15.75" customHeight="1">
      <c r="A682" s="25" t="str">
        <f t="shared" si="1"/>
        <v>P681</v>
      </c>
      <c r="B682" s="25"/>
      <c r="G682" s="25"/>
      <c r="K682" s="25">
        <f t="shared" si="2"/>
        <v>1</v>
      </c>
      <c r="L682" s="25" t="str">
        <f t="shared" si="8"/>
        <v>الأصل</v>
      </c>
      <c r="M682" s="25" t="str">
        <f t="shared" si="3"/>
        <v/>
      </c>
      <c r="N682" s="25" t="str">
        <f t="shared" si="4"/>
        <v/>
      </c>
      <c r="O682" s="25" t="str">
        <f t="shared" si="5"/>
        <v/>
      </c>
      <c r="P682" s="25">
        <f t="shared" si="6"/>
        <v>0</v>
      </c>
      <c r="S682" s="25" t="str">
        <f t="shared" si="7"/>
        <v/>
      </c>
    </row>
    <row r="683" ht="15.75" customHeight="1">
      <c r="A683" s="25" t="str">
        <f t="shared" si="1"/>
        <v>P682</v>
      </c>
      <c r="B683" s="25"/>
      <c r="G683" s="25"/>
      <c r="K683" s="25">
        <f t="shared" si="2"/>
        <v>1</v>
      </c>
      <c r="L683" s="25" t="str">
        <f t="shared" si="8"/>
        <v>الأصل</v>
      </c>
      <c r="M683" s="25" t="str">
        <f t="shared" si="3"/>
        <v/>
      </c>
      <c r="N683" s="25" t="str">
        <f t="shared" si="4"/>
        <v/>
      </c>
      <c r="O683" s="25" t="str">
        <f t="shared" si="5"/>
        <v/>
      </c>
      <c r="P683" s="25">
        <f t="shared" si="6"/>
        <v>0</v>
      </c>
      <c r="S683" s="25" t="str">
        <f t="shared" si="7"/>
        <v/>
      </c>
    </row>
    <row r="684" ht="15.75" customHeight="1">
      <c r="A684" s="25" t="str">
        <f t="shared" si="1"/>
        <v>P683</v>
      </c>
      <c r="B684" s="25"/>
      <c r="G684" s="25"/>
      <c r="K684" s="25">
        <f t="shared" si="2"/>
        <v>1</v>
      </c>
      <c r="L684" s="25" t="str">
        <f t="shared" si="8"/>
        <v>الأصل</v>
      </c>
      <c r="M684" s="25" t="str">
        <f t="shared" si="3"/>
        <v/>
      </c>
      <c r="N684" s="25" t="str">
        <f t="shared" si="4"/>
        <v/>
      </c>
      <c r="O684" s="25" t="str">
        <f t="shared" si="5"/>
        <v/>
      </c>
      <c r="P684" s="25">
        <f t="shared" si="6"/>
        <v>0</v>
      </c>
      <c r="S684" s="25" t="str">
        <f t="shared" si="7"/>
        <v/>
      </c>
    </row>
    <row r="685" ht="15.75" customHeight="1">
      <c r="A685" s="25" t="str">
        <f t="shared" si="1"/>
        <v>P684</v>
      </c>
      <c r="B685" s="25"/>
      <c r="G685" s="25"/>
      <c r="K685" s="25">
        <f t="shared" si="2"/>
        <v>1</v>
      </c>
      <c r="L685" s="25" t="str">
        <f t="shared" si="8"/>
        <v>الأصل</v>
      </c>
      <c r="M685" s="25" t="str">
        <f t="shared" si="3"/>
        <v/>
      </c>
      <c r="N685" s="25" t="str">
        <f t="shared" si="4"/>
        <v/>
      </c>
      <c r="O685" s="25" t="str">
        <f t="shared" si="5"/>
        <v/>
      </c>
      <c r="P685" s="25">
        <f t="shared" si="6"/>
        <v>0</v>
      </c>
      <c r="S685" s="25" t="str">
        <f t="shared" si="7"/>
        <v/>
      </c>
    </row>
    <row r="686" ht="15.75" customHeight="1">
      <c r="A686" s="25" t="str">
        <f t="shared" si="1"/>
        <v>P685</v>
      </c>
      <c r="B686" s="25"/>
      <c r="G686" s="25"/>
      <c r="K686" s="25">
        <f t="shared" si="2"/>
        <v>1</v>
      </c>
      <c r="L686" s="25" t="str">
        <f t="shared" si="8"/>
        <v>الأصل</v>
      </c>
      <c r="M686" s="25" t="str">
        <f t="shared" si="3"/>
        <v/>
      </c>
      <c r="N686" s="25" t="str">
        <f t="shared" si="4"/>
        <v/>
      </c>
      <c r="O686" s="25" t="str">
        <f t="shared" si="5"/>
        <v/>
      </c>
      <c r="P686" s="25">
        <f t="shared" si="6"/>
        <v>0</v>
      </c>
      <c r="S686" s="25" t="str">
        <f t="shared" si="7"/>
        <v/>
      </c>
    </row>
    <row r="687" ht="15.75" customHeight="1">
      <c r="A687" s="25" t="str">
        <f t="shared" si="1"/>
        <v>P686</v>
      </c>
      <c r="B687" s="25"/>
      <c r="G687" s="25"/>
      <c r="K687" s="25">
        <f t="shared" si="2"/>
        <v>1</v>
      </c>
      <c r="L687" s="25" t="str">
        <f t="shared" si="8"/>
        <v>الأصل</v>
      </c>
      <c r="M687" s="25" t="str">
        <f t="shared" si="3"/>
        <v/>
      </c>
      <c r="N687" s="25" t="str">
        <f t="shared" si="4"/>
        <v/>
      </c>
      <c r="O687" s="25" t="str">
        <f t="shared" si="5"/>
        <v/>
      </c>
      <c r="P687" s="25">
        <f t="shared" si="6"/>
        <v>0</v>
      </c>
      <c r="S687" s="25" t="str">
        <f t="shared" si="7"/>
        <v/>
      </c>
    </row>
    <row r="688" ht="15.75" customHeight="1">
      <c r="A688" s="25" t="str">
        <f t="shared" si="1"/>
        <v>P687</v>
      </c>
      <c r="B688" s="25"/>
      <c r="G688" s="25"/>
      <c r="K688" s="25">
        <f t="shared" si="2"/>
        <v>1</v>
      </c>
      <c r="L688" s="25" t="str">
        <f t="shared" si="8"/>
        <v>الأصل</v>
      </c>
      <c r="M688" s="25" t="str">
        <f t="shared" si="3"/>
        <v/>
      </c>
      <c r="N688" s="25" t="str">
        <f t="shared" si="4"/>
        <v/>
      </c>
      <c r="O688" s="25" t="str">
        <f t="shared" si="5"/>
        <v/>
      </c>
      <c r="P688" s="25">
        <f t="shared" si="6"/>
        <v>0</v>
      </c>
      <c r="S688" s="25" t="str">
        <f t="shared" si="7"/>
        <v/>
      </c>
    </row>
    <row r="689" ht="15.75" customHeight="1">
      <c r="A689" s="25" t="str">
        <f t="shared" si="1"/>
        <v>P688</v>
      </c>
      <c r="B689" s="25"/>
      <c r="G689" s="25"/>
      <c r="K689" s="25">
        <f t="shared" si="2"/>
        <v>1</v>
      </c>
      <c r="L689" s="25" t="str">
        <f t="shared" si="8"/>
        <v>الأصل</v>
      </c>
      <c r="M689" s="25" t="str">
        <f t="shared" si="3"/>
        <v/>
      </c>
      <c r="N689" s="25" t="str">
        <f t="shared" si="4"/>
        <v/>
      </c>
      <c r="O689" s="25" t="str">
        <f t="shared" si="5"/>
        <v/>
      </c>
      <c r="P689" s="25">
        <f t="shared" si="6"/>
        <v>0</v>
      </c>
      <c r="S689" s="25" t="str">
        <f t="shared" si="7"/>
        <v/>
      </c>
    </row>
    <row r="690" ht="15.75" customHeight="1">
      <c r="A690" s="25" t="str">
        <f t="shared" si="1"/>
        <v>P689</v>
      </c>
      <c r="B690" s="25"/>
      <c r="G690" s="25"/>
      <c r="K690" s="25">
        <f t="shared" si="2"/>
        <v>1</v>
      </c>
      <c r="L690" s="25" t="str">
        <f t="shared" si="8"/>
        <v>الأصل</v>
      </c>
      <c r="M690" s="25" t="str">
        <f t="shared" si="3"/>
        <v/>
      </c>
      <c r="N690" s="25" t="str">
        <f t="shared" si="4"/>
        <v/>
      </c>
      <c r="O690" s="25" t="str">
        <f t="shared" si="5"/>
        <v/>
      </c>
      <c r="P690" s="25">
        <f t="shared" si="6"/>
        <v>0</v>
      </c>
      <c r="S690" s="25" t="str">
        <f t="shared" si="7"/>
        <v/>
      </c>
    </row>
    <row r="691" ht="15.75" customHeight="1">
      <c r="A691" s="25" t="str">
        <f t="shared" si="1"/>
        <v>P690</v>
      </c>
      <c r="B691" s="25"/>
      <c r="G691" s="25"/>
      <c r="K691" s="25">
        <f t="shared" si="2"/>
        <v>1</v>
      </c>
      <c r="L691" s="25" t="str">
        <f t="shared" si="8"/>
        <v>الأصل</v>
      </c>
      <c r="M691" s="25" t="str">
        <f t="shared" si="3"/>
        <v/>
      </c>
      <c r="N691" s="25" t="str">
        <f t="shared" si="4"/>
        <v/>
      </c>
      <c r="O691" s="25" t="str">
        <f t="shared" si="5"/>
        <v/>
      </c>
      <c r="P691" s="25">
        <f t="shared" si="6"/>
        <v>0</v>
      </c>
      <c r="S691" s="25" t="str">
        <f t="shared" si="7"/>
        <v/>
      </c>
    </row>
    <row r="692" ht="15.75" customHeight="1">
      <c r="A692" s="25" t="str">
        <f t="shared" si="1"/>
        <v>P691</v>
      </c>
      <c r="B692" s="25"/>
      <c r="G692" s="25"/>
      <c r="K692" s="25">
        <f t="shared" si="2"/>
        <v>1</v>
      </c>
      <c r="L692" s="25" t="str">
        <f t="shared" si="8"/>
        <v>الأصل</v>
      </c>
      <c r="M692" s="25" t="str">
        <f t="shared" si="3"/>
        <v/>
      </c>
      <c r="N692" s="25" t="str">
        <f t="shared" si="4"/>
        <v/>
      </c>
      <c r="O692" s="25" t="str">
        <f t="shared" si="5"/>
        <v/>
      </c>
      <c r="P692" s="25">
        <f t="shared" si="6"/>
        <v>0</v>
      </c>
      <c r="S692" s="25" t="str">
        <f t="shared" si="7"/>
        <v/>
      </c>
    </row>
    <row r="693" ht="15.75" customHeight="1">
      <c r="A693" s="25" t="str">
        <f t="shared" si="1"/>
        <v>P692</v>
      </c>
      <c r="B693" s="25"/>
      <c r="G693" s="25"/>
      <c r="K693" s="25">
        <f t="shared" si="2"/>
        <v>1</v>
      </c>
      <c r="L693" s="25" t="str">
        <f t="shared" si="8"/>
        <v>الأصل</v>
      </c>
      <c r="M693" s="25" t="str">
        <f t="shared" si="3"/>
        <v/>
      </c>
      <c r="N693" s="25" t="str">
        <f t="shared" si="4"/>
        <v/>
      </c>
      <c r="O693" s="25" t="str">
        <f t="shared" si="5"/>
        <v/>
      </c>
      <c r="P693" s="25">
        <f t="shared" si="6"/>
        <v>0</v>
      </c>
      <c r="S693" s="25" t="str">
        <f t="shared" si="7"/>
        <v/>
      </c>
    </row>
    <row r="694" ht="15.75" customHeight="1">
      <c r="A694" s="25" t="str">
        <f t="shared" si="1"/>
        <v>P693</v>
      </c>
      <c r="B694" s="25"/>
      <c r="G694" s="25"/>
      <c r="K694" s="25">
        <f t="shared" si="2"/>
        <v>1</v>
      </c>
      <c r="L694" s="25" t="str">
        <f t="shared" si="8"/>
        <v>الأصل</v>
      </c>
      <c r="M694" s="25" t="str">
        <f t="shared" si="3"/>
        <v/>
      </c>
      <c r="N694" s="25" t="str">
        <f t="shared" si="4"/>
        <v/>
      </c>
      <c r="O694" s="25" t="str">
        <f t="shared" si="5"/>
        <v/>
      </c>
      <c r="P694" s="25">
        <f t="shared" si="6"/>
        <v>0</v>
      </c>
      <c r="S694" s="25" t="str">
        <f t="shared" si="7"/>
        <v/>
      </c>
    </row>
    <row r="695" ht="15.75" customHeight="1">
      <c r="A695" s="25" t="str">
        <f t="shared" si="1"/>
        <v>P694</v>
      </c>
      <c r="B695" s="25"/>
      <c r="G695" s="25"/>
      <c r="K695" s="25">
        <f t="shared" si="2"/>
        <v>1</v>
      </c>
      <c r="L695" s="25" t="str">
        <f t="shared" si="8"/>
        <v>الأصل</v>
      </c>
      <c r="M695" s="25" t="str">
        <f t="shared" si="3"/>
        <v/>
      </c>
      <c r="N695" s="25" t="str">
        <f t="shared" si="4"/>
        <v/>
      </c>
      <c r="O695" s="25" t="str">
        <f t="shared" si="5"/>
        <v/>
      </c>
      <c r="P695" s="25">
        <f t="shared" si="6"/>
        <v>0</v>
      </c>
      <c r="S695" s="25" t="str">
        <f t="shared" si="7"/>
        <v/>
      </c>
    </row>
    <row r="696" ht="15.75" customHeight="1">
      <c r="A696" s="25" t="str">
        <f t="shared" si="1"/>
        <v>P695</v>
      </c>
      <c r="B696" s="25"/>
      <c r="G696" s="25"/>
      <c r="K696" s="25">
        <f t="shared" si="2"/>
        <v>1</v>
      </c>
      <c r="L696" s="25" t="str">
        <f t="shared" si="8"/>
        <v>الأصل</v>
      </c>
      <c r="M696" s="25" t="str">
        <f t="shared" si="3"/>
        <v/>
      </c>
      <c r="N696" s="25" t="str">
        <f t="shared" si="4"/>
        <v/>
      </c>
      <c r="O696" s="25" t="str">
        <f t="shared" si="5"/>
        <v/>
      </c>
      <c r="P696" s="25">
        <f t="shared" si="6"/>
        <v>0</v>
      </c>
      <c r="S696" s="25" t="str">
        <f t="shared" si="7"/>
        <v/>
      </c>
    </row>
    <row r="697" ht="15.75" customHeight="1">
      <c r="A697" s="25" t="str">
        <f t="shared" si="1"/>
        <v>P696</v>
      </c>
      <c r="B697" s="25"/>
      <c r="G697" s="25"/>
      <c r="K697" s="25">
        <f t="shared" si="2"/>
        <v>1</v>
      </c>
      <c r="L697" s="25" t="str">
        <f t="shared" si="8"/>
        <v>الأصل</v>
      </c>
      <c r="M697" s="25" t="str">
        <f t="shared" si="3"/>
        <v/>
      </c>
      <c r="N697" s="25" t="str">
        <f t="shared" si="4"/>
        <v/>
      </c>
      <c r="O697" s="25" t="str">
        <f t="shared" si="5"/>
        <v/>
      </c>
      <c r="P697" s="25">
        <f t="shared" si="6"/>
        <v>0</v>
      </c>
      <c r="S697" s="25" t="str">
        <f t="shared" si="7"/>
        <v/>
      </c>
    </row>
    <row r="698" ht="15.75" customHeight="1">
      <c r="A698" s="25" t="str">
        <f t="shared" si="1"/>
        <v>P697</v>
      </c>
      <c r="B698" s="25"/>
      <c r="G698" s="25"/>
      <c r="K698" s="25">
        <f t="shared" si="2"/>
        <v>1</v>
      </c>
      <c r="L698" s="25" t="str">
        <f t="shared" si="8"/>
        <v>الأصل</v>
      </c>
      <c r="M698" s="25" t="str">
        <f t="shared" si="3"/>
        <v/>
      </c>
      <c r="N698" s="25" t="str">
        <f t="shared" si="4"/>
        <v/>
      </c>
      <c r="O698" s="25" t="str">
        <f t="shared" si="5"/>
        <v/>
      </c>
      <c r="P698" s="25">
        <f t="shared" si="6"/>
        <v>0</v>
      </c>
      <c r="S698" s="25" t="str">
        <f t="shared" si="7"/>
        <v/>
      </c>
    </row>
    <row r="699" ht="15.75" customHeight="1">
      <c r="A699" s="25" t="str">
        <f t="shared" si="1"/>
        <v>P698</v>
      </c>
      <c r="B699" s="25"/>
      <c r="G699" s="25"/>
      <c r="K699" s="25">
        <f t="shared" si="2"/>
        <v>1</v>
      </c>
      <c r="L699" s="25" t="str">
        <f t="shared" si="8"/>
        <v>الأصل</v>
      </c>
      <c r="M699" s="25" t="str">
        <f t="shared" si="3"/>
        <v/>
      </c>
      <c r="N699" s="25" t="str">
        <f t="shared" si="4"/>
        <v/>
      </c>
      <c r="O699" s="25" t="str">
        <f t="shared" si="5"/>
        <v/>
      </c>
      <c r="P699" s="25">
        <f t="shared" si="6"/>
        <v>0</v>
      </c>
      <c r="S699" s="25" t="str">
        <f t="shared" si="7"/>
        <v/>
      </c>
    </row>
    <row r="700" ht="15.75" customHeight="1">
      <c r="A700" s="25" t="str">
        <f t="shared" si="1"/>
        <v>P699</v>
      </c>
      <c r="B700" s="25"/>
      <c r="G700" s="25"/>
      <c r="K700" s="25">
        <f t="shared" si="2"/>
        <v>1</v>
      </c>
      <c r="L700" s="25" t="str">
        <f t="shared" si="8"/>
        <v>الأصل</v>
      </c>
      <c r="M700" s="25" t="str">
        <f t="shared" si="3"/>
        <v/>
      </c>
      <c r="N700" s="25" t="str">
        <f t="shared" si="4"/>
        <v/>
      </c>
      <c r="O700" s="25" t="str">
        <f t="shared" si="5"/>
        <v/>
      </c>
      <c r="P700" s="25">
        <f t="shared" si="6"/>
        <v>0</v>
      </c>
      <c r="S700" s="25" t="str">
        <f t="shared" si="7"/>
        <v/>
      </c>
    </row>
    <row r="701" ht="15.75" customHeight="1">
      <c r="A701" s="25" t="str">
        <f t="shared" si="1"/>
        <v>P700</v>
      </c>
      <c r="B701" s="25"/>
      <c r="G701" s="25"/>
      <c r="K701" s="25">
        <f t="shared" si="2"/>
        <v>1</v>
      </c>
      <c r="L701" s="25" t="str">
        <f t="shared" si="8"/>
        <v>الأصل</v>
      </c>
      <c r="M701" s="25" t="str">
        <f t="shared" si="3"/>
        <v/>
      </c>
      <c r="N701" s="25" t="str">
        <f t="shared" si="4"/>
        <v/>
      </c>
      <c r="O701" s="25" t="str">
        <f t="shared" si="5"/>
        <v/>
      </c>
      <c r="P701" s="25">
        <f t="shared" si="6"/>
        <v>0</v>
      </c>
      <c r="S701" s="25" t="str">
        <f t="shared" si="7"/>
        <v/>
      </c>
    </row>
    <row r="702" ht="15.75" customHeight="1">
      <c r="A702" s="25" t="str">
        <f t="shared" si="1"/>
        <v>P701</v>
      </c>
      <c r="B702" s="25"/>
      <c r="G702" s="25"/>
      <c r="K702" s="25">
        <f t="shared" si="2"/>
        <v>1</v>
      </c>
      <c r="L702" s="25" t="str">
        <f t="shared" si="8"/>
        <v>الأصل</v>
      </c>
      <c r="M702" s="25" t="str">
        <f t="shared" si="3"/>
        <v/>
      </c>
      <c r="N702" s="25" t="str">
        <f t="shared" si="4"/>
        <v/>
      </c>
      <c r="O702" s="25" t="str">
        <f t="shared" si="5"/>
        <v/>
      </c>
      <c r="P702" s="25">
        <f t="shared" si="6"/>
        <v>0</v>
      </c>
      <c r="S702" s="25" t="str">
        <f t="shared" si="7"/>
        <v/>
      </c>
    </row>
    <row r="703" ht="15.75" customHeight="1">
      <c r="A703" s="25" t="str">
        <f t="shared" si="1"/>
        <v>P702</v>
      </c>
      <c r="B703" s="25"/>
      <c r="G703" s="25"/>
      <c r="K703" s="25">
        <f t="shared" si="2"/>
        <v>1</v>
      </c>
      <c r="L703" s="25" t="str">
        <f t="shared" si="8"/>
        <v>الأصل</v>
      </c>
      <c r="M703" s="25" t="str">
        <f t="shared" si="3"/>
        <v/>
      </c>
      <c r="N703" s="25" t="str">
        <f t="shared" si="4"/>
        <v/>
      </c>
      <c r="O703" s="25" t="str">
        <f t="shared" si="5"/>
        <v/>
      </c>
      <c r="P703" s="25">
        <f t="shared" si="6"/>
        <v>0</v>
      </c>
      <c r="S703" s="25" t="str">
        <f t="shared" si="7"/>
        <v/>
      </c>
    </row>
    <row r="704" ht="15.75" customHeight="1">
      <c r="A704" s="25" t="str">
        <f t="shared" si="1"/>
        <v>P703</v>
      </c>
      <c r="B704" s="25"/>
      <c r="G704" s="25"/>
      <c r="K704" s="25">
        <f t="shared" si="2"/>
        <v>1</v>
      </c>
      <c r="L704" s="25" t="str">
        <f t="shared" si="8"/>
        <v>الأصل</v>
      </c>
      <c r="M704" s="25" t="str">
        <f t="shared" si="3"/>
        <v/>
      </c>
      <c r="N704" s="25" t="str">
        <f t="shared" si="4"/>
        <v/>
      </c>
      <c r="O704" s="25" t="str">
        <f t="shared" si="5"/>
        <v/>
      </c>
      <c r="P704" s="25">
        <f t="shared" si="6"/>
        <v>0</v>
      </c>
      <c r="S704" s="25" t="str">
        <f t="shared" si="7"/>
        <v/>
      </c>
    </row>
    <row r="705" ht="15.75" customHeight="1">
      <c r="A705" s="25" t="str">
        <f t="shared" si="1"/>
        <v>P704</v>
      </c>
      <c r="B705" s="25"/>
      <c r="G705" s="25"/>
      <c r="K705" s="25">
        <f t="shared" si="2"/>
        <v>1</v>
      </c>
      <c r="L705" s="25" t="str">
        <f t="shared" si="8"/>
        <v>الأصل</v>
      </c>
      <c r="M705" s="25" t="str">
        <f t="shared" si="3"/>
        <v/>
      </c>
      <c r="N705" s="25" t="str">
        <f t="shared" si="4"/>
        <v/>
      </c>
      <c r="O705" s="25" t="str">
        <f t="shared" si="5"/>
        <v/>
      </c>
      <c r="P705" s="25">
        <f t="shared" si="6"/>
        <v>0</v>
      </c>
      <c r="S705" s="25" t="str">
        <f t="shared" si="7"/>
        <v/>
      </c>
    </row>
    <row r="706" ht="15.75" customHeight="1">
      <c r="A706" s="25" t="str">
        <f t="shared" si="1"/>
        <v>P705</v>
      </c>
      <c r="B706" s="25"/>
      <c r="G706" s="25"/>
      <c r="K706" s="25">
        <f t="shared" si="2"/>
        <v>1</v>
      </c>
      <c r="L706" s="25" t="str">
        <f t="shared" si="8"/>
        <v>الأصل</v>
      </c>
      <c r="M706" s="25" t="str">
        <f t="shared" si="3"/>
        <v/>
      </c>
      <c r="N706" s="25" t="str">
        <f t="shared" si="4"/>
        <v/>
      </c>
      <c r="O706" s="25" t="str">
        <f t="shared" si="5"/>
        <v/>
      </c>
      <c r="P706" s="25">
        <f t="shared" si="6"/>
        <v>0</v>
      </c>
      <c r="S706" s="25" t="str">
        <f t="shared" si="7"/>
        <v/>
      </c>
    </row>
    <row r="707" ht="15.75" customHeight="1">
      <c r="A707" s="25" t="str">
        <f t="shared" si="1"/>
        <v>P706</v>
      </c>
      <c r="B707" s="25"/>
      <c r="G707" s="25"/>
      <c r="K707" s="25">
        <f t="shared" si="2"/>
        <v>1</v>
      </c>
      <c r="L707" s="25" t="str">
        <f t="shared" si="8"/>
        <v>الأصل</v>
      </c>
      <c r="M707" s="25" t="str">
        <f t="shared" si="3"/>
        <v/>
      </c>
      <c r="N707" s="25" t="str">
        <f t="shared" si="4"/>
        <v/>
      </c>
      <c r="O707" s="25" t="str">
        <f t="shared" si="5"/>
        <v/>
      </c>
      <c r="P707" s="25">
        <f t="shared" si="6"/>
        <v>0</v>
      </c>
      <c r="S707" s="25" t="str">
        <f t="shared" si="7"/>
        <v/>
      </c>
    </row>
    <row r="708" ht="15.75" customHeight="1">
      <c r="A708" s="25" t="str">
        <f t="shared" si="1"/>
        <v>P707</v>
      </c>
      <c r="B708" s="25"/>
      <c r="G708" s="25"/>
      <c r="K708" s="25">
        <f t="shared" si="2"/>
        <v>1</v>
      </c>
      <c r="L708" s="25" t="str">
        <f t="shared" si="8"/>
        <v>الأصل</v>
      </c>
      <c r="M708" s="25" t="str">
        <f t="shared" si="3"/>
        <v/>
      </c>
      <c r="N708" s="25" t="str">
        <f t="shared" si="4"/>
        <v/>
      </c>
      <c r="O708" s="25" t="str">
        <f t="shared" si="5"/>
        <v/>
      </c>
      <c r="P708" s="25">
        <f t="shared" si="6"/>
        <v>0</v>
      </c>
      <c r="S708" s="25" t="str">
        <f t="shared" si="7"/>
        <v/>
      </c>
    </row>
    <row r="709" ht="15.75" customHeight="1">
      <c r="A709" s="25" t="str">
        <f t="shared" si="1"/>
        <v>P708</v>
      </c>
      <c r="B709" s="25"/>
      <c r="G709" s="25"/>
      <c r="K709" s="25">
        <f t="shared" si="2"/>
        <v>1</v>
      </c>
      <c r="L709" s="25" t="str">
        <f t="shared" si="8"/>
        <v>الأصل</v>
      </c>
      <c r="M709" s="25" t="str">
        <f t="shared" si="3"/>
        <v/>
      </c>
      <c r="N709" s="25" t="str">
        <f t="shared" si="4"/>
        <v/>
      </c>
      <c r="O709" s="25" t="str">
        <f t="shared" si="5"/>
        <v/>
      </c>
      <c r="P709" s="25">
        <f t="shared" si="6"/>
        <v>0</v>
      </c>
      <c r="S709" s="25" t="str">
        <f t="shared" si="7"/>
        <v/>
      </c>
    </row>
    <row r="710" ht="15.75" customHeight="1">
      <c r="A710" s="25" t="str">
        <f t="shared" si="1"/>
        <v>P709</v>
      </c>
      <c r="B710" s="25"/>
      <c r="G710" s="25"/>
      <c r="K710" s="25">
        <f t="shared" si="2"/>
        <v>1</v>
      </c>
      <c r="L710" s="25" t="str">
        <f t="shared" si="8"/>
        <v>الأصل</v>
      </c>
      <c r="M710" s="25" t="str">
        <f t="shared" si="3"/>
        <v/>
      </c>
      <c r="N710" s="25" t="str">
        <f t="shared" si="4"/>
        <v/>
      </c>
      <c r="O710" s="25" t="str">
        <f t="shared" si="5"/>
        <v/>
      </c>
      <c r="P710" s="25">
        <f t="shared" si="6"/>
        <v>0</v>
      </c>
      <c r="S710" s="25" t="str">
        <f t="shared" si="7"/>
        <v/>
      </c>
    </row>
    <row r="711" ht="15.75" customHeight="1">
      <c r="A711" s="25" t="str">
        <f t="shared" si="1"/>
        <v>P710</v>
      </c>
      <c r="B711" s="25"/>
      <c r="G711" s="25"/>
      <c r="K711" s="25">
        <f t="shared" si="2"/>
        <v>1</v>
      </c>
      <c r="L711" s="25" t="str">
        <f t="shared" si="8"/>
        <v>الأصل</v>
      </c>
      <c r="M711" s="25" t="str">
        <f t="shared" si="3"/>
        <v/>
      </c>
      <c r="N711" s="25" t="str">
        <f t="shared" si="4"/>
        <v/>
      </c>
      <c r="O711" s="25" t="str">
        <f t="shared" si="5"/>
        <v/>
      </c>
      <c r="P711" s="25">
        <f t="shared" si="6"/>
        <v>0</v>
      </c>
      <c r="S711" s="25" t="str">
        <f t="shared" si="7"/>
        <v/>
      </c>
    </row>
    <row r="712" ht="15.75" customHeight="1">
      <c r="A712" s="25" t="str">
        <f t="shared" si="1"/>
        <v>P711</v>
      </c>
      <c r="B712" s="25"/>
      <c r="G712" s="25"/>
      <c r="K712" s="25">
        <f t="shared" si="2"/>
        <v>1</v>
      </c>
      <c r="L712" s="25" t="str">
        <f t="shared" si="8"/>
        <v>الأصل</v>
      </c>
      <c r="M712" s="25" t="str">
        <f t="shared" si="3"/>
        <v/>
      </c>
      <c r="N712" s="25" t="str">
        <f t="shared" si="4"/>
        <v/>
      </c>
      <c r="O712" s="25" t="str">
        <f t="shared" si="5"/>
        <v/>
      </c>
      <c r="P712" s="25">
        <f t="shared" si="6"/>
        <v>0</v>
      </c>
      <c r="S712" s="25" t="str">
        <f t="shared" si="7"/>
        <v/>
      </c>
    </row>
    <row r="713" ht="15.75" customHeight="1">
      <c r="A713" s="25" t="str">
        <f t="shared" si="1"/>
        <v>P712</v>
      </c>
      <c r="B713" s="25"/>
      <c r="G713" s="25"/>
      <c r="K713" s="25">
        <f t="shared" si="2"/>
        <v>1</v>
      </c>
      <c r="L713" s="25" t="str">
        <f t="shared" si="8"/>
        <v>الأصل</v>
      </c>
      <c r="M713" s="25" t="str">
        <f t="shared" si="3"/>
        <v/>
      </c>
      <c r="N713" s="25" t="str">
        <f t="shared" si="4"/>
        <v/>
      </c>
      <c r="O713" s="25" t="str">
        <f t="shared" si="5"/>
        <v/>
      </c>
      <c r="P713" s="25">
        <f t="shared" si="6"/>
        <v>0</v>
      </c>
      <c r="S713" s="25" t="str">
        <f t="shared" si="7"/>
        <v/>
      </c>
    </row>
    <row r="714" ht="15.75" customHeight="1">
      <c r="A714" s="25" t="str">
        <f t="shared" si="1"/>
        <v>P713</v>
      </c>
      <c r="B714" s="25"/>
      <c r="G714" s="25"/>
      <c r="K714" s="25">
        <f t="shared" si="2"/>
        <v>1</v>
      </c>
      <c r="L714" s="25" t="str">
        <f t="shared" si="8"/>
        <v>الأصل</v>
      </c>
      <c r="M714" s="25" t="str">
        <f t="shared" si="3"/>
        <v/>
      </c>
      <c r="N714" s="25" t="str">
        <f t="shared" si="4"/>
        <v/>
      </c>
      <c r="O714" s="25" t="str">
        <f t="shared" si="5"/>
        <v/>
      </c>
      <c r="P714" s="25">
        <f t="shared" si="6"/>
        <v>0</v>
      </c>
      <c r="S714" s="25" t="str">
        <f t="shared" si="7"/>
        <v/>
      </c>
    </row>
    <row r="715" ht="15.75" customHeight="1">
      <c r="A715" s="25" t="str">
        <f t="shared" si="1"/>
        <v>P714</v>
      </c>
      <c r="B715" s="25"/>
      <c r="G715" s="25"/>
      <c r="K715" s="25">
        <f t="shared" si="2"/>
        <v>1</v>
      </c>
      <c r="L715" s="25" t="str">
        <f t="shared" si="8"/>
        <v>الأصل</v>
      </c>
      <c r="M715" s="25" t="str">
        <f t="shared" si="3"/>
        <v/>
      </c>
      <c r="N715" s="25" t="str">
        <f t="shared" si="4"/>
        <v/>
      </c>
      <c r="O715" s="25" t="str">
        <f t="shared" si="5"/>
        <v/>
      </c>
      <c r="P715" s="25">
        <f t="shared" si="6"/>
        <v>0</v>
      </c>
      <c r="S715" s="25" t="str">
        <f t="shared" si="7"/>
        <v/>
      </c>
    </row>
    <row r="716" ht="15.75" customHeight="1">
      <c r="A716" s="25" t="str">
        <f t="shared" si="1"/>
        <v>P715</v>
      </c>
      <c r="B716" s="25"/>
      <c r="G716" s="25"/>
      <c r="K716" s="25">
        <f t="shared" si="2"/>
        <v>1</v>
      </c>
      <c r="L716" s="25" t="str">
        <f t="shared" si="8"/>
        <v>الأصل</v>
      </c>
      <c r="M716" s="25" t="str">
        <f t="shared" si="3"/>
        <v/>
      </c>
      <c r="N716" s="25" t="str">
        <f t="shared" si="4"/>
        <v/>
      </c>
      <c r="O716" s="25" t="str">
        <f t="shared" si="5"/>
        <v/>
      </c>
      <c r="P716" s="25">
        <f t="shared" si="6"/>
        <v>0</v>
      </c>
      <c r="S716" s="25" t="str">
        <f t="shared" si="7"/>
        <v/>
      </c>
    </row>
    <row r="717" ht="15.75" customHeight="1">
      <c r="A717" s="25" t="str">
        <f t="shared" si="1"/>
        <v>P716</v>
      </c>
      <c r="B717" s="25"/>
      <c r="G717" s="25"/>
      <c r="K717" s="25">
        <f t="shared" si="2"/>
        <v>1</v>
      </c>
      <c r="L717" s="25" t="str">
        <f t="shared" si="8"/>
        <v>الأصل</v>
      </c>
      <c r="M717" s="25" t="str">
        <f t="shared" si="3"/>
        <v/>
      </c>
      <c r="N717" s="25" t="str">
        <f t="shared" si="4"/>
        <v/>
      </c>
      <c r="O717" s="25" t="str">
        <f t="shared" si="5"/>
        <v/>
      </c>
      <c r="P717" s="25">
        <f t="shared" si="6"/>
        <v>0</v>
      </c>
      <c r="S717" s="25" t="str">
        <f t="shared" si="7"/>
        <v/>
      </c>
    </row>
    <row r="718" ht="15.75" customHeight="1">
      <c r="A718" s="25" t="str">
        <f t="shared" si="1"/>
        <v>P717</v>
      </c>
      <c r="B718" s="25"/>
      <c r="G718" s="25"/>
      <c r="K718" s="25">
        <f t="shared" si="2"/>
        <v>1</v>
      </c>
      <c r="L718" s="25" t="str">
        <f t="shared" si="8"/>
        <v>الأصل</v>
      </c>
      <c r="M718" s="25" t="str">
        <f t="shared" si="3"/>
        <v/>
      </c>
      <c r="N718" s="25" t="str">
        <f t="shared" si="4"/>
        <v/>
      </c>
      <c r="O718" s="25" t="str">
        <f t="shared" si="5"/>
        <v/>
      </c>
      <c r="P718" s="25">
        <f t="shared" si="6"/>
        <v>0</v>
      </c>
      <c r="S718" s="25" t="str">
        <f t="shared" si="7"/>
        <v/>
      </c>
    </row>
    <row r="719" ht="15.75" customHeight="1">
      <c r="A719" s="25" t="str">
        <f t="shared" si="1"/>
        <v>P718</v>
      </c>
      <c r="B719" s="25"/>
      <c r="G719" s="25"/>
      <c r="K719" s="25">
        <f t="shared" si="2"/>
        <v>1</v>
      </c>
      <c r="L719" s="25" t="str">
        <f t="shared" si="8"/>
        <v>الأصل</v>
      </c>
      <c r="M719" s="25" t="str">
        <f t="shared" si="3"/>
        <v/>
      </c>
      <c r="N719" s="25" t="str">
        <f t="shared" si="4"/>
        <v/>
      </c>
      <c r="O719" s="25" t="str">
        <f t="shared" si="5"/>
        <v/>
      </c>
      <c r="P719" s="25">
        <f t="shared" si="6"/>
        <v>0</v>
      </c>
      <c r="S719" s="25" t="str">
        <f t="shared" si="7"/>
        <v/>
      </c>
    </row>
    <row r="720" ht="15.75" customHeight="1">
      <c r="A720" s="25" t="str">
        <f t="shared" si="1"/>
        <v>P719</v>
      </c>
      <c r="B720" s="25"/>
      <c r="G720" s="25"/>
      <c r="K720" s="25">
        <f t="shared" si="2"/>
        <v>1</v>
      </c>
      <c r="L720" s="25" t="str">
        <f t="shared" si="8"/>
        <v>الأصل</v>
      </c>
      <c r="M720" s="25" t="str">
        <f t="shared" si="3"/>
        <v/>
      </c>
      <c r="N720" s="25" t="str">
        <f t="shared" si="4"/>
        <v/>
      </c>
      <c r="O720" s="25" t="str">
        <f t="shared" si="5"/>
        <v/>
      </c>
      <c r="P720" s="25">
        <f t="shared" si="6"/>
        <v>0</v>
      </c>
      <c r="S720" s="25" t="str">
        <f t="shared" si="7"/>
        <v/>
      </c>
    </row>
    <row r="721" ht="15.75" customHeight="1">
      <c r="A721" s="25" t="str">
        <f t="shared" si="1"/>
        <v>P720</v>
      </c>
      <c r="B721" s="25"/>
      <c r="G721" s="25"/>
      <c r="K721" s="25">
        <f t="shared" si="2"/>
        <v>1</v>
      </c>
      <c r="L721" s="25" t="str">
        <f t="shared" si="8"/>
        <v>الأصل</v>
      </c>
      <c r="M721" s="25" t="str">
        <f t="shared" si="3"/>
        <v/>
      </c>
      <c r="N721" s="25" t="str">
        <f t="shared" si="4"/>
        <v/>
      </c>
      <c r="O721" s="25" t="str">
        <f t="shared" si="5"/>
        <v/>
      </c>
      <c r="P721" s="25">
        <f t="shared" si="6"/>
        <v>0</v>
      </c>
      <c r="S721" s="25" t="str">
        <f t="shared" si="7"/>
        <v/>
      </c>
    </row>
    <row r="722" ht="15.75" customHeight="1">
      <c r="A722" s="25" t="str">
        <f t="shared" si="1"/>
        <v>P721</v>
      </c>
      <c r="B722" s="25"/>
      <c r="G722" s="25"/>
      <c r="K722" s="25">
        <f t="shared" si="2"/>
        <v>1</v>
      </c>
      <c r="L722" s="25" t="str">
        <f t="shared" si="8"/>
        <v>الأصل</v>
      </c>
      <c r="M722" s="25" t="str">
        <f t="shared" si="3"/>
        <v/>
      </c>
      <c r="N722" s="25" t="str">
        <f t="shared" si="4"/>
        <v/>
      </c>
      <c r="O722" s="25" t="str">
        <f t="shared" si="5"/>
        <v/>
      </c>
      <c r="P722" s="25">
        <f t="shared" si="6"/>
        <v>0</v>
      </c>
      <c r="S722" s="25" t="str">
        <f t="shared" si="7"/>
        <v/>
      </c>
    </row>
    <row r="723" ht="15.75" customHeight="1">
      <c r="A723" s="25" t="str">
        <f t="shared" si="1"/>
        <v>P722</v>
      </c>
      <c r="B723" s="25"/>
      <c r="G723" s="25"/>
      <c r="K723" s="25">
        <f t="shared" si="2"/>
        <v>1</v>
      </c>
      <c r="L723" s="25" t="str">
        <f t="shared" si="8"/>
        <v>الأصل</v>
      </c>
      <c r="M723" s="25" t="str">
        <f t="shared" si="3"/>
        <v/>
      </c>
      <c r="N723" s="25" t="str">
        <f t="shared" si="4"/>
        <v/>
      </c>
      <c r="O723" s="25" t="str">
        <f t="shared" si="5"/>
        <v/>
      </c>
      <c r="P723" s="25">
        <f t="shared" si="6"/>
        <v>0</v>
      </c>
      <c r="S723" s="25" t="str">
        <f t="shared" si="7"/>
        <v/>
      </c>
    </row>
    <row r="724" ht="15.75" customHeight="1">
      <c r="A724" s="25" t="str">
        <f t="shared" si="1"/>
        <v>P723</v>
      </c>
      <c r="B724" s="25"/>
      <c r="G724" s="25"/>
      <c r="K724" s="25">
        <f t="shared" si="2"/>
        <v>1</v>
      </c>
      <c r="L724" s="25" t="str">
        <f t="shared" si="8"/>
        <v>الأصل</v>
      </c>
      <c r="M724" s="25" t="str">
        <f t="shared" si="3"/>
        <v/>
      </c>
      <c r="N724" s="25" t="str">
        <f t="shared" si="4"/>
        <v/>
      </c>
      <c r="O724" s="25" t="str">
        <f t="shared" si="5"/>
        <v/>
      </c>
      <c r="P724" s="25">
        <f t="shared" si="6"/>
        <v>0</v>
      </c>
      <c r="S724" s="25" t="str">
        <f t="shared" si="7"/>
        <v/>
      </c>
    </row>
    <row r="725" ht="15.75" customHeight="1">
      <c r="A725" s="25" t="str">
        <f t="shared" si="1"/>
        <v>P724</v>
      </c>
      <c r="B725" s="25"/>
      <c r="G725" s="25"/>
      <c r="K725" s="25">
        <f t="shared" si="2"/>
        <v>1</v>
      </c>
      <c r="L725" s="25" t="str">
        <f t="shared" si="8"/>
        <v>الأصل</v>
      </c>
      <c r="M725" s="25" t="str">
        <f t="shared" si="3"/>
        <v/>
      </c>
      <c r="N725" s="25" t="str">
        <f t="shared" si="4"/>
        <v/>
      </c>
      <c r="O725" s="25" t="str">
        <f t="shared" si="5"/>
        <v/>
      </c>
      <c r="P725" s="25">
        <f t="shared" si="6"/>
        <v>0</v>
      </c>
      <c r="S725" s="25" t="str">
        <f t="shared" si="7"/>
        <v/>
      </c>
    </row>
    <row r="726" ht="15.75" customHeight="1">
      <c r="A726" s="25" t="str">
        <f t="shared" si="1"/>
        <v>P725</v>
      </c>
      <c r="B726" s="25"/>
      <c r="G726" s="25"/>
      <c r="K726" s="25">
        <f t="shared" si="2"/>
        <v>1</v>
      </c>
      <c r="L726" s="25" t="str">
        <f t="shared" si="8"/>
        <v>الأصل</v>
      </c>
      <c r="M726" s="25" t="str">
        <f t="shared" si="3"/>
        <v/>
      </c>
      <c r="N726" s="25" t="str">
        <f t="shared" si="4"/>
        <v/>
      </c>
      <c r="O726" s="25" t="str">
        <f t="shared" si="5"/>
        <v/>
      </c>
      <c r="P726" s="25">
        <f t="shared" si="6"/>
        <v>0</v>
      </c>
      <c r="S726" s="25" t="str">
        <f t="shared" si="7"/>
        <v/>
      </c>
    </row>
    <row r="727" ht="15.75" customHeight="1">
      <c r="A727" s="25" t="str">
        <f t="shared" si="1"/>
        <v>P726</v>
      </c>
      <c r="B727" s="25"/>
      <c r="G727" s="25"/>
      <c r="K727" s="25">
        <f t="shared" si="2"/>
        <v>1</v>
      </c>
      <c r="L727" s="25" t="str">
        <f t="shared" si="8"/>
        <v>الأصل</v>
      </c>
      <c r="M727" s="25" t="str">
        <f t="shared" si="3"/>
        <v/>
      </c>
      <c r="N727" s="25" t="str">
        <f t="shared" si="4"/>
        <v/>
      </c>
      <c r="O727" s="25" t="str">
        <f t="shared" si="5"/>
        <v/>
      </c>
      <c r="P727" s="25">
        <f t="shared" si="6"/>
        <v>0</v>
      </c>
      <c r="S727" s="25" t="str">
        <f t="shared" si="7"/>
        <v/>
      </c>
    </row>
    <row r="728" ht="15.75" customHeight="1">
      <c r="A728" s="25" t="str">
        <f t="shared" si="1"/>
        <v>P727</v>
      </c>
      <c r="B728" s="25"/>
      <c r="G728" s="25"/>
      <c r="K728" s="25">
        <f t="shared" si="2"/>
        <v>1</v>
      </c>
      <c r="L728" s="25" t="str">
        <f t="shared" si="8"/>
        <v>الأصل</v>
      </c>
      <c r="M728" s="25" t="str">
        <f t="shared" si="3"/>
        <v/>
      </c>
      <c r="N728" s="25" t="str">
        <f t="shared" si="4"/>
        <v/>
      </c>
      <c r="O728" s="25" t="str">
        <f t="shared" si="5"/>
        <v/>
      </c>
      <c r="P728" s="25">
        <f t="shared" si="6"/>
        <v>0</v>
      </c>
      <c r="S728" s="25" t="str">
        <f t="shared" si="7"/>
        <v/>
      </c>
    </row>
    <row r="729" ht="15.75" customHeight="1">
      <c r="A729" s="25" t="str">
        <f t="shared" si="1"/>
        <v>P728</v>
      </c>
      <c r="B729" s="25"/>
      <c r="G729" s="25"/>
      <c r="K729" s="25">
        <f t="shared" si="2"/>
        <v>1</v>
      </c>
      <c r="L729" s="25" t="str">
        <f t="shared" si="8"/>
        <v>الأصل</v>
      </c>
      <c r="M729" s="25" t="str">
        <f t="shared" si="3"/>
        <v/>
      </c>
      <c r="N729" s="25" t="str">
        <f t="shared" si="4"/>
        <v/>
      </c>
      <c r="O729" s="25" t="str">
        <f t="shared" si="5"/>
        <v/>
      </c>
      <c r="P729" s="25">
        <f t="shared" si="6"/>
        <v>0</v>
      </c>
      <c r="S729" s="25" t="str">
        <f t="shared" si="7"/>
        <v/>
      </c>
    </row>
    <row r="730" ht="15.75" customHeight="1">
      <c r="A730" s="25" t="str">
        <f t="shared" si="1"/>
        <v>P729</v>
      </c>
      <c r="B730" s="25"/>
      <c r="G730" s="25"/>
      <c r="K730" s="25">
        <f t="shared" si="2"/>
        <v>1</v>
      </c>
      <c r="L730" s="25" t="str">
        <f t="shared" si="8"/>
        <v>الأصل</v>
      </c>
      <c r="M730" s="25" t="str">
        <f t="shared" si="3"/>
        <v/>
      </c>
      <c r="N730" s="25" t="str">
        <f t="shared" si="4"/>
        <v/>
      </c>
      <c r="O730" s="25" t="str">
        <f t="shared" si="5"/>
        <v/>
      </c>
      <c r="P730" s="25">
        <f t="shared" si="6"/>
        <v>0</v>
      </c>
      <c r="S730" s="25" t="str">
        <f t="shared" si="7"/>
        <v/>
      </c>
    </row>
    <row r="731" ht="15.75" customHeight="1">
      <c r="A731" s="25" t="str">
        <f t="shared" si="1"/>
        <v>P730</v>
      </c>
      <c r="B731" s="25"/>
      <c r="G731" s="25"/>
      <c r="K731" s="25">
        <f t="shared" si="2"/>
        <v>1</v>
      </c>
      <c r="L731" s="25" t="str">
        <f t="shared" si="8"/>
        <v>الأصل</v>
      </c>
      <c r="M731" s="25" t="str">
        <f t="shared" si="3"/>
        <v/>
      </c>
      <c r="N731" s="25" t="str">
        <f t="shared" si="4"/>
        <v/>
      </c>
      <c r="O731" s="25" t="str">
        <f t="shared" si="5"/>
        <v/>
      </c>
      <c r="P731" s="25">
        <f t="shared" si="6"/>
        <v>0</v>
      </c>
      <c r="S731" s="25" t="str">
        <f t="shared" si="7"/>
        <v/>
      </c>
    </row>
    <row r="732" ht="15.75" customHeight="1">
      <c r="A732" s="25" t="str">
        <f t="shared" si="1"/>
        <v>P731</v>
      </c>
      <c r="B732" s="25"/>
      <c r="G732" s="25"/>
      <c r="K732" s="25">
        <f t="shared" si="2"/>
        <v>1</v>
      </c>
      <c r="L732" s="25" t="str">
        <f t="shared" si="8"/>
        <v>الأصل</v>
      </c>
      <c r="M732" s="25" t="str">
        <f t="shared" si="3"/>
        <v/>
      </c>
      <c r="N732" s="25" t="str">
        <f t="shared" si="4"/>
        <v/>
      </c>
      <c r="O732" s="25" t="str">
        <f t="shared" si="5"/>
        <v/>
      </c>
      <c r="P732" s="25">
        <f t="shared" si="6"/>
        <v>0</v>
      </c>
      <c r="S732" s="25" t="str">
        <f t="shared" si="7"/>
        <v/>
      </c>
    </row>
    <row r="733" ht="15.75" customHeight="1">
      <c r="A733" s="25" t="str">
        <f t="shared" si="1"/>
        <v>P732</v>
      </c>
      <c r="B733" s="25"/>
      <c r="G733" s="25"/>
      <c r="K733" s="25">
        <f t="shared" si="2"/>
        <v>1</v>
      </c>
      <c r="L733" s="25" t="str">
        <f t="shared" si="8"/>
        <v>الأصل</v>
      </c>
      <c r="M733" s="25" t="str">
        <f t="shared" si="3"/>
        <v/>
      </c>
      <c r="N733" s="25" t="str">
        <f t="shared" si="4"/>
        <v/>
      </c>
      <c r="O733" s="25" t="str">
        <f t="shared" si="5"/>
        <v/>
      </c>
      <c r="P733" s="25">
        <f t="shared" si="6"/>
        <v>0</v>
      </c>
      <c r="S733" s="25" t="str">
        <f t="shared" si="7"/>
        <v/>
      </c>
    </row>
    <row r="734" ht="15.75" customHeight="1">
      <c r="A734" s="25" t="str">
        <f t="shared" si="1"/>
        <v>P733</v>
      </c>
      <c r="B734" s="25"/>
      <c r="G734" s="25"/>
      <c r="K734" s="25">
        <f t="shared" si="2"/>
        <v>1</v>
      </c>
      <c r="L734" s="25" t="str">
        <f t="shared" si="8"/>
        <v>الأصل</v>
      </c>
      <c r="M734" s="25" t="str">
        <f t="shared" si="3"/>
        <v/>
      </c>
      <c r="N734" s="25" t="str">
        <f t="shared" si="4"/>
        <v/>
      </c>
      <c r="O734" s="25" t="str">
        <f t="shared" si="5"/>
        <v/>
      </c>
      <c r="P734" s="25">
        <f t="shared" si="6"/>
        <v>0</v>
      </c>
      <c r="S734" s="25" t="str">
        <f t="shared" si="7"/>
        <v/>
      </c>
    </row>
    <row r="735" ht="15.75" customHeight="1">
      <c r="A735" s="25" t="str">
        <f t="shared" si="1"/>
        <v>P734</v>
      </c>
      <c r="B735" s="25"/>
      <c r="G735" s="25"/>
      <c r="K735" s="25">
        <f t="shared" si="2"/>
        <v>1</v>
      </c>
      <c r="L735" s="25" t="str">
        <f t="shared" si="8"/>
        <v>الأصل</v>
      </c>
      <c r="M735" s="25" t="str">
        <f t="shared" si="3"/>
        <v/>
      </c>
      <c r="N735" s="25" t="str">
        <f t="shared" si="4"/>
        <v/>
      </c>
      <c r="O735" s="25" t="str">
        <f t="shared" si="5"/>
        <v/>
      </c>
      <c r="P735" s="25">
        <f t="shared" si="6"/>
        <v>0</v>
      </c>
      <c r="S735" s="25" t="str">
        <f t="shared" si="7"/>
        <v/>
      </c>
    </row>
    <row r="736" ht="15.75" customHeight="1">
      <c r="A736" s="25" t="str">
        <f t="shared" si="1"/>
        <v>P735</v>
      </c>
      <c r="B736" s="25"/>
      <c r="G736" s="25"/>
      <c r="K736" s="25">
        <f t="shared" si="2"/>
        <v>1</v>
      </c>
      <c r="L736" s="25" t="str">
        <f t="shared" si="8"/>
        <v>الأصل</v>
      </c>
      <c r="M736" s="25" t="str">
        <f t="shared" si="3"/>
        <v/>
      </c>
      <c r="N736" s="25" t="str">
        <f t="shared" si="4"/>
        <v/>
      </c>
      <c r="O736" s="25" t="str">
        <f t="shared" si="5"/>
        <v/>
      </c>
      <c r="P736" s="25">
        <f t="shared" si="6"/>
        <v>0</v>
      </c>
      <c r="S736" s="25" t="str">
        <f t="shared" si="7"/>
        <v/>
      </c>
    </row>
    <row r="737" ht="15.75" customHeight="1">
      <c r="A737" s="25" t="str">
        <f t="shared" si="1"/>
        <v>P736</v>
      </c>
      <c r="B737" s="25"/>
      <c r="G737" s="25"/>
      <c r="K737" s="25">
        <f t="shared" si="2"/>
        <v>1</v>
      </c>
      <c r="L737" s="25" t="str">
        <f t="shared" si="8"/>
        <v>الأصل</v>
      </c>
      <c r="M737" s="25" t="str">
        <f t="shared" si="3"/>
        <v/>
      </c>
      <c r="N737" s="25" t="str">
        <f t="shared" si="4"/>
        <v/>
      </c>
      <c r="O737" s="25" t="str">
        <f t="shared" si="5"/>
        <v/>
      </c>
      <c r="P737" s="25">
        <f t="shared" si="6"/>
        <v>0</v>
      </c>
      <c r="S737" s="25" t="str">
        <f t="shared" si="7"/>
        <v/>
      </c>
    </row>
    <row r="738" ht="15.75" customHeight="1">
      <c r="A738" s="25" t="str">
        <f t="shared" si="1"/>
        <v>P737</v>
      </c>
      <c r="B738" s="25"/>
      <c r="G738" s="25"/>
      <c r="K738" s="25">
        <f t="shared" si="2"/>
        <v>1</v>
      </c>
      <c r="L738" s="25" t="str">
        <f t="shared" si="8"/>
        <v>الأصل</v>
      </c>
      <c r="M738" s="25" t="str">
        <f t="shared" si="3"/>
        <v/>
      </c>
      <c r="N738" s="25" t="str">
        <f t="shared" si="4"/>
        <v/>
      </c>
      <c r="O738" s="25" t="str">
        <f t="shared" si="5"/>
        <v/>
      </c>
      <c r="P738" s="25">
        <f t="shared" si="6"/>
        <v>0</v>
      </c>
      <c r="S738" s="25" t="str">
        <f t="shared" si="7"/>
        <v/>
      </c>
    </row>
    <row r="739" ht="15.75" customHeight="1">
      <c r="A739" s="25" t="str">
        <f t="shared" si="1"/>
        <v>P738</v>
      </c>
      <c r="B739" s="25"/>
      <c r="G739" s="25"/>
      <c r="K739" s="25">
        <f t="shared" si="2"/>
        <v>1</v>
      </c>
      <c r="L739" s="25" t="str">
        <f t="shared" si="8"/>
        <v>الأصل</v>
      </c>
      <c r="M739" s="25" t="str">
        <f t="shared" si="3"/>
        <v/>
      </c>
      <c r="N739" s="25" t="str">
        <f t="shared" si="4"/>
        <v/>
      </c>
      <c r="O739" s="25" t="str">
        <f t="shared" si="5"/>
        <v/>
      </c>
      <c r="P739" s="25">
        <f t="shared" si="6"/>
        <v>0</v>
      </c>
      <c r="S739" s="25" t="str">
        <f t="shared" si="7"/>
        <v/>
      </c>
    </row>
    <row r="740" ht="15.75" customHeight="1">
      <c r="A740" s="25" t="str">
        <f t="shared" si="1"/>
        <v>P739</v>
      </c>
      <c r="B740" s="25"/>
      <c r="G740" s="25"/>
      <c r="K740" s="25">
        <f t="shared" si="2"/>
        <v>1</v>
      </c>
      <c r="L740" s="25" t="str">
        <f t="shared" si="8"/>
        <v>الأصل</v>
      </c>
      <c r="M740" s="25" t="str">
        <f t="shared" si="3"/>
        <v/>
      </c>
      <c r="N740" s="25" t="str">
        <f t="shared" si="4"/>
        <v/>
      </c>
      <c r="O740" s="25" t="str">
        <f t="shared" si="5"/>
        <v/>
      </c>
      <c r="P740" s="25">
        <f t="shared" si="6"/>
        <v>0</v>
      </c>
      <c r="S740" s="25" t="str">
        <f t="shared" si="7"/>
        <v/>
      </c>
    </row>
    <row r="741" ht="15.75" customHeight="1">
      <c r="A741" s="25" t="str">
        <f t="shared" si="1"/>
        <v>P740</v>
      </c>
      <c r="B741" s="25"/>
      <c r="G741" s="25"/>
      <c r="K741" s="25">
        <f t="shared" si="2"/>
        <v>1</v>
      </c>
      <c r="L741" s="25" t="str">
        <f t="shared" si="8"/>
        <v>الأصل</v>
      </c>
      <c r="M741" s="25" t="str">
        <f t="shared" si="3"/>
        <v/>
      </c>
      <c r="N741" s="25" t="str">
        <f t="shared" si="4"/>
        <v/>
      </c>
      <c r="O741" s="25" t="str">
        <f t="shared" si="5"/>
        <v/>
      </c>
      <c r="P741" s="25">
        <f t="shared" si="6"/>
        <v>0</v>
      </c>
      <c r="S741" s="25" t="str">
        <f t="shared" si="7"/>
        <v/>
      </c>
    </row>
    <row r="742" ht="15.75" customHeight="1">
      <c r="A742" s="25" t="str">
        <f t="shared" si="1"/>
        <v>P741</v>
      </c>
      <c r="B742" s="25"/>
      <c r="G742" s="25"/>
      <c r="K742" s="25">
        <f t="shared" si="2"/>
        <v>1</v>
      </c>
      <c r="L742" s="25" t="str">
        <f t="shared" si="8"/>
        <v>الأصل</v>
      </c>
      <c r="M742" s="25" t="str">
        <f t="shared" si="3"/>
        <v/>
      </c>
      <c r="N742" s="25" t="str">
        <f t="shared" si="4"/>
        <v/>
      </c>
      <c r="O742" s="25" t="str">
        <f t="shared" si="5"/>
        <v/>
      </c>
      <c r="P742" s="25">
        <f t="shared" si="6"/>
        <v>0</v>
      </c>
      <c r="S742" s="25" t="str">
        <f t="shared" si="7"/>
        <v/>
      </c>
    </row>
    <row r="743" ht="15.75" customHeight="1">
      <c r="A743" s="25" t="str">
        <f t="shared" si="1"/>
        <v>P742</v>
      </c>
      <c r="B743" s="25"/>
      <c r="G743" s="25"/>
      <c r="K743" s="25">
        <f t="shared" si="2"/>
        <v>1</v>
      </c>
      <c r="L743" s="25" t="str">
        <f t="shared" si="8"/>
        <v>الأصل</v>
      </c>
      <c r="M743" s="25" t="str">
        <f t="shared" si="3"/>
        <v/>
      </c>
      <c r="N743" s="25" t="str">
        <f t="shared" si="4"/>
        <v/>
      </c>
      <c r="O743" s="25" t="str">
        <f t="shared" si="5"/>
        <v/>
      </c>
      <c r="P743" s="25">
        <f t="shared" si="6"/>
        <v>0</v>
      </c>
      <c r="S743" s="25" t="str">
        <f t="shared" si="7"/>
        <v/>
      </c>
    </row>
    <row r="744" ht="15.75" customHeight="1">
      <c r="A744" s="25" t="str">
        <f t="shared" si="1"/>
        <v>P743</v>
      </c>
      <c r="B744" s="25"/>
      <c r="G744" s="25"/>
      <c r="K744" s="25">
        <f t="shared" si="2"/>
        <v>1</v>
      </c>
      <c r="L744" s="25" t="str">
        <f t="shared" si="8"/>
        <v>الأصل</v>
      </c>
      <c r="M744" s="25" t="str">
        <f t="shared" si="3"/>
        <v/>
      </c>
      <c r="N744" s="25" t="str">
        <f t="shared" si="4"/>
        <v/>
      </c>
      <c r="O744" s="25" t="str">
        <f t="shared" si="5"/>
        <v/>
      </c>
      <c r="P744" s="25">
        <f t="shared" si="6"/>
        <v>0</v>
      </c>
      <c r="S744" s="25" t="str">
        <f t="shared" si="7"/>
        <v/>
      </c>
    </row>
    <row r="745" ht="15.75" customHeight="1">
      <c r="A745" s="25" t="str">
        <f t="shared" si="1"/>
        <v>P744</v>
      </c>
      <c r="B745" s="25"/>
      <c r="G745" s="25"/>
      <c r="K745" s="25">
        <f t="shared" si="2"/>
        <v>1</v>
      </c>
      <c r="L745" s="25" t="str">
        <f t="shared" si="8"/>
        <v>الأصل</v>
      </c>
      <c r="M745" s="25" t="str">
        <f t="shared" si="3"/>
        <v/>
      </c>
      <c r="N745" s="25" t="str">
        <f t="shared" si="4"/>
        <v/>
      </c>
      <c r="O745" s="25" t="str">
        <f t="shared" si="5"/>
        <v/>
      </c>
      <c r="P745" s="25">
        <f t="shared" si="6"/>
        <v>0</v>
      </c>
      <c r="S745" s="25" t="str">
        <f t="shared" si="7"/>
        <v/>
      </c>
    </row>
    <row r="746" ht="15.75" customHeight="1">
      <c r="A746" s="25" t="str">
        <f t="shared" si="1"/>
        <v>P745</v>
      </c>
      <c r="B746" s="25"/>
      <c r="G746" s="25"/>
      <c r="K746" s="25">
        <f t="shared" si="2"/>
        <v>1</v>
      </c>
      <c r="L746" s="25" t="str">
        <f t="shared" si="8"/>
        <v>الأصل</v>
      </c>
      <c r="M746" s="25" t="str">
        <f t="shared" si="3"/>
        <v/>
      </c>
      <c r="N746" s="25" t="str">
        <f t="shared" si="4"/>
        <v/>
      </c>
      <c r="O746" s="25" t="str">
        <f t="shared" si="5"/>
        <v/>
      </c>
      <c r="P746" s="25">
        <f t="shared" si="6"/>
        <v>0</v>
      </c>
      <c r="S746" s="25" t="str">
        <f t="shared" si="7"/>
        <v/>
      </c>
    </row>
    <row r="747" ht="15.75" customHeight="1">
      <c r="A747" s="25" t="str">
        <f t="shared" si="1"/>
        <v>P746</v>
      </c>
      <c r="B747" s="25"/>
      <c r="G747" s="25"/>
      <c r="K747" s="25">
        <f t="shared" si="2"/>
        <v>1</v>
      </c>
      <c r="L747" s="25" t="str">
        <f t="shared" si="8"/>
        <v>الأصل</v>
      </c>
      <c r="M747" s="25" t="str">
        <f t="shared" si="3"/>
        <v/>
      </c>
      <c r="N747" s="25" t="str">
        <f t="shared" si="4"/>
        <v/>
      </c>
      <c r="O747" s="25" t="str">
        <f t="shared" si="5"/>
        <v/>
      </c>
      <c r="P747" s="25">
        <f t="shared" si="6"/>
        <v>0</v>
      </c>
      <c r="S747" s="25" t="str">
        <f t="shared" si="7"/>
        <v/>
      </c>
    </row>
    <row r="748" ht="15.75" customHeight="1">
      <c r="A748" s="25" t="str">
        <f t="shared" si="1"/>
        <v>P747</v>
      </c>
      <c r="B748" s="25"/>
      <c r="G748" s="25"/>
      <c r="K748" s="25">
        <f t="shared" si="2"/>
        <v>1</v>
      </c>
      <c r="L748" s="25" t="str">
        <f t="shared" si="8"/>
        <v>الأصل</v>
      </c>
      <c r="M748" s="25" t="str">
        <f t="shared" si="3"/>
        <v/>
      </c>
      <c r="N748" s="25" t="str">
        <f t="shared" si="4"/>
        <v/>
      </c>
      <c r="O748" s="25" t="str">
        <f t="shared" si="5"/>
        <v/>
      </c>
      <c r="P748" s="25">
        <f t="shared" si="6"/>
        <v>0</v>
      </c>
      <c r="S748" s="25" t="str">
        <f t="shared" si="7"/>
        <v/>
      </c>
    </row>
    <row r="749" ht="15.75" customHeight="1">
      <c r="A749" s="25" t="str">
        <f t="shared" si="1"/>
        <v>P748</v>
      </c>
      <c r="B749" s="25"/>
      <c r="G749" s="25"/>
      <c r="K749" s="25">
        <f t="shared" si="2"/>
        <v>1</v>
      </c>
      <c r="L749" s="25" t="str">
        <f t="shared" si="8"/>
        <v>الأصل</v>
      </c>
      <c r="M749" s="25" t="str">
        <f t="shared" si="3"/>
        <v/>
      </c>
      <c r="N749" s="25" t="str">
        <f t="shared" si="4"/>
        <v/>
      </c>
      <c r="O749" s="25" t="str">
        <f t="shared" si="5"/>
        <v/>
      </c>
      <c r="P749" s="25">
        <f t="shared" si="6"/>
        <v>0</v>
      </c>
      <c r="S749" s="25" t="str">
        <f t="shared" si="7"/>
        <v/>
      </c>
    </row>
    <row r="750" ht="15.75" customHeight="1">
      <c r="A750" s="25" t="str">
        <f t="shared" si="1"/>
        <v>P749</v>
      </c>
      <c r="B750" s="25"/>
      <c r="G750" s="25"/>
      <c r="K750" s="25">
        <f t="shared" si="2"/>
        <v>1</v>
      </c>
      <c r="L750" s="25" t="str">
        <f t="shared" si="8"/>
        <v>الأصل</v>
      </c>
      <c r="M750" s="25" t="str">
        <f t="shared" si="3"/>
        <v/>
      </c>
      <c r="N750" s="25" t="str">
        <f t="shared" si="4"/>
        <v/>
      </c>
      <c r="O750" s="25" t="str">
        <f t="shared" si="5"/>
        <v/>
      </c>
      <c r="P750" s="25">
        <f t="shared" si="6"/>
        <v>0</v>
      </c>
      <c r="S750" s="25" t="str">
        <f t="shared" si="7"/>
        <v/>
      </c>
    </row>
    <row r="751" ht="15.75" customHeight="1">
      <c r="A751" s="25" t="str">
        <f t="shared" si="1"/>
        <v>P750</v>
      </c>
      <c r="B751" s="25"/>
      <c r="G751" s="25"/>
      <c r="K751" s="25">
        <f t="shared" si="2"/>
        <v>1</v>
      </c>
      <c r="L751" s="25" t="str">
        <f t="shared" si="8"/>
        <v>الأصل</v>
      </c>
      <c r="M751" s="25" t="str">
        <f t="shared" si="3"/>
        <v/>
      </c>
      <c r="N751" s="25" t="str">
        <f t="shared" si="4"/>
        <v/>
      </c>
      <c r="O751" s="25" t="str">
        <f t="shared" si="5"/>
        <v/>
      </c>
      <c r="P751" s="25">
        <f t="shared" si="6"/>
        <v>0</v>
      </c>
      <c r="S751" s="25" t="str">
        <f t="shared" si="7"/>
        <v/>
      </c>
    </row>
    <row r="752" ht="15.75" customHeight="1">
      <c r="A752" s="25" t="str">
        <f t="shared" si="1"/>
        <v>P751</v>
      </c>
      <c r="B752" s="25"/>
      <c r="G752" s="25"/>
      <c r="K752" s="25">
        <f t="shared" si="2"/>
        <v>1</v>
      </c>
      <c r="L752" s="25" t="str">
        <f t="shared" si="8"/>
        <v>الأصل</v>
      </c>
      <c r="M752" s="25" t="str">
        <f t="shared" si="3"/>
        <v/>
      </c>
      <c r="N752" s="25" t="str">
        <f t="shared" si="4"/>
        <v/>
      </c>
      <c r="O752" s="25" t="str">
        <f t="shared" si="5"/>
        <v/>
      </c>
      <c r="P752" s="25">
        <f t="shared" si="6"/>
        <v>0</v>
      </c>
      <c r="S752" s="25" t="str">
        <f t="shared" si="7"/>
        <v/>
      </c>
    </row>
    <row r="753" ht="15.75" customHeight="1">
      <c r="A753" s="25" t="str">
        <f t="shared" si="1"/>
        <v>P752</v>
      </c>
      <c r="B753" s="25"/>
      <c r="G753" s="25"/>
      <c r="K753" s="25">
        <f t="shared" si="2"/>
        <v>1</v>
      </c>
      <c r="L753" s="25" t="str">
        <f t="shared" si="8"/>
        <v>الأصل</v>
      </c>
      <c r="M753" s="25" t="str">
        <f t="shared" si="3"/>
        <v/>
      </c>
      <c r="N753" s="25" t="str">
        <f t="shared" si="4"/>
        <v/>
      </c>
      <c r="O753" s="25" t="str">
        <f t="shared" si="5"/>
        <v/>
      </c>
      <c r="P753" s="25">
        <f t="shared" si="6"/>
        <v>0</v>
      </c>
      <c r="S753" s="25" t="str">
        <f t="shared" si="7"/>
        <v/>
      </c>
    </row>
    <row r="754" ht="15.75" customHeight="1">
      <c r="A754" s="25" t="str">
        <f t="shared" si="1"/>
        <v>P753</v>
      </c>
      <c r="B754" s="25"/>
      <c r="G754" s="25"/>
      <c r="K754" s="25">
        <f t="shared" si="2"/>
        <v>1</v>
      </c>
      <c r="L754" s="25" t="str">
        <f t="shared" si="8"/>
        <v>الأصل</v>
      </c>
      <c r="M754" s="25" t="str">
        <f t="shared" si="3"/>
        <v/>
      </c>
      <c r="N754" s="25" t="str">
        <f t="shared" si="4"/>
        <v/>
      </c>
      <c r="O754" s="25" t="str">
        <f t="shared" si="5"/>
        <v/>
      </c>
      <c r="P754" s="25">
        <f t="shared" si="6"/>
        <v>0</v>
      </c>
      <c r="S754" s="25" t="str">
        <f t="shared" si="7"/>
        <v/>
      </c>
    </row>
    <row r="755" ht="15.75" customHeight="1">
      <c r="A755" s="25" t="str">
        <f t="shared" si="1"/>
        <v>P754</v>
      </c>
      <c r="B755" s="25"/>
      <c r="G755" s="25"/>
      <c r="K755" s="25">
        <f t="shared" si="2"/>
        <v>1</v>
      </c>
      <c r="L755" s="25" t="str">
        <f t="shared" si="8"/>
        <v>الأصل</v>
      </c>
      <c r="M755" s="25" t="str">
        <f t="shared" si="3"/>
        <v/>
      </c>
      <c r="N755" s="25" t="str">
        <f t="shared" si="4"/>
        <v/>
      </c>
      <c r="O755" s="25" t="str">
        <f t="shared" si="5"/>
        <v/>
      </c>
      <c r="P755" s="25">
        <f t="shared" si="6"/>
        <v>0</v>
      </c>
      <c r="S755" s="25" t="str">
        <f t="shared" si="7"/>
        <v/>
      </c>
    </row>
    <row r="756" ht="15.75" customHeight="1">
      <c r="A756" s="25" t="str">
        <f t="shared" si="1"/>
        <v>P755</v>
      </c>
      <c r="B756" s="25"/>
      <c r="G756" s="25"/>
      <c r="K756" s="25">
        <f t="shared" si="2"/>
        <v>1</v>
      </c>
      <c r="L756" s="25" t="str">
        <f t="shared" si="8"/>
        <v>الأصل</v>
      </c>
      <c r="M756" s="25" t="str">
        <f t="shared" si="3"/>
        <v/>
      </c>
      <c r="N756" s="25" t="str">
        <f t="shared" si="4"/>
        <v/>
      </c>
      <c r="O756" s="25" t="str">
        <f t="shared" si="5"/>
        <v/>
      </c>
      <c r="P756" s="25">
        <f t="shared" si="6"/>
        <v>0</v>
      </c>
      <c r="S756" s="25" t="str">
        <f t="shared" si="7"/>
        <v/>
      </c>
    </row>
    <row r="757" ht="15.75" customHeight="1">
      <c r="A757" s="25" t="str">
        <f t="shared" si="1"/>
        <v>P756</v>
      </c>
      <c r="B757" s="25"/>
      <c r="G757" s="25"/>
      <c r="K757" s="25">
        <f t="shared" si="2"/>
        <v>1</v>
      </c>
      <c r="L757" s="25" t="str">
        <f t="shared" si="8"/>
        <v>الأصل</v>
      </c>
      <c r="M757" s="25" t="str">
        <f t="shared" si="3"/>
        <v/>
      </c>
      <c r="N757" s="25" t="str">
        <f t="shared" si="4"/>
        <v/>
      </c>
      <c r="O757" s="25" t="str">
        <f t="shared" si="5"/>
        <v/>
      </c>
      <c r="P757" s="25">
        <f t="shared" si="6"/>
        <v>0</v>
      </c>
      <c r="S757" s="25" t="str">
        <f t="shared" si="7"/>
        <v/>
      </c>
    </row>
    <row r="758" ht="15.75" customHeight="1">
      <c r="A758" s="25" t="str">
        <f t="shared" si="1"/>
        <v>P757</v>
      </c>
      <c r="B758" s="25"/>
      <c r="G758" s="25"/>
      <c r="K758" s="25">
        <f t="shared" si="2"/>
        <v>1</v>
      </c>
      <c r="L758" s="25" t="str">
        <f t="shared" si="8"/>
        <v>الأصل</v>
      </c>
      <c r="M758" s="25" t="str">
        <f t="shared" si="3"/>
        <v/>
      </c>
      <c r="N758" s="25" t="str">
        <f t="shared" si="4"/>
        <v/>
      </c>
      <c r="O758" s="25" t="str">
        <f t="shared" si="5"/>
        <v/>
      </c>
      <c r="P758" s="25">
        <f t="shared" si="6"/>
        <v>0</v>
      </c>
      <c r="S758" s="25" t="str">
        <f t="shared" si="7"/>
        <v/>
      </c>
    </row>
    <row r="759" ht="15.75" customHeight="1">
      <c r="A759" s="25" t="str">
        <f t="shared" si="1"/>
        <v>P758</v>
      </c>
      <c r="B759" s="25"/>
      <c r="G759" s="25"/>
      <c r="K759" s="25">
        <f t="shared" si="2"/>
        <v>1</v>
      </c>
      <c r="L759" s="25" t="str">
        <f t="shared" si="8"/>
        <v>الأصل</v>
      </c>
      <c r="M759" s="25" t="str">
        <f t="shared" si="3"/>
        <v/>
      </c>
      <c r="N759" s="25" t="str">
        <f t="shared" si="4"/>
        <v/>
      </c>
      <c r="O759" s="25" t="str">
        <f t="shared" si="5"/>
        <v/>
      </c>
      <c r="P759" s="25">
        <f t="shared" si="6"/>
        <v>0</v>
      </c>
      <c r="S759" s="25" t="str">
        <f t="shared" si="7"/>
        <v/>
      </c>
    </row>
    <row r="760" ht="15.75" customHeight="1">
      <c r="A760" s="25" t="str">
        <f t="shared" si="1"/>
        <v>P759</v>
      </c>
      <c r="B760" s="25"/>
      <c r="G760" s="25"/>
      <c r="K760" s="25">
        <f t="shared" si="2"/>
        <v>1</v>
      </c>
      <c r="L760" s="25" t="str">
        <f t="shared" si="8"/>
        <v>الأصل</v>
      </c>
      <c r="M760" s="25" t="str">
        <f t="shared" si="3"/>
        <v/>
      </c>
      <c r="N760" s="25" t="str">
        <f t="shared" si="4"/>
        <v/>
      </c>
      <c r="O760" s="25" t="str">
        <f t="shared" si="5"/>
        <v/>
      </c>
      <c r="P760" s="25">
        <f t="shared" si="6"/>
        <v>0</v>
      </c>
      <c r="S760" s="25" t="str">
        <f t="shared" si="7"/>
        <v/>
      </c>
    </row>
    <row r="761" ht="15.75" customHeight="1">
      <c r="A761" s="25" t="str">
        <f t="shared" si="1"/>
        <v>P760</v>
      </c>
      <c r="B761" s="25"/>
      <c r="G761" s="25"/>
      <c r="K761" s="25">
        <f t="shared" si="2"/>
        <v>1</v>
      </c>
      <c r="L761" s="25" t="str">
        <f t="shared" si="8"/>
        <v>الأصل</v>
      </c>
      <c r="M761" s="25" t="str">
        <f t="shared" si="3"/>
        <v/>
      </c>
      <c r="N761" s="25" t="str">
        <f t="shared" si="4"/>
        <v/>
      </c>
      <c r="O761" s="25" t="str">
        <f t="shared" si="5"/>
        <v/>
      </c>
      <c r="P761" s="25">
        <f t="shared" si="6"/>
        <v>0</v>
      </c>
      <c r="S761" s="25" t="str">
        <f t="shared" si="7"/>
        <v/>
      </c>
    </row>
    <row r="762" ht="15.75" customHeight="1">
      <c r="A762" s="25" t="str">
        <f t="shared" si="1"/>
        <v>P761</v>
      </c>
      <c r="B762" s="25"/>
      <c r="G762" s="25"/>
      <c r="K762" s="25">
        <f t="shared" si="2"/>
        <v>1</v>
      </c>
      <c r="L762" s="25" t="str">
        <f t="shared" si="8"/>
        <v>الأصل</v>
      </c>
      <c r="M762" s="25" t="str">
        <f t="shared" si="3"/>
        <v/>
      </c>
      <c r="N762" s="25" t="str">
        <f t="shared" si="4"/>
        <v/>
      </c>
      <c r="O762" s="25" t="str">
        <f t="shared" si="5"/>
        <v/>
      </c>
      <c r="P762" s="25">
        <f t="shared" si="6"/>
        <v>0</v>
      </c>
      <c r="S762" s="25" t="str">
        <f t="shared" si="7"/>
        <v/>
      </c>
    </row>
    <row r="763" ht="15.75" customHeight="1">
      <c r="A763" s="25" t="str">
        <f t="shared" si="1"/>
        <v>P762</v>
      </c>
      <c r="B763" s="25"/>
      <c r="G763" s="25"/>
      <c r="K763" s="25">
        <f t="shared" si="2"/>
        <v>1</v>
      </c>
      <c r="L763" s="25" t="str">
        <f t="shared" si="8"/>
        <v>الأصل</v>
      </c>
      <c r="M763" s="25" t="str">
        <f t="shared" si="3"/>
        <v/>
      </c>
      <c r="N763" s="25" t="str">
        <f t="shared" si="4"/>
        <v/>
      </c>
      <c r="O763" s="25" t="str">
        <f t="shared" si="5"/>
        <v/>
      </c>
      <c r="P763" s="25">
        <f t="shared" si="6"/>
        <v>0</v>
      </c>
      <c r="S763" s="25" t="str">
        <f t="shared" si="7"/>
        <v/>
      </c>
    </row>
    <row r="764" ht="15.75" customHeight="1">
      <c r="A764" s="25" t="str">
        <f t="shared" si="1"/>
        <v>P763</v>
      </c>
      <c r="B764" s="25"/>
      <c r="G764" s="25"/>
      <c r="K764" s="25">
        <f t="shared" si="2"/>
        <v>1</v>
      </c>
      <c r="L764" s="25" t="str">
        <f t="shared" si="8"/>
        <v>الأصل</v>
      </c>
      <c r="M764" s="25" t="str">
        <f t="shared" si="3"/>
        <v/>
      </c>
      <c r="N764" s="25" t="str">
        <f t="shared" si="4"/>
        <v/>
      </c>
      <c r="O764" s="25" t="str">
        <f t="shared" si="5"/>
        <v/>
      </c>
      <c r="P764" s="25">
        <f t="shared" si="6"/>
        <v>0</v>
      </c>
      <c r="S764" s="25" t="str">
        <f t="shared" si="7"/>
        <v/>
      </c>
    </row>
    <row r="765" ht="15.75" customHeight="1">
      <c r="A765" s="25" t="str">
        <f t="shared" si="1"/>
        <v>P764</v>
      </c>
      <c r="B765" s="25"/>
      <c r="G765" s="25"/>
      <c r="K765" s="25">
        <f t="shared" si="2"/>
        <v>1</v>
      </c>
      <c r="L765" s="25" t="str">
        <f t="shared" si="8"/>
        <v>الأصل</v>
      </c>
      <c r="M765" s="25" t="str">
        <f t="shared" si="3"/>
        <v/>
      </c>
      <c r="N765" s="25" t="str">
        <f t="shared" si="4"/>
        <v/>
      </c>
      <c r="O765" s="25" t="str">
        <f t="shared" si="5"/>
        <v/>
      </c>
      <c r="P765" s="25">
        <f t="shared" si="6"/>
        <v>0</v>
      </c>
      <c r="S765" s="25" t="str">
        <f t="shared" si="7"/>
        <v/>
      </c>
    </row>
    <row r="766" ht="15.75" customHeight="1">
      <c r="A766" s="25" t="str">
        <f t="shared" si="1"/>
        <v>P765</v>
      </c>
      <c r="B766" s="25"/>
      <c r="G766" s="25"/>
      <c r="K766" s="25">
        <f t="shared" si="2"/>
        <v>1</v>
      </c>
      <c r="L766" s="25" t="str">
        <f t="shared" si="8"/>
        <v>الأصل</v>
      </c>
      <c r="M766" s="25" t="str">
        <f t="shared" si="3"/>
        <v/>
      </c>
      <c r="N766" s="25" t="str">
        <f t="shared" si="4"/>
        <v/>
      </c>
      <c r="O766" s="25" t="str">
        <f t="shared" si="5"/>
        <v/>
      </c>
      <c r="P766" s="25">
        <f t="shared" si="6"/>
        <v>0</v>
      </c>
      <c r="S766" s="25" t="str">
        <f t="shared" si="7"/>
        <v/>
      </c>
    </row>
    <row r="767" ht="15.75" customHeight="1">
      <c r="A767" s="25" t="str">
        <f t="shared" si="1"/>
        <v>P766</v>
      </c>
      <c r="B767" s="25"/>
      <c r="G767" s="25"/>
      <c r="K767" s="25">
        <f t="shared" si="2"/>
        <v>1</v>
      </c>
      <c r="L767" s="25" t="str">
        <f t="shared" si="8"/>
        <v>الأصل</v>
      </c>
      <c r="M767" s="25" t="str">
        <f t="shared" si="3"/>
        <v/>
      </c>
      <c r="N767" s="25" t="str">
        <f t="shared" si="4"/>
        <v/>
      </c>
      <c r="O767" s="25" t="str">
        <f t="shared" si="5"/>
        <v/>
      </c>
      <c r="P767" s="25">
        <f t="shared" si="6"/>
        <v>0</v>
      </c>
      <c r="S767" s="25" t="str">
        <f t="shared" si="7"/>
        <v/>
      </c>
    </row>
    <row r="768" ht="15.75" customHeight="1">
      <c r="A768" s="25" t="str">
        <f t="shared" si="1"/>
        <v>P767</v>
      </c>
      <c r="B768" s="25"/>
      <c r="G768" s="25"/>
      <c r="K768" s="25">
        <f t="shared" si="2"/>
        <v>1</v>
      </c>
      <c r="L768" s="25" t="str">
        <f t="shared" si="8"/>
        <v>الأصل</v>
      </c>
      <c r="M768" s="25" t="str">
        <f t="shared" si="3"/>
        <v/>
      </c>
      <c r="N768" s="25" t="str">
        <f t="shared" si="4"/>
        <v/>
      </c>
      <c r="O768" s="25" t="str">
        <f t="shared" si="5"/>
        <v/>
      </c>
      <c r="P768" s="25">
        <f t="shared" si="6"/>
        <v>0</v>
      </c>
      <c r="S768" s="25" t="str">
        <f t="shared" si="7"/>
        <v/>
      </c>
    </row>
    <row r="769" ht="15.75" customHeight="1">
      <c r="A769" s="25" t="str">
        <f t="shared" si="1"/>
        <v>P768</v>
      </c>
      <c r="B769" s="25"/>
      <c r="G769" s="25"/>
      <c r="K769" s="25">
        <f t="shared" si="2"/>
        <v>1</v>
      </c>
      <c r="L769" s="25" t="str">
        <f t="shared" si="8"/>
        <v>الأصل</v>
      </c>
      <c r="M769" s="25" t="str">
        <f t="shared" si="3"/>
        <v/>
      </c>
      <c r="N769" s="25" t="str">
        <f t="shared" si="4"/>
        <v/>
      </c>
      <c r="O769" s="25" t="str">
        <f t="shared" si="5"/>
        <v/>
      </c>
      <c r="P769" s="25">
        <f t="shared" si="6"/>
        <v>0</v>
      </c>
      <c r="S769" s="25" t="str">
        <f t="shared" si="7"/>
        <v/>
      </c>
    </row>
    <row r="770" ht="15.75" customHeight="1">
      <c r="A770" s="25" t="str">
        <f t="shared" si="1"/>
        <v>P769</v>
      </c>
      <c r="B770" s="25"/>
      <c r="G770" s="25"/>
      <c r="K770" s="25">
        <f t="shared" si="2"/>
        <v>1</v>
      </c>
      <c r="L770" s="25" t="str">
        <f t="shared" si="8"/>
        <v>الأصل</v>
      </c>
      <c r="M770" s="25" t="str">
        <f t="shared" si="3"/>
        <v/>
      </c>
      <c r="N770" s="25" t="str">
        <f t="shared" si="4"/>
        <v/>
      </c>
      <c r="O770" s="25" t="str">
        <f t="shared" si="5"/>
        <v/>
      </c>
      <c r="P770" s="25">
        <f t="shared" si="6"/>
        <v>0</v>
      </c>
      <c r="S770" s="25" t="str">
        <f t="shared" si="7"/>
        <v/>
      </c>
    </row>
    <row r="771" ht="15.75" customHeight="1">
      <c r="A771" s="25" t="str">
        <f t="shared" si="1"/>
        <v>P770</v>
      </c>
      <c r="B771" s="25"/>
      <c r="G771" s="25"/>
      <c r="K771" s="25">
        <f t="shared" si="2"/>
        <v>1</v>
      </c>
      <c r="L771" s="25" t="str">
        <f t="shared" si="8"/>
        <v>الأصل</v>
      </c>
      <c r="M771" s="25" t="str">
        <f t="shared" si="3"/>
        <v/>
      </c>
      <c r="N771" s="25" t="str">
        <f t="shared" si="4"/>
        <v/>
      </c>
      <c r="O771" s="25" t="str">
        <f t="shared" si="5"/>
        <v/>
      </c>
      <c r="P771" s="25">
        <f t="shared" si="6"/>
        <v>0</v>
      </c>
      <c r="S771" s="25" t="str">
        <f t="shared" si="7"/>
        <v/>
      </c>
    </row>
    <row r="772" ht="15.75" customHeight="1">
      <c r="A772" s="25" t="str">
        <f t="shared" si="1"/>
        <v>P771</v>
      </c>
      <c r="B772" s="25"/>
      <c r="G772" s="25"/>
      <c r="K772" s="25">
        <f t="shared" si="2"/>
        <v>1</v>
      </c>
      <c r="L772" s="25" t="str">
        <f t="shared" si="8"/>
        <v>الأصل</v>
      </c>
      <c r="M772" s="25" t="str">
        <f t="shared" si="3"/>
        <v/>
      </c>
      <c r="N772" s="25" t="str">
        <f t="shared" si="4"/>
        <v/>
      </c>
      <c r="O772" s="25" t="str">
        <f t="shared" si="5"/>
        <v/>
      </c>
      <c r="P772" s="25">
        <f t="shared" si="6"/>
        <v>0</v>
      </c>
      <c r="S772" s="25" t="str">
        <f t="shared" si="7"/>
        <v/>
      </c>
    </row>
    <row r="773" ht="15.75" customHeight="1">
      <c r="A773" s="25" t="str">
        <f t="shared" si="1"/>
        <v>P772</v>
      </c>
      <c r="B773" s="25"/>
      <c r="G773" s="25"/>
      <c r="K773" s="25">
        <f t="shared" si="2"/>
        <v>1</v>
      </c>
      <c r="L773" s="25" t="str">
        <f t="shared" si="8"/>
        <v>الأصل</v>
      </c>
      <c r="M773" s="25" t="str">
        <f t="shared" si="3"/>
        <v/>
      </c>
      <c r="N773" s="25" t="str">
        <f t="shared" si="4"/>
        <v/>
      </c>
      <c r="O773" s="25" t="str">
        <f t="shared" si="5"/>
        <v/>
      </c>
      <c r="P773" s="25">
        <f t="shared" si="6"/>
        <v>0</v>
      </c>
      <c r="S773" s="25" t="str">
        <f t="shared" si="7"/>
        <v/>
      </c>
    </row>
    <row r="774" ht="15.75" customHeight="1">
      <c r="A774" s="25" t="str">
        <f t="shared" si="1"/>
        <v>P773</v>
      </c>
      <c r="B774" s="25"/>
      <c r="G774" s="25"/>
      <c r="K774" s="25">
        <f t="shared" si="2"/>
        <v>1</v>
      </c>
      <c r="L774" s="25" t="str">
        <f t="shared" si="8"/>
        <v>الأصل</v>
      </c>
      <c r="M774" s="25" t="str">
        <f t="shared" si="3"/>
        <v/>
      </c>
      <c r="N774" s="25" t="str">
        <f t="shared" si="4"/>
        <v/>
      </c>
      <c r="O774" s="25" t="str">
        <f t="shared" si="5"/>
        <v/>
      </c>
      <c r="P774" s="25">
        <f t="shared" si="6"/>
        <v>0</v>
      </c>
      <c r="S774" s="25" t="str">
        <f t="shared" si="7"/>
        <v/>
      </c>
    </row>
    <row r="775" ht="15.75" customHeight="1">
      <c r="A775" s="25" t="str">
        <f t="shared" si="1"/>
        <v>P774</v>
      </c>
      <c r="B775" s="25"/>
      <c r="G775" s="25"/>
      <c r="K775" s="25">
        <f t="shared" si="2"/>
        <v>1</v>
      </c>
      <c r="L775" s="25" t="str">
        <f t="shared" si="8"/>
        <v>الأصل</v>
      </c>
      <c r="M775" s="25" t="str">
        <f t="shared" si="3"/>
        <v/>
      </c>
      <c r="N775" s="25" t="str">
        <f t="shared" si="4"/>
        <v/>
      </c>
      <c r="O775" s="25" t="str">
        <f t="shared" si="5"/>
        <v/>
      </c>
      <c r="P775" s="25">
        <f t="shared" si="6"/>
        <v>0</v>
      </c>
      <c r="S775" s="25" t="str">
        <f t="shared" si="7"/>
        <v/>
      </c>
    </row>
    <row r="776" ht="15.75" customHeight="1">
      <c r="A776" s="25" t="str">
        <f t="shared" si="1"/>
        <v>P775</v>
      </c>
      <c r="B776" s="25"/>
      <c r="G776" s="25"/>
      <c r="K776" s="25">
        <f t="shared" si="2"/>
        <v>1</v>
      </c>
      <c r="L776" s="25" t="str">
        <f t="shared" si="8"/>
        <v>الأصل</v>
      </c>
      <c r="M776" s="25" t="str">
        <f t="shared" si="3"/>
        <v/>
      </c>
      <c r="N776" s="25" t="str">
        <f t="shared" si="4"/>
        <v/>
      </c>
      <c r="O776" s="25" t="str">
        <f t="shared" si="5"/>
        <v/>
      </c>
      <c r="P776" s="25">
        <f t="shared" si="6"/>
        <v>0</v>
      </c>
      <c r="S776" s="25" t="str">
        <f t="shared" si="7"/>
        <v/>
      </c>
    </row>
    <row r="777" ht="15.75" customHeight="1">
      <c r="A777" s="25" t="str">
        <f t="shared" si="1"/>
        <v>P776</v>
      </c>
      <c r="B777" s="25"/>
      <c r="G777" s="25"/>
      <c r="K777" s="25">
        <f t="shared" si="2"/>
        <v>1</v>
      </c>
      <c r="L777" s="25" t="str">
        <f t="shared" si="8"/>
        <v>الأصل</v>
      </c>
      <c r="M777" s="25" t="str">
        <f t="shared" si="3"/>
        <v/>
      </c>
      <c r="N777" s="25" t="str">
        <f t="shared" si="4"/>
        <v/>
      </c>
      <c r="O777" s="25" t="str">
        <f t="shared" si="5"/>
        <v/>
      </c>
      <c r="P777" s="25">
        <f t="shared" si="6"/>
        <v>0</v>
      </c>
      <c r="S777" s="25" t="str">
        <f t="shared" si="7"/>
        <v/>
      </c>
    </row>
    <row r="778" ht="15.75" customHeight="1">
      <c r="A778" s="25" t="str">
        <f t="shared" si="1"/>
        <v>P777</v>
      </c>
      <c r="B778" s="25"/>
      <c r="G778" s="25"/>
      <c r="K778" s="25">
        <f t="shared" si="2"/>
        <v>1</v>
      </c>
      <c r="L778" s="25" t="str">
        <f t="shared" si="8"/>
        <v>الأصل</v>
      </c>
      <c r="M778" s="25" t="str">
        <f t="shared" si="3"/>
        <v/>
      </c>
      <c r="N778" s="25" t="str">
        <f t="shared" si="4"/>
        <v/>
      </c>
      <c r="O778" s="25" t="str">
        <f t="shared" si="5"/>
        <v/>
      </c>
      <c r="P778" s="25">
        <f t="shared" si="6"/>
        <v>0</v>
      </c>
      <c r="S778" s="25" t="str">
        <f t="shared" si="7"/>
        <v/>
      </c>
    </row>
    <row r="779" ht="15.75" customHeight="1">
      <c r="A779" s="25" t="str">
        <f t="shared" si="1"/>
        <v>P778</v>
      </c>
      <c r="B779" s="25"/>
      <c r="G779" s="25"/>
      <c r="K779" s="25">
        <f t="shared" si="2"/>
        <v>1</v>
      </c>
      <c r="L779" s="25" t="str">
        <f t="shared" si="8"/>
        <v>الأصل</v>
      </c>
      <c r="M779" s="25" t="str">
        <f t="shared" si="3"/>
        <v/>
      </c>
      <c r="N779" s="25" t="str">
        <f t="shared" si="4"/>
        <v/>
      </c>
      <c r="O779" s="25" t="str">
        <f t="shared" si="5"/>
        <v/>
      </c>
      <c r="P779" s="25">
        <f t="shared" si="6"/>
        <v>0</v>
      </c>
      <c r="S779" s="25" t="str">
        <f t="shared" si="7"/>
        <v/>
      </c>
    </row>
    <row r="780" ht="15.75" customHeight="1">
      <c r="A780" s="25" t="str">
        <f t="shared" si="1"/>
        <v>P779</v>
      </c>
      <c r="B780" s="25"/>
      <c r="G780" s="25"/>
      <c r="K780" s="25">
        <f t="shared" si="2"/>
        <v>1</v>
      </c>
      <c r="L780" s="25" t="str">
        <f t="shared" si="8"/>
        <v>الأصل</v>
      </c>
      <c r="M780" s="25" t="str">
        <f t="shared" si="3"/>
        <v/>
      </c>
      <c r="N780" s="25" t="str">
        <f t="shared" si="4"/>
        <v/>
      </c>
      <c r="O780" s="25" t="str">
        <f t="shared" si="5"/>
        <v/>
      </c>
      <c r="P780" s="25">
        <f t="shared" si="6"/>
        <v>0</v>
      </c>
      <c r="S780" s="25" t="str">
        <f t="shared" si="7"/>
        <v/>
      </c>
    </row>
    <row r="781" ht="15.75" customHeight="1">
      <c r="A781" s="25" t="str">
        <f t="shared" si="1"/>
        <v>P780</v>
      </c>
      <c r="B781" s="25"/>
      <c r="G781" s="25"/>
      <c r="K781" s="25">
        <f t="shared" si="2"/>
        <v>1</v>
      </c>
      <c r="L781" s="25" t="str">
        <f t="shared" si="8"/>
        <v>الأصل</v>
      </c>
      <c r="M781" s="25" t="str">
        <f t="shared" si="3"/>
        <v/>
      </c>
      <c r="N781" s="25" t="str">
        <f t="shared" si="4"/>
        <v/>
      </c>
      <c r="O781" s="25" t="str">
        <f t="shared" si="5"/>
        <v/>
      </c>
      <c r="P781" s="25">
        <f t="shared" si="6"/>
        <v>0</v>
      </c>
      <c r="S781" s="25" t="str">
        <f t="shared" si="7"/>
        <v/>
      </c>
    </row>
    <row r="782" ht="15.75" customHeight="1">
      <c r="A782" s="25" t="str">
        <f t="shared" si="1"/>
        <v>P781</v>
      </c>
      <c r="B782" s="25"/>
      <c r="G782" s="25"/>
      <c r="K782" s="25">
        <f t="shared" si="2"/>
        <v>1</v>
      </c>
      <c r="L782" s="25" t="str">
        <f t="shared" si="8"/>
        <v>الأصل</v>
      </c>
      <c r="M782" s="25" t="str">
        <f t="shared" si="3"/>
        <v/>
      </c>
      <c r="N782" s="25" t="str">
        <f t="shared" si="4"/>
        <v/>
      </c>
      <c r="O782" s="25" t="str">
        <f t="shared" si="5"/>
        <v/>
      </c>
      <c r="P782" s="25">
        <f t="shared" si="6"/>
        <v>0</v>
      </c>
      <c r="S782" s="25" t="str">
        <f t="shared" si="7"/>
        <v/>
      </c>
    </row>
    <row r="783" ht="15.75" customHeight="1">
      <c r="A783" s="25" t="str">
        <f t="shared" si="1"/>
        <v>P782</v>
      </c>
      <c r="B783" s="25"/>
      <c r="G783" s="25"/>
      <c r="K783" s="25">
        <f t="shared" si="2"/>
        <v>1</v>
      </c>
      <c r="L783" s="25" t="str">
        <f t="shared" si="8"/>
        <v>الأصل</v>
      </c>
      <c r="M783" s="25" t="str">
        <f t="shared" si="3"/>
        <v/>
      </c>
      <c r="N783" s="25" t="str">
        <f t="shared" si="4"/>
        <v/>
      </c>
      <c r="O783" s="25" t="str">
        <f t="shared" si="5"/>
        <v/>
      </c>
      <c r="P783" s="25">
        <f t="shared" si="6"/>
        <v>0</v>
      </c>
      <c r="S783" s="25" t="str">
        <f t="shared" si="7"/>
        <v/>
      </c>
    </row>
    <row r="784" ht="15.75" customHeight="1">
      <c r="A784" s="25" t="str">
        <f t="shared" si="1"/>
        <v>P783</v>
      </c>
      <c r="B784" s="25"/>
      <c r="G784" s="25"/>
      <c r="K784" s="25">
        <f t="shared" si="2"/>
        <v>1</v>
      </c>
      <c r="L784" s="25" t="str">
        <f t="shared" si="8"/>
        <v>الأصل</v>
      </c>
      <c r="M784" s="25" t="str">
        <f t="shared" si="3"/>
        <v/>
      </c>
      <c r="N784" s="25" t="str">
        <f t="shared" si="4"/>
        <v/>
      </c>
      <c r="O784" s="25" t="str">
        <f t="shared" si="5"/>
        <v/>
      </c>
      <c r="P784" s="25">
        <f t="shared" si="6"/>
        <v>0</v>
      </c>
      <c r="S784" s="25" t="str">
        <f t="shared" si="7"/>
        <v/>
      </c>
    </row>
    <row r="785" ht="15.75" customHeight="1">
      <c r="A785" s="25" t="str">
        <f t="shared" si="1"/>
        <v>P784</v>
      </c>
      <c r="B785" s="25"/>
      <c r="G785" s="25"/>
      <c r="K785" s="25">
        <f t="shared" si="2"/>
        <v>1</v>
      </c>
      <c r="L785" s="25" t="str">
        <f t="shared" si="8"/>
        <v>الأصل</v>
      </c>
      <c r="M785" s="25" t="str">
        <f t="shared" si="3"/>
        <v/>
      </c>
      <c r="N785" s="25" t="str">
        <f t="shared" si="4"/>
        <v/>
      </c>
      <c r="O785" s="25" t="str">
        <f t="shared" si="5"/>
        <v/>
      </c>
      <c r="P785" s="25">
        <f t="shared" si="6"/>
        <v>0</v>
      </c>
      <c r="S785" s="25" t="str">
        <f t="shared" si="7"/>
        <v/>
      </c>
    </row>
    <row r="786" ht="15.75" customHeight="1">
      <c r="A786" s="25" t="str">
        <f t="shared" si="1"/>
        <v>P785</v>
      </c>
      <c r="B786" s="25"/>
      <c r="G786" s="25"/>
      <c r="K786" s="25">
        <f t="shared" si="2"/>
        <v>1</v>
      </c>
      <c r="L786" s="25" t="str">
        <f t="shared" si="8"/>
        <v>الأصل</v>
      </c>
      <c r="M786" s="25" t="str">
        <f t="shared" si="3"/>
        <v/>
      </c>
      <c r="N786" s="25" t="str">
        <f t="shared" si="4"/>
        <v/>
      </c>
      <c r="O786" s="25" t="str">
        <f t="shared" si="5"/>
        <v/>
      </c>
      <c r="P786" s="25">
        <f t="shared" si="6"/>
        <v>0</v>
      </c>
      <c r="S786" s="25" t="str">
        <f t="shared" si="7"/>
        <v/>
      </c>
    </row>
    <row r="787" ht="15.75" customHeight="1">
      <c r="A787" s="25" t="str">
        <f t="shared" si="1"/>
        <v>P786</v>
      </c>
      <c r="B787" s="25"/>
      <c r="G787" s="25"/>
      <c r="K787" s="25">
        <f t="shared" si="2"/>
        <v>1</v>
      </c>
      <c r="L787" s="25" t="str">
        <f t="shared" si="8"/>
        <v>الأصل</v>
      </c>
      <c r="M787" s="25" t="str">
        <f t="shared" si="3"/>
        <v/>
      </c>
      <c r="N787" s="25" t="str">
        <f t="shared" si="4"/>
        <v/>
      </c>
      <c r="O787" s="25" t="str">
        <f t="shared" si="5"/>
        <v/>
      </c>
      <c r="P787" s="25">
        <f t="shared" si="6"/>
        <v>0</v>
      </c>
      <c r="S787" s="25" t="str">
        <f t="shared" si="7"/>
        <v/>
      </c>
    </row>
    <row r="788" ht="15.75" customHeight="1">
      <c r="A788" s="25" t="str">
        <f t="shared" si="1"/>
        <v>P787</v>
      </c>
      <c r="B788" s="25"/>
      <c r="G788" s="25"/>
      <c r="K788" s="25">
        <f t="shared" si="2"/>
        <v>1</v>
      </c>
      <c r="L788" s="25" t="str">
        <f t="shared" si="8"/>
        <v>الأصل</v>
      </c>
      <c r="M788" s="25" t="str">
        <f t="shared" si="3"/>
        <v/>
      </c>
      <c r="N788" s="25" t="str">
        <f t="shared" si="4"/>
        <v/>
      </c>
      <c r="O788" s="25" t="str">
        <f t="shared" si="5"/>
        <v/>
      </c>
      <c r="P788" s="25">
        <f t="shared" si="6"/>
        <v>0</v>
      </c>
      <c r="S788" s="25" t="str">
        <f t="shared" si="7"/>
        <v/>
      </c>
    </row>
    <row r="789" ht="15.75" customHeight="1">
      <c r="A789" s="25" t="str">
        <f t="shared" si="1"/>
        <v>P788</v>
      </c>
      <c r="B789" s="25"/>
      <c r="G789" s="25"/>
      <c r="K789" s="25">
        <f t="shared" si="2"/>
        <v>1</v>
      </c>
      <c r="L789" s="25" t="str">
        <f t="shared" si="8"/>
        <v>الأصل</v>
      </c>
      <c r="M789" s="25" t="str">
        <f t="shared" si="3"/>
        <v/>
      </c>
      <c r="N789" s="25" t="str">
        <f t="shared" si="4"/>
        <v/>
      </c>
      <c r="O789" s="25" t="str">
        <f t="shared" si="5"/>
        <v/>
      </c>
      <c r="P789" s="25">
        <f t="shared" si="6"/>
        <v>0</v>
      </c>
      <c r="S789" s="25" t="str">
        <f t="shared" si="7"/>
        <v/>
      </c>
    </row>
    <row r="790" ht="15.75" customHeight="1">
      <c r="A790" s="25" t="str">
        <f t="shared" si="1"/>
        <v>P789</v>
      </c>
      <c r="B790" s="25"/>
      <c r="G790" s="25"/>
      <c r="K790" s="25">
        <f t="shared" si="2"/>
        <v>1</v>
      </c>
      <c r="L790" s="25" t="str">
        <f t="shared" si="8"/>
        <v>الأصل</v>
      </c>
      <c r="M790" s="25" t="str">
        <f t="shared" si="3"/>
        <v/>
      </c>
      <c r="N790" s="25" t="str">
        <f t="shared" si="4"/>
        <v/>
      </c>
      <c r="O790" s="25" t="str">
        <f t="shared" si="5"/>
        <v/>
      </c>
      <c r="P790" s="25">
        <f t="shared" si="6"/>
        <v>0</v>
      </c>
      <c r="S790" s="25" t="str">
        <f t="shared" si="7"/>
        <v/>
      </c>
    </row>
    <row r="791" ht="15.75" customHeight="1">
      <c r="A791" s="25" t="str">
        <f t="shared" si="1"/>
        <v>P790</v>
      </c>
      <c r="B791" s="25"/>
      <c r="G791" s="25"/>
      <c r="K791" s="25">
        <f t="shared" si="2"/>
        <v>1</v>
      </c>
      <c r="L791" s="25" t="str">
        <f t="shared" si="8"/>
        <v>الأصل</v>
      </c>
      <c r="M791" s="25" t="str">
        <f t="shared" si="3"/>
        <v/>
      </c>
      <c r="N791" s="25" t="str">
        <f t="shared" si="4"/>
        <v/>
      </c>
      <c r="O791" s="25" t="str">
        <f t="shared" si="5"/>
        <v/>
      </c>
      <c r="P791" s="25">
        <f t="shared" si="6"/>
        <v>0</v>
      </c>
      <c r="S791" s="25" t="str">
        <f t="shared" si="7"/>
        <v/>
      </c>
    </row>
    <row r="792" ht="15.75" customHeight="1">
      <c r="A792" s="25" t="str">
        <f t="shared" si="1"/>
        <v>P791</v>
      </c>
      <c r="B792" s="25"/>
      <c r="G792" s="25"/>
      <c r="K792" s="25">
        <f t="shared" si="2"/>
        <v>1</v>
      </c>
      <c r="L792" s="25" t="str">
        <f t="shared" si="8"/>
        <v>الأصل</v>
      </c>
      <c r="M792" s="25" t="str">
        <f t="shared" si="3"/>
        <v/>
      </c>
      <c r="N792" s="25" t="str">
        <f t="shared" si="4"/>
        <v/>
      </c>
      <c r="O792" s="25" t="str">
        <f t="shared" si="5"/>
        <v/>
      </c>
      <c r="P792" s="25">
        <f t="shared" si="6"/>
        <v>0</v>
      </c>
      <c r="S792" s="25" t="str">
        <f t="shared" si="7"/>
        <v/>
      </c>
    </row>
    <row r="793" ht="15.75" customHeight="1">
      <c r="A793" s="25" t="str">
        <f t="shared" si="1"/>
        <v>P792</v>
      </c>
      <c r="B793" s="25"/>
      <c r="G793" s="25"/>
      <c r="K793" s="25">
        <f t="shared" si="2"/>
        <v>1</v>
      </c>
      <c r="L793" s="25" t="str">
        <f t="shared" si="8"/>
        <v>الأصل</v>
      </c>
      <c r="M793" s="25" t="str">
        <f t="shared" si="3"/>
        <v/>
      </c>
      <c r="N793" s="25" t="str">
        <f t="shared" si="4"/>
        <v/>
      </c>
      <c r="O793" s="25" t="str">
        <f t="shared" si="5"/>
        <v/>
      </c>
      <c r="P793" s="25">
        <f t="shared" si="6"/>
        <v>0</v>
      </c>
      <c r="S793" s="25" t="str">
        <f t="shared" si="7"/>
        <v/>
      </c>
    </row>
    <row r="794" ht="15.75" customHeight="1">
      <c r="A794" s="25" t="str">
        <f t="shared" si="1"/>
        <v>P793</v>
      </c>
      <c r="B794" s="25"/>
      <c r="G794" s="25"/>
      <c r="K794" s="25">
        <f t="shared" si="2"/>
        <v>1</v>
      </c>
      <c r="L794" s="25" t="str">
        <f t="shared" si="8"/>
        <v>الأصل</v>
      </c>
      <c r="M794" s="25" t="str">
        <f t="shared" si="3"/>
        <v/>
      </c>
      <c r="N794" s="25" t="str">
        <f t="shared" si="4"/>
        <v/>
      </c>
      <c r="O794" s="25" t="str">
        <f t="shared" si="5"/>
        <v/>
      </c>
      <c r="P794" s="25">
        <f t="shared" si="6"/>
        <v>0</v>
      </c>
      <c r="S794" s="25" t="str">
        <f t="shared" si="7"/>
        <v/>
      </c>
    </row>
    <row r="795" ht="15.75" customHeight="1">
      <c r="A795" s="25" t="str">
        <f t="shared" si="1"/>
        <v>P794</v>
      </c>
      <c r="B795" s="25"/>
      <c r="G795" s="25"/>
      <c r="K795" s="25">
        <f t="shared" si="2"/>
        <v>1</v>
      </c>
      <c r="L795" s="25" t="str">
        <f t="shared" si="8"/>
        <v>الأصل</v>
      </c>
      <c r="M795" s="25" t="str">
        <f t="shared" si="3"/>
        <v/>
      </c>
      <c r="N795" s="25" t="str">
        <f t="shared" si="4"/>
        <v/>
      </c>
      <c r="O795" s="25" t="str">
        <f t="shared" si="5"/>
        <v/>
      </c>
      <c r="P795" s="25">
        <f t="shared" si="6"/>
        <v>0</v>
      </c>
      <c r="S795" s="25" t="str">
        <f t="shared" si="7"/>
        <v/>
      </c>
    </row>
    <row r="796" ht="15.75" customHeight="1">
      <c r="A796" s="25" t="str">
        <f t="shared" si="1"/>
        <v>P795</v>
      </c>
      <c r="B796" s="25"/>
      <c r="G796" s="25"/>
      <c r="K796" s="25">
        <f t="shared" si="2"/>
        <v>1</v>
      </c>
      <c r="L796" s="25" t="str">
        <f t="shared" si="8"/>
        <v>الأصل</v>
      </c>
      <c r="M796" s="25" t="str">
        <f t="shared" si="3"/>
        <v/>
      </c>
      <c r="N796" s="25" t="str">
        <f t="shared" si="4"/>
        <v/>
      </c>
      <c r="O796" s="25" t="str">
        <f t="shared" si="5"/>
        <v/>
      </c>
      <c r="P796" s="25">
        <f t="shared" si="6"/>
        <v>0</v>
      </c>
      <c r="S796" s="25" t="str">
        <f t="shared" si="7"/>
        <v/>
      </c>
    </row>
    <row r="797" ht="15.75" customHeight="1">
      <c r="A797" s="25" t="str">
        <f t="shared" si="1"/>
        <v>P796</v>
      </c>
      <c r="B797" s="25"/>
      <c r="G797" s="25"/>
      <c r="K797" s="25">
        <f t="shared" si="2"/>
        <v>1</v>
      </c>
      <c r="L797" s="25" t="str">
        <f t="shared" si="8"/>
        <v>الأصل</v>
      </c>
      <c r="M797" s="25" t="str">
        <f t="shared" si="3"/>
        <v/>
      </c>
      <c r="N797" s="25" t="str">
        <f t="shared" si="4"/>
        <v/>
      </c>
      <c r="O797" s="25" t="str">
        <f t="shared" si="5"/>
        <v/>
      </c>
      <c r="P797" s="25">
        <f t="shared" si="6"/>
        <v>0</v>
      </c>
      <c r="S797" s="25" t="str">
        <f t="shared" si="7"/>
        <v/>
      </c>
    </row>
    <row r="798" ht="15.75" customHeight="1">
      <c r="A798" s="25" t="str">
        <f t="shared" si="1"/>
        <v>P797</v>
      </c>
      <c r="B798" s="25"/>
      <c r="G798" s="25"/>
      <c r="K798" s="25">
        <f t="shared" si="2"/>
        <v>1</v>
      </c>
      <c r="L798" s="25" t="str">
        <f t="shared" si="8"/>
        <v>الأصل</v>
      </c>
      <c r="M798" s="25" t="str">
        <f t="shared" si="3"/>
        <v/>
      </c>
      <c r="N798" s="25" t="str">
        <f t="shared" si="4"/>
        <v/>
      </c>
      <c r="O798" s="25" t="str">
        <f t="shared" si="5"/>
        <v/>
      </c>
      <c r="P798" s="25">
        <f t="shared" si="6"/>
        <v>0</v>
      </c>
      <c r="S798" s="25" t="str">
        <f t="shared" si="7"/>
        <v/>
      </c>
    </row>
    <row r="799" ht="15.75" customHeight="1">
      <c r="A799" s="25" t="str">
        <f t="shared" si="1"/>
        <v>P798</v>
      </c>
      <c r="B799" s="25"/>
      <c r="G799" s="25"/>
      <c r="K799" s="25">
        <f t="shared" si="2"/>
        <v>1</v>
      </c>
      <c r="L799" s="25" t="str">
        <f t="shared" si="8"/>
        <v>الأصل</v>
      </c>
      <c r="M799" s="25" t="str">
        <f t="shared" si="3"/>
        <v/>
      </c>
      <c r="N799" s="25" t="str">
        <f t="shared" si="4"/>
        <v/>
      </c>
      <c r="O799" s="25" t="str">
        <f t="shared" si="5"/>
        <v/>
      </c>
      <c r="P799" s="25">
        <f t="shared" si="6"/>
        <v>0</v>
      </c>
      <c r="S799" s="25" t="str">
        <f t="shared" si="7"/>
        <v/>
      </c>
    </row>
    <row r="800" ht="15.75" customHeight="1">
      <c r="A800" s="25" t="str">
        <f t="shared" si="1"/>
        <v>P799</v>
      </c>
      <c r="B800" s="25"/>
      <c r="G800" s="25"/>
      <c r="K800" s="25">
        <f t="shared" si="2"/>
        <v>1</v>
      </c>
      <c r="L800" s="25" t="str">
        <f t="shared" si="8"/>
        <v>الأصل</v>
      </c>
      <c r="M800" s="25" t="str">
        <f t="shared" si="3"/>
        <v/>
      </c>
      <c r="N800" s="25" t="str">
        <f t="shared" si="4"/>
        <v/>
      </c>
      <c r="O800" s="25" t="str">
        <f t="shared" si="5"/>
        <v/>
      </c>
      <c r="P800" s="25">
        <f t="shared" si="6"/>
        <v>0</v>
      </c>
      <c r="S800" s="25" t="str">
        <f t="shared" si="7"/>
        <v/>
      </c>
    </row>
    <row r="801" ht="15.75" customHeight="1">
      <c r="A801" s="25" t="str">
        <f t="shared" si="1"/>
        <v>P800</v>
      </c>
      <c r="B801" s="25"/>
      <c r="G801" s="25"/>
      <c r="K801" s="25">
        <f t="shared" si="2"/>
        <v>1</v>
      </c>
      <c r="L801" s="25" t="str">
        <f t="shared" si="8"/>
        <v>الأصل</v>
      </c>
      <c r="M801" s="25" t="str">
        <f t="shared" si="3"/>
        <v/>
      </c>
      <c r="N801" s="25" t="str">
        <f t="shared" si="4"/>
        <v/>
      </c>
      <c r="O801" s="25" t="str">
        <f t="shared" si="5"/>
        <v/>
      </c>
      <c r="P801" s="25">
        <f t="shared" si="6"/>
        <v>0</v>
      </c>
      <c r="S801" s="25" t="str">
        <f t="shared" si="7"/>
        <v/>
      </c>
    </row>
    <row r="802" ht="15.75" customHeight="1">
      <c r="A802" s="25" t="str">
        <f t="shared" si="1"/>
        <v>P801</v>
      </c>
      <c r="B802" s="25"/>
      <c r="G802" s="25"/>
      <c r="K802" s="25">
        <f t="shared" si="2"/>
        <v>1</v>
      </c>
      <c r="L802" s="25" t="str">
        <f t="shared" si="8"/>
        <v>الأصل</v>
      </c>
      <c r="M802" s="25" t="str">
        <f t="shared" si="3"/>
        <v/>
      </c>
      <c r="N802" s="25" t="str">
        <f t="shared" si="4"/>
        <v/>
      </c>
      <c r="O802" s="25" t="str">
        <f t="shared" si="5"/>
        <v/>
      </c>
      <c r="P802" s="25">
        <f t="shared" si="6"/>
        <v>0</v>
      </c>
      <c r="S802" s="25" t="str">
        <f t="shared" si="7"/>
        <v/>
      </c>
    </row>
    <row r="803" ht="15.75" customHeight="1">
      <c r="A803" s="25" t="str">
        <f t="shared" si="1"/>
        <v>P802</v>
      </c>
      <c r="B803" s="25"/>
      <c r="G803" s="25"/>
      <c r="K803" s="25">
        <f t="shared" si="2"/>
        <v>1</v>
      </c>
      <c r="L803" s="25" t="str">
        <f t="shared" si="8"/>
        <v>الأصل</v>
      </c>
      <c r="M803" s="25" t="str">
        <f t="shared" si="3"/>
        <v/>
      </c>
      <c r="N803" s="25" t="str">
        <f t="shared" si="4"/>
        <v/>
      </c>
      <c r="O803" s="25" t="str">
        <f t="shared" si="5"/>
        <v/>
      </c>
      <c r="P803" s="25">
        <f t="shared" si="6"/>
        <v>0</v>
      </c>
      <c r="S803" s="25" t="str">
        <f t="shared" si="7"/>
        <v/>
      </c>
    </row>
    <row r="804" ht="15.75" customHeight="1">
      <c r="A804" s="25" t="str">
        <f t="shared" si="1"/>
        <v>P803</v>
      </c>
      <c r="B804" s="25"/>
      <c r="G804" s="25"/>
      <c r="K804" s="25">
        <f t="shared" si="2"/>
        <v>1</v>
      </c>
      <c r="L804" s="25" t="str">
        <f t="shared" si="8"/>
        <v>الأصل</v>
      </c>
      <c r="M804" s="25" t="str">
        <f t="shared" si="3"/>
        <v/>
      </c>
      <c r="N804" s="25" t="str">
        <f t="shared" si="4"/>
        <v/>
      </c>
      <c r="O804" s="25" t="str">
        <f t="shared" si="5"/>
        <v/>
      </c>
      <c r="P804" s="25">
        <f t="shared" si="6"/>
        <v>0</v>
      </c>
      <c r="S804" s="25" t="str">
        <f t="shared" si="7"/>
        <v/>
      </c>
    </row>
    <row r="805" ht="15.75" customHeight="1">
      <c r="A805" s="25" t="str">
        <f t="shared" si="1"/>
        <v>P804</v>
      </c>
      <c r="B805" s="25"/>
      <c r="G805" s="25"/>
      <c r="K805" s="25">
        <f t="shared" si="2"/>
        <v>1</v>
      </c>
      <c r="L805" s="25" t="str">
        <f t="shared" si="8"/>
        <v>الأصل</v>
      </c>
      <c r="M805" s="25" t="str">
        <f t="shared" si="3"/>
        <v/>
      </c>
      <c r="N805" s="25" t="str">
        <f t="shared" si="4"/>
        <v/>
      </c>
      <c r="O805" s="25" t="str">
        <f t="shared" si="5"/>
        <v/>
      </c>
      <c r="P805" s="25">
        <f t="shared" si="6"/>
        <v>0</v>
      </c>
      <c r="S805" s="25" t="str">
        <f t="shared" si="7"/>
        <v/>
      </c>
    </row>
    <row r="806" ht="15.75" customHeight="1">
      <c r="A806" s="25" t="str">
        <f t="shared" si="1"/>
        <v>P805</v>
      </c>
      <c r="B806" s="25"/>
      <c r="G806" s="25"/>
      <c r="K806" s="25">
        <f t="shared" si="2"/>
        <v>1</v>
      </c>
      <c r="L806" s="25" t="str">
        <f t="shared" si="8"/>
        <v>الأصل</v>
      </c>
      <c r="M806" s="25" t="str">
        <f t="shared" si="3"/>
        <v/>
      </c>
      <c r="N806" s="25" t="str">
        <f t="shared" si="4"/>
        <v/>
      </c>
      <c r="O806" s="25" t="str">
        <f t="shared" si="5"/>
        <v/>
      </c>
      <c r="P806" s="25">
        <f t="shared" si="6"/>
        <v>0</v>
      </c>
      <c r="S806" s="25" t="str">
        <f t="shared" si="7"/>
        <v/>
      </c>
    </row>
    <row r="807" ht="15.75" customHeight="1">
      <c r="A807" s="25" t="str">
        <f t="shared" si="1"/>
        <v>P806</v>
      </c>
      <c r="B807" s="25"/>
      <c r="G807" s="25"/>
      <c r="K807" s="25">
        <f t="shared" si="2"/>
        <v>1</v>
      </c>
      <c r="L807" s="25" t="str">
        <f t="shared" si="8"/>
        <v>الأصل</v>
      </c>
      <c r="M807" s="25" t="str">
        <f t="shared" si="3"/>
        <v/>
      </c>
      <c r="N807" s="25" t="str">
        <f t="shared" si="4"/>
        <v/>
      </c>
      <c r="O807" s="25" t="str">
        <f t="shared" si="5"/>
        <v/>
      </c>
      <c r="P807" s="25">
        <f t="shared" si="6"/>
        <v>0</v>
      </c>
      <c r="S807" s="25" t="str">
        <f t="shared" si="7"/>
        <v/>
      </c>
    </row>
    <row r="808" ht="15.75" customHeight="1">
      <c r="A808" s="25" t="str">
        <f t="shared" si="1"/>
        <v>P807</v>
      </c>
      <c r="B808" s="25"/>
      <c r="G808" s="25"/>
      <c r="K808" s="25">
        <f t="shared" si="2"/>
        <v>1</v>
      </c>
      <c r="L808" s="25" t="str">
        <f t="shared" si="8"/>
        <v>الأصل</v>
      </c>
      <c r="M808" s="25" t="str">
        <f t="shared" si="3"/>
        <v/>
      </c>
      <c r="N808" s="25" t="str">
        <f t="shared" si="4"/>
        <v/>
      </c>
      <c r="O808" s="25" t="str">
        <f t="shared" si="5"/>
        <v/>
      </c>
      <c r="P808" s="25">
        <f t="shared" si="6"/>
        <v>0</v>
      </c>
      <c r="S808" s="25" t="str">
        <f t="shared" si="7"/>
        <v/>
      </c>
    </row>
    <row r="809" ht="15.75" customHeight="1">
      <c r="A809" s="25" t="str">
        <f t="shared" si="1"/>
        <v>P808</v>
      </c>
      <c r="B809" s="25"/>
      <c r="G809" s="25"/>
      <c r="K809" s="25">
        <f t="shared" si="2"/>
        <v>1</v>
      </c>
      <c r="L809" s="25" t="str">
        <f t="shared" si="8"/>
        <v>الأصل</v>
      </c>
      <c r="M809" s="25" t="str">
        <f t="shared" si="3"/>
        <v/>
      </c>
      <c r="N809" s="25" t="str">
        <f t="shared" si="4"/>
        <v/>
      </c>
      <c r="O809" s="25" t="str">
        <f t="shared" si="5"/>
        <v/>
      </c>
      <c r="P809" s="25">
        <f t="shared" si="6"/>
        <v>0</v>
      </c>
      <c r="S809" s="25" t="str">
        <f t="shared" si="7"/>
        <v/>
      </c>
    </row>
    <row r="810" ht="15.75" customHeight="1">
      <c r="A810" s="25" t="str">
        <f t="shared" si="1"/>
        <v>P809</v>
      </c>
      <c r="B810" s="25"/>
      <c r="G810" s="25"/>
      <c r="K810" s="25">
        <f t="shared" si="2"/>
        <v>1</v>
      </c>
      <c r="L810" s="25" t="str">
        <f t="shared" si="8"/>
        <v>الأصل</v>
      </c>
      <c r="M810" s="25" t="str">
        <f t="shared" si="3"/>
        <v/>
      </c>
      <c r="N810" s="25" t="str">
        <f t="shared" si="4"/>
        <v/>
      </c>
      <c r="O810" s="25" t="str">
        <f t="shared" si="5"/>
        <v/>
      </c>
      <c r="P810" s="25">
        <f t="shared" si="6"/>
        <v>0</v>
      </c>
      <c r="S810" s="25" t="str">
        <f t="shared" si="7"/>
        <v/>
      </c>
    </row>
    <row r="811" ht="15.75" customHeight="1">
      <c r="A811" s="25" t="str">
        <f t="shared" si="1"/>
        <v>P810</v>
      </c>
      <c r="B811" s="25"/>
      <c r="G811" s="25"/>
      <c r="K811" s="25">
        <f t="shared" si="2"/>
        <v>1</v>
      </c>
      <c r="L811" s="25" t="str">
        <f t="shared" si="8"/>
        <v>الأصل</v>
      </c>
      <c r="M811" s="25" t="str">
        <f t="shared" si="3"/>
        <v/>
      </c>
      <c r="N811" s="25" t="str">
        <f t="shared" si="4"/>
        <v/>
      </c>
      <c r="O811" s="25" t="str">
        <f t="shared" si="5"/>
        <v/>
      </c>
      <c r="P811" s="25">
        <f t="shared" si="6"/>
        <v>0</v>
      </c>
      <c r="S811" s="25" t="str">
        <f t="shared" si="7"/>
        <v/>
      </c>
    </row>
    <row r="812" ht="15.75" customHeight="1">
      <c r="A812" s="25" t="str">
        <f t="shared" si="1"/>
        <v>P811</v>
      </c>
      <c r="B812" s="25"/>
      <c r="G812" s="25"/>
      <c r="K812" s="25">
        <f t="shared" si="2"/>
        <v>1</v>
      </c>
      <c r="L812" s="25" t="str">
        <f t="shared" si="8"/>
        <v>الأصل</v>
      </c>
      <c r="M812" s="25" t="str">
        <f t="shared" si="3"/>
        <v/>
      </c>
      <c r="N812" s="25" t="str">
        <f t="shared" si="4"/>
        <v/>
      </c>
      <c r="O812" s="25" t="str">
        <f t="shared" si="5"/>
        <v/>
      </c>
      <c r="P812" s="25">
        <f t="shared" si="6"/>
        <v>0</v>
      </c>
      <c r="S812" s="25" t="str">
        <f t="shared" si="7"/>
        <v/>
      </c>
    </row>
    <row r="813" ht="15.75" customHeight="1">
      <c r="A813" s="25" t="str">
        <f t="shared" si="1"/>
        <v>P812</v>
      </c>
      <c r="B813" s="25"/>
      <c r="G813" s="25"/>
      <c r="K813" s="25">
        <f t="shared" si="2"/>
        <v>1</v>
      </c>
      <c r="L813" s="25" t="str">
        <f t="shared" si="8"/>
        <v>الأصل</v>
      </c>
      <c r="M813" s="25" t="str">
        <f t="shared" si="3"/>
        <v/>
      </c>
      <c r="N813" s="25" t="str">
        <f t="shared" si="4"/>
        <v/>
      </c>
      <c r="O813" s="25" t="str">
        <f t="shared" si="5"/>
        <v/>
      </c>
      <c r="P813" s="25">
        <f t="shared" si="6"/>
        <v>0</v>
      </c>
      <c r="S813" s="25" t="str">
        <f t="shared" si="7"/>
        <v/>
      </c>
    </row>
    <row r="814" ht="15.75" customHeight="1">
      <c r="A814" s="25" t="str">
        <f t="shared" si="1"/>
        <v>P813</v>
      </c>
      <c r="B814" s="25"/>
      <c r="G814" s="25"/>
      <c r="K814" s="25">
        <f t="shared" si="2"/>
        <v>1</v>
      </c>
      <c r="L814" s="25" t="str">
        <f t="shared" si="8"/>
        <v>الأصل</v>
      </c>
      <c r="M814" s="25" t="str">
        <f t="shared" si="3"/>
        <v/>
      </c>
      <c r="N814" s="25" t="str">
        <f t="shared" si="4"/>
        <v/>
      </c>
      <c r="O814" s="25" t="str">
        <f t="shared" si="5"/>
        <v/>
      </c>
      <c r="P814" s="25">
        <f t="shared" si="6"/>
        <v>0</v>
      </c>
      <c r="S814" s="25" t="str">
        <f t="shared" si="7"/>
        <v/>
      </c>
    </row>
    <row r="815" ht="15.75" customHeight="1">
      <c r="A815" s="25" t="str">
        <f t="shared" si="1"/>
        <v>P814</v>
      </c>
      <c r="B815" s="25"/>
      <c r="G815" s="25"/>
      <c r="K815" s="25">
        <f t="shared" si="2"/>
        <v>1</v>
      </c>
      <c r="L815" s="25" t="str">
        <f t="shared" si="8"/>
        <v>الأصل</v>
      </c>
      <c r="M815" s="25" t="str">
        <f t="shared" si="3"/>
        <v/>
      </c>
      <c r="N815" s="25" t="str">
        <f t="shared" si="4"/>
        <v/>
      </c>
      <c r="O815" s="25" t="str">
        <f t="shared" si="5"/>
        <v/>
      </c>
      <c r="P815" s="25">
        <f t="shared" si="6"/>
        <v>0</v>
      </c>
      <c r="S815" s="25" t="str">
        <f t="shared" si="7"/>
        <v/>
      </c>
    </row>
    <row r="816" ht="15.75" customHeight="1">
      <c r="A816" s="25" t="str">
        <f t="shared" si="1"/>
        <v>P815</v>
      </c>
      <c r="B816" s="25"/>
      <c r="G816" s="25"/>
      <c r="K816" s="25">
        <f t="shared" si="2"/>
        <v>1</v>
      </c>
      <c r="L816" s="25" t="str">
        <f t="shared" si="8"/>
        <v>الأصل</v>
      </c>
      <c r="M816" s="25" t="str">
        <f t="shared" si="3"/>
        <v/>
      </c>
      <c r="N816" s="25" t="str">
        <f t="shared" si="4"/>
        <v/>
      </c>
      <c r="O816" s="25" t="str">
        <f t="shared" si="5"/>
        <v/>
      </c>
      <c r="P816" s="25">
        <f t="shared" si="6"/>
        <v>0</v>
      </c>
      <c r="S816" s="25" t="str">
        <f t="shared" si="7"/>
        <v/>
      </c>
    </row>
    <row r="817" ht="15.75" customHeight="1">
      <c r="A817" s="25" t="str">
        <f t="shared" si="1"/>
        <v>P816</v>
      </c>
      <c r="B817" s="25"/>
      <c r="G817" s="25"/>
      <c r="K817" s="25">
        <f t="shared" si="2"/>
        <v>1</v>
      </c>
      <c r="L817" s="25" t="str">
        <f t="shared" si="8"/>
        <v>الأصل</v>
      </c>
      <c r="M817" s="25" t="str">
        <f t="shared" si="3"/>
        <v/>
      </c>
      <c r="N817" s="25" t="str">
        <f t="shared" si="4"/>
        <v/>
      </c>
      <c r="O817" s="25" t="str">
        <f t="shared" si="5"/>
        <v/>
      </c>
      <c r="P817" s="25">
        <f t="shared" si="6"/>
        <v>0</v>
      </c>
      <c r="S817" s="25" t="str">
        <f t="shared" si="7"/>
        <v/>
      </c>
    </row>
    <row r="818" ht="15.75" customHeight="1">
      <c r="A818" s="25" t="str">
        <f t="shared" si="1"/>
        <v>P817</v>
      </c>
      <c r="B818" s="25"/>
      <c r="G818" s="25"/>
      <c r="K818" s="25">
        <f t="shared" si="2"/>
        <v>1</v>
      </c>
      <c r="L818" s="25" t="str">
        <f t="shared" si="8"/>
        <v>الأصل</v>
      </c>
      <c r="M818" s="25" t="str">
        <f t="shared" si="3"/>
        <v/>
      </c>
      <c r="N818" s="25" t="str">
        <f t="shared" si="4"/>
        <v/>
      </c>
      <c r="O818" s="25" t="str">
        <f t="shared" si="5"/>
        <v/>
      </c>
      <c r="P818" s="25">
        <f t="shared" si="6"/>
        <v>0</v>
      </c>
      <c r="S818" s="25" t="str">
        <f t="shared" si="7"/>
        <v/>
      </c>
    </row>
    <row r="819" ht="15.75" customHeight="1">
      <c r="A819" s="25" t="str">
        <f t="shared" si="1"/>
        <v>P818</v>
      </c>
      <c r="B819" s="25"/>
      <c r="G819" s="25"/>
      <c r="K819" s="25">
        <f t="shared" si="2"/>
        <v>1</v>
      </c>
      <c r="L819" s="25" t="str">
        <f t="shared" si="8"/>
        <v>الأصل</v>
      </c>
      <c r="M819" s="25" t="str">
        <f t="shared" si="3"/>
        <v/>
      </c>
      <c r="N819" s="25" t="str">
        <f t="shared" si="4"/>
        <v/>
      </c>
      <c r="O819" s="25" t="str">
        <f t="shared" si="5"/>
        <v/>
      </c>
      <c r="P819" s="25">
        <f t="shared" si="6"/>
        <v>0</v>
      </c>
      <c r="S819" s="25" t="str">
        <f t="shared" si="7"/>
        <v/>
      </c>
    </row>
    <row r="820" ht="15.75" customHeight="1">
      <c r="A820" s="25" t="str">
        <f t="shared" si="1"/>
        <v>P819</v>
      </c>
      <c r="B820" s="25"/>
      <c r="G820" s="25"/>
      <c r="K820" s="25">
        <f t="shared" si="2"/>
        <v>1</v>
      </c>
      <c r="L820" s="25" t="str">
        <f t="shared" si="8"/>
        <v>الأصل</v>
      </c>
      <c r="M820" s="25" t="str">
        <f t="shared" si="3"/>
        <v/>
      </c>
      <c r="N820" s="25" t="str">
        <f t="shared" si="4"/>
        <v/>
      </c>
      <c r="O820" s="25" t="str">
        <f t="shared" si="5"/>
        <v/>
      </c>
      <c r="P820" s="25">
        <f t="shared" si="6"/>
        <v>0</v>
      </c>
      <c r="S820" s="25" t="str">
        <f t="shared" si="7"/>
        <v/>
      </c>
    </row>
    <row r="821" ht="15.75" customHeight="1">
      <c r="A821" s="25" t="str">
        <f t="shared" si="1"/>
        <v>P820</v>
      </c>
      <c r="B821" s="25"/>
      <c r="G821" s="25"/>
      <c r="K821" s="25">
        <f t="shared" si="2"/>
        <v>1</v>
      </c>
      <c r="L821" s="25" t="str">
        <f t="shared" si="8"/>
        <v>الأصل</v>
      </c>
      <c r="M821" s="25" t="str">
        <f t="shared" si="3"/>
        <v/>
      </c>
      <c r="N821" s="25" t="str">
        <f t="shared" si="4"/>
        <v/>
      </c>
      <c r="O821" s="25" t="str">
        <f t="shared" si="5"/>
        <v/>
      </c>
      <c r="P821" s="25">
        <f t="shared" si="6"/>
        <v>0</v>
      </c>
      <c r="S821" s="25" t="str">
        <f t="shared" si="7"/>
        <v/>
      </c>
    </row>
    <row r="822" ht="15.75" customHeight="1">
      <c r="A822" s="25" t="str">
        <f t="shared" si="1"/>
        <v>P821</v>
      </c>
      <c r="B822" s="25"/>
      <c r="G822" s="25"/>
      <c r="K822" s="25">
        <f t="shared" si="2"/>
        <v>1</v>
      </c>
      <c r="L822" s="25" t="str">
        <f t="shared" si="8"/>
        <v>الأصل</v>
      </c>
      <c r="M822" s="25" t="str">
        <f t="shared" si="3"/>
        <v/>
      </c>
      <c r="N822" s="25" t="str">
        <f t="shared" si="4"/>
        <v/>
      </c>
      <c r="O822" s="25" t="str">
        <f t="shared" si="5"/>
        <v/>
      </c>
      <c r="P822" s="25">
        <f t="shared" si="6"/>
        <v>0</v>
      </c>
      <c r="S822" s="25" t="str">
        <f t="shared" si="7"/>
        <v/>
      </c>
    </row>
    <row r="823" ht="15.75" customHeight="1">
      <c r="A823" s="25" t="str">
        <f t="shared" si="1"/>
        <v>P822</v>
      </c>
      <c r="B823" s="25"/>
      <c r="G823" s="25"/>
      <c r="K823" s="25">
        <f t="shared" si="2"/>
        <v>1</v>
      </c>
      <c r="L823" s="25" t="str">
        <f t="shared" si="8"/>
        <v>الأصل</v>
      </c>
      <c r="M823" s="25" t="str">
        <f t="shared" si="3"/>
        <v/>
      </c>
      <c r="N823" s="25" t="str">
        <f t="shared" si="4"/>
        <v/>
      </c>
      <c r="O823" s="25" t="str">
        <f t="shared" si="5"/>
        <v/>
      </c>
      <c r="P823" s="25">
        <f t="shared" si="6"/>
        <v>0</v>
      </c>
      <c r="S823" s="25" t="str">
        <f t="shared" si="7"/>
        <v/>
      </c>
    </row>
    <row r="824" ht="15.75" customHeight="1">
      <c r="A824" s="25" t="str">
        <f t="shared" si="1"/>
        <v>P823</v>
      </c>
      <c r="B824" s="25"/>
      <c r="G824" s="25"/>
      <c r="K824" s="25">
        <f t="shared" si="2"/>
        <v>1</v>
      </c>
      <c r="L824" s="25" t="str">
        <f t="shared" si="8"/>
        <v>الأصل</v>
      </c>
      <c r="M824" s="25" t="str">
        <f t="shared" si="3"/>
        <v/>
      </c>
      <c r="N824" s="25" t="str">
        <f t="shared" si="4"/>
        <v/>
      </c>
      <c r="O824" s="25" t="str">
        <f t="shared" si="5"/>
        <v/>
      </c>
      <c r="P824" s="25">
        <f t="shared" si="6"/>
        <v>0</v>
      </c>
      <c r="S824" s="25" t="str">
        <f t="shared" si="7"/>
        <v/>
      </c>
    </row>
    <row r="825" ht="15.75" customHeight="1">
      <c r="A825" s="25" t="str">
        <f t="shared" si="1"/>
        <v>P824</v>
      </c>
      <c r="B825" s="25"/>
      <c r="G825" s="25"/>
      <c r="K825" s="25">
        <f t="shared" si="2"/>
        <v>1</v>
      </c>
      <c r="L825" s="25" t="str">
        <f t="shared" si="8"/>
        <v>الأصل</v>
      </c>
      <c r="M825" s="25" t="str">
        <f t="shared" si="3"/>
        <v/>
      </c>
      <c r="N825" s="25" t="str">
        <f t="shared" si="4"/>
        <v/>
      </c>
      <c r="O825" s="25" t="str">
        <f t="shared" si="5"/>
        <v/>
      </c>
      <c r="P825" s="25">
        <f t="shared" si="6"/>
        <v>0</v>
      </c>
      <c r="S825" s="25" t="str">
        <f t="shared" si="7"/>
        <v/>
      </c>
    </row>
    <row r="826" ht="15.75" customHeight="1">
      <c r="A826" s="25" t="str">
        <f t="shared" si="1"/>
        <v>P825</v>
      </c>
      <c r="B826" s="25"/>
      <c r="G826" s="25"/>
      <c r="K826" s="25">
        <f t="shared" si="2"/>
        <v>1</v>
      </c>
      <c r="L826" s="25" t="str">
        <f t="shared" si="8"/>
        <v>الأصل</v>
      </c>
      <c r="M826" s="25" t="str">
        <f t="shared" si="3"/>
        <v/>
      </c>
      <c r="N826" s="25" t="str">
        <f t="shared" si="4"/>
        <v/>
      </c>
      <c r="O826" s="25" t="str">
        <f t="shared" si="5"/>
        <v/>
      </c>
      <c r="P826" s="25">
        <f t="shared" si="6"/>
        <v>0</v>
      </c>
      <c r="S826" s="25" t="str">
        <f t="shared" si="7"/>
        <v/>
      </c>
    </row>
    <row r="827" ht="15.75" customHeight="1">
      <c r="A827" s="25" t="str">
        <f t="shared" si="1"/>
        <v>P826</v>
      </c>
      <c r="B827" s="25"/>
      <c r="G827" s="25"/>
      <c r="K827" s="25">
        <f t="shared" si="2"/>
        <v>1</v>
      </c>
      <c r="L827" s="25" t="str">
        <f t="shared" si="8"/>
        <v>الأصل</v>
      </c>
      <c r="M827" s="25" t="str">
        <f t="shared" si="3"/>
        <v/>
      </c>
      <c r="N827" s="25" t="str">
        <f t="shared" si="4"/>
        <v/>
      </c>
      <c r="O827" s="25" t="str">
        <f t="shared" si="5"/>
        <v/>
      </c>
      <c r="P827" s="25">
        <f t="shared" si="6"/>
        <v>0</v>
      </c>
      <c r="S827" s="25" t="str">
        <f t="shared" si="7"/>
        <v/>
      </c>
    </row>
    <row r="828" ht="15.75" customHeight="1">
      <c r="A828" s="25" t="str">
        <f t="shared" si="1"/>
        <v>P827</v>
      </c>
      <c r="B828" s="25"/>
      <c r="G828" s="25"/>
      <c r="K828" s="25">
        <f t="shared" si="2"/>
        <v>1</v>
      </c>
      <c r="L828" s="25" t="str">
        <f t="shared" si="8"/>
        <v>الأصل</v>
      </c>
      <c r="M828" s="25" t="str">
        <f t="shared" si="3"/>
        <v/>
      </c>
      <c r="N828" s="25" t="str">
        <f t="shared" si="4"/>
        <v/>
      </c>
      <c r="O828" s="25" t="str">
        <f t="shared" si="5"/>
        <v/>
      </c>
      <c r="P828" s="25">
        <f t="shared" si="6"/>
        <v>0</v>
      </c>
      <c r="S828" s="25" t="str">
        <f t="shared" si="7"/>
        <v/>
      </c>
    </row>
    <row r="829" ht="15.75" customHeight="1">
      <c r="A829" s="25" t="str">
        <f t="shared" si="1"/>
        <v>P828</v>
      </c>
      <c r="B829" s="25"/>
      <c r="G829" s="25"/>
      <c r="K829" s="25">
        <f t="shared" si="2"/>
        <v>1</v>
      </c>
      <c r="L829" s="25" t="str">
        <f t="shared" si="8"/>
        <v>الأصل</v>
      </c>
      <c r="M829" s="25" t="str">
        <f t="shared" si="3"/>
        <v/>
      </c>
      <c r="N829" s="25" t="str">
        <f t="shared" si="4"/>
        <v/>
      </c>
      <c r="O829" s="25" t="str">
        <f t="shared" si="5"/>
        <v/>
      </c>
      <c r="P829" s="25">
        <f t="shared" si="6"/>
        <v>0</v>
      </c>
      <c r="S829" s="25" t="str">
        <f t="shared" si="7"/>
        <v/>
      </c>
    </row>
    <row r="830" ht="15.75" customHeight="1">
      <c r="A830" s="25" t="str">
        <f t="shared" si="1"/>
        <v>P829</v>
      </c>
      <c r="B830" s="25"/>
      <c r="G830" s="25"/>
      <c r="K830" s="25">
        <f t="shared" si="2"/>
        <v>1</v>
      </c>
      <c r="L830" s="25" t="str">
        <f t="shared" si="8"/>
        <v>الأصل</v>
      </c>
      <c r="M830" s="25" t="str">
        <f t="shared" si="3"/>
        <v/>
      </c>
      <c r="N830" s="25" t="str">
        <f t="shared" si="4"/>
        <v/>
      </c>
      <c r="O830" s="25" t="str">
        <f t="shared" si="5"/>
        <v/>
      </c>
      <c r="P830" s="25">
        <f t="shared" si="6"/>
        <v>0</v>
      </c>
      <c r="S830" s="25" t="str">
        <f t="shared" si="7"/>
        <v/>
      </c>
    </row>
    <row r="831" ht="15.75" customHeight="1">
      <c r="A831" s="25" t="str">
        <f t="shared" si="1"/>
        <v>P830</v>
      </c>
      <c r="B831" s="25"/>
      <c r="G831" s="25"/>
      <c r="K831" s="25">
        <f t="shared" si="2"/>
        <v>1</v>
      </c>
      <c r="L831" s="25" t="str">
        <f t="shared" si="8"/>
        <v>الأصل</v>
      </c>
      <c r="M831" s="25" t="str">
        <f t="shared" si="3"/>
        <v/>
      </c>
      <c r="N831" s="25" t="str">
        <f t="shared" si="4"/>
        <v/>
      </c>
      <c r="O831" s="25" t="str">
        <f t="shared" si="5"/>
        <v/>
      </c>
      <c r="P831" s="25">
        <f t="shared" si="6"/>
        <v>0</v>
      </c>
      <c r="S831" s="25" t="str">
        <f t="shared" si="7"/>
        <v/>
      </c>
    </row>
    <row r="832" ht="15.75" customHeight="1">
      <c r="A832" s="25" t="str">
        <f t="shared" si="1"/>
        <v>P831</v>
      </c>
      <c r="B832" s="25"/>
      <c r="G832" s="25"/>
      <c r="K832" s="25">
        <f t="shared" si="2"/>
        <v>1</v>
      </c>
      <c r="L832" s="25" t="str">
        <f t="shared" si="8"/>
        <v>الأصل</v>
      </c>
      <c r="M832" s="25" t="str">
        <f t="shared" si="3"/>
        <v/>
      </c>
      <c r="N832" s="25" t="str">
        <f t="shared" si="4"/>
        <v/>
      </c>
      <c r="O832" s="25" t="str">
        <f t="shared" si="5"/>
        <v/>
      </c>
      <c r="P832" s="25">
        <f t="shared" si="6"/>
        <v>0</v>
      </c>
      <c r="S832" s="25" t="str">
        <f t="shared" si="7"/>
        <v/>
      </c>
    </row>
    <row r="833" ht="15.75" customHeight="1">
      <c r="A833" s="25" t="str">
        <f t="shared" si="1"/>
        <v>P832</v>
      </c>
      <c r="B833" s="25"/>
      <c r="G833" s="25"/>
      <c r="K833" s="25">
        <f t="shared" si="2"/>
        <v>1</v>
      </c>
      <c r="L833" s="25" t="str">
        <f t="shared" si="8"/>
        <v>الأصل</v>
      </c>
      <c r="M833" s="25" t="str">
        <f t="shared" si="3"/>
        <v/>
      </c>
      <c r="N833" s="25" t="str">
        <f t="shared" si="4"/>
        <v/>
      </c>
      <c r="O833" s="25" t="str">
        <f t="shared" si="5"/>
        <v/>
      </c>
      <c r="P833" s="25">
        <f t="shared" si="6"/>
        <v>0</v>
      </c>
      <c r="S833" s="25" t="str">
        <f t="shared" si="7"/>
        <v/>
      </c>
    </row>
    <row r="834" ht="15.75" customHeight="1">
      <c r="A834" s="25" t="str">
        <f t="shared" si="1"/>
        <v>P833</v>
      </c>
      <c r="B834" s="25"/>
      <c r="G834" s="25"/>
      <c r="K834" s="25">
        <f t="shared" si="2"/>
        <v>1</v>
      </c>
      <c r="L834" s="25" t="str">
        <f t="shared" si="8"/>
        <v>الأصل</v>
      </c>
      <c r="M834" s="25" t="str">
        <f t="shared" si="3"/>
        <v/>
      </c>
      <c r="N834" s="25" t="str">
        <f t="shared" si="4"/>
        <v/>
      </c>
      <c r="O834" s="25" t="str">
        <f t="shared" si="5"/>
        <v/>
      </c>
      <c r="P834" s="25">
        <f t="shared" si="6"/>
        <v>0</v>
      </c>
      <c r="S834" s="25" t="str">
        <f t="shared" si="7"/>
        <v/>
      </c>
    </row>
    <row r="835" ht="15.75" customHeight="1">
      <c r="A835" s="25" t="str">
        <f t="shared" si="1"/>
        <v>P834</v>
      </c>
      <c r="B835" s="25"/>
      <c r="G835" s="25"/>
      <c r="K835" s="25">
        <f t="shared" si="2"/>
        <v>1</v>
      </c>
      <c r="L835" s="25" t="str">
        <f t="shared" si="8"/>
        <v>الأصل</v>
      </c>
      <c r="M835" s="25" t="str">
        <f t="shared" si="3"/>
        <v/>
      </c>
      <c r="N835" s="25" t="str">
        <f t="shared" si="4"/>
        <v/>
      </c>
      <c r="O835" s="25" t="str">
        <f t="shared" si="5"/>
        <v/>
      </c>
      <c r="P835" s="25">
        <f t="shared" si="6"/>
        <v>0</v>
      </c>
      <c r="S835" s="25" t="str">
        <f t="shared" si="7"/>
        <v/>
      </c>
    </row>
    <row r="836" ht="15.75" customHeight="1">
      <c r="A836" s="25" t="str">
        <f t="shared" si="1"/>
        <v>P835</v>
      </c>
      <c r="B836" s="25"/>
      <c r="G836" s="25"/>
      <c r="K836" s="25">
        <f t="shared" si="2"/>
        <v>1</v>
      </c>
      <c r="L836" s="25" t="str">
        <f t="shared" si="8"/>
        <v>الأصل</v>
      </c>
      <c r="M836" s="25" t="str">
        <f t="shared" si="3"/>
        <v/>
      </c>
      <c r="N836" s="25" t="str">
        <f t="shared" si="4"/>
        <v/>
      </c>
      <c r="O836" s="25" t="str">
        <f t="shared" si="5"/>
        <v/>
      </c>
      <c r="P836" s="25">
        <f t="shared" si="6"/>
        <v>0</v>
      </c>
      <c r="S836" s="25" t="str">
        <f t="shared" si="7"/>
        <v/>
      </c>
    </row>
    <row r="837" ht="15.75" customHeight="1">
      <c r="A837" s="25" t="str">
        <f t="shared" si="1"/>
        <v>P836</v>
      </c>
      <c r="B837" s="25"/>
      <c r="G837" s="25"/>
      <c r="K837" s="25">
        <f t="shared" si="2"/>
        <v>1</v>
      </c>
      <c r="L837" s="25" t="str">
        <f t="shared" si="8"/>
        <v>الأصل</v>
      </c>
      <c r="M837" s="25" t="str">
        <f t="shared" si="3"/>
        <v/>
      </c>
      <c r="N837" s="25" t="str">
        <f t="shared" si="4"/>
        <v/>
      </c>
      <c r="O837" s="25" t="str">
        <f t="shared" si="5"/>
        <v/>
      </c>
      <c r="P837" s="25">
        <f t="shared" si="6"/>
        <v>0</v>
      </c>
      <c r="S837" s="25" t="str">
        <f t="shared" si="7"/>
        <v/>
      </c>
    </row>
    <row r="838" ht="15.75" customHeight="1">
      <c r="A838" s="25" t="str">
        <f t="shared" si="1"/>
        <v>P837</v>
      </c>
      <c r="B838" s="25"/>
      <c r="G838" s="25"/>
      <c r="K838" s="25">
        <f t="shared" si="2"/>
        <v>1</v>
      </c>
      <c r="L838" s="25" t="str">
        <f t="shared" si="8"/>
        <v>الأصل</v>
      </c>
      <c r="M838" s="25" t="str">
        <f t="shared" si="3"/>
        <v/>
      </c>
      <c r="N838" s="25" t="str">
        <f t="shared" si="4"/>
        <v/>
      </c>
      <c r="O838" s="25" t="str">
        <f t="shared" si="5"/>
        <v/>
      </c>
      <c r="P838" s="25">
        <f t="shared" si="6"/>
        <v>0</v>
      </c>
      <c r="S838" s="25" t="str">
        <f t="shared" si="7"/>
        <v/>
      </c>
    </row>
    <row r="839" ht="15.75" customHeight="1">
      <c r="A839" s="25" t="str">
        <f t="shared" si="1"/>
        <v>P838</v>
      </c>
      <c r="B839" s="25"/>
      <c r="G839" s="25"/>
      <c r="K839" s="25">
        <f t="shared" si="2"/>
        <v>1</v>
      </c>
      <c r="L839" s="25" t="str">
        <f t="shared" si="8"/>
        <v>الأصل</v>
      </c>
      <c r="M839" s="25" t="str">
        <f t="shared" si="3"/>
        <v/>
      </c>
      <c r="N839" s="25" t="str">
        <f t="shared" si="4"/>
        <v/>
      </c>
      <c r="O839" s="25" t="str">
        <f t="shared" si="5"/>
        <v/>
      </c>
      <c r="P839" s="25">
        <f t="shared" si="6"/>
        <v>0</v>
      </c>
      <c r="S839" s="25" t="str">
        <f t="shared" si="7"/>
        <v/>
      </c>
    </row>
    <row r="840" ht="15.75" customHeight="1">
      <c r="A840" s="25" t="str">
        <f t="shared" si="1"/>
        <v>P839</v>
      </c>
      <c r="B840" s="25"/>
      <c r="G840" s="25"/>
      <c r="K840" s="25">
        <f t="shared" si="2"/>
        <v>1</v>
      </c>
      <c r="L840" s="25" t="str">
        <f t="shared" si="8"/>
        <v>الأصل</v>
      </c>
      <c r="M840" s="25" t="str">
        <f t="shared" si="3"/>
        <v/>
      </c>
      <c r="N840" s="25" t="str">
        <f t="shared" si="4"/>
        <v/>
      </c>
      <c r="O840" s="25" t="str">
        <f t="shared" si="5"/>
        <v/>
      </c>
      <c r="P840" s="25">
        <f t="shared" si="6"/>
        <v>0</v>
      </c>
      <c r="S840" s="25" t="str">
        <f t="shared" si="7"/>
        <v/>
      </c>
    </row>
    <row r="841" ht="15.75" customHeight="1">
      <c r="A841" s="25" t="str">
        <f t="shared" si="1"/>
        <v>P840</v>
      </c>
      <c r="B841" s="25"/>
      <c r="G841" s="25"/>
      <c r="K841" s="25">
        <f t="shared" si="2"/>
        <v>1</v>
      </c>
      <c r="L841" s="25" t="str">
        <f t="shared" si="8"/>
        <v>الأصل</v>
      </c>
      <c r="M841" s="25" t="str">
        <f t="shared" si="3"/>
        <v/>
      </c>
      <c r="N841" s="25" t="str">
        <f t="shared" si="4"/>
        <v/>
      </c>
      <c r="O841" s="25" t="str">
        <f t="shared" si="5"/>
        <v/>
      </c>
      <c r="P841" s="25">
        <f t="shared" si="6"/>
        <v>0</v>
      </c>
      <c r="S841" s="25" t="str">
        <f t="shared" si="7"/>
        <v/>
      </c>
    </row>
    <row r="842" ht="15.75" customHeight="1">
      <c r="A842" s="25" t="str">
        <f t="shared" si="1"/>
        <v>P841</v>
      </c>
      <c r="B842" s="25"/>
      <c r="G842" s="25"/>
      <c r="K842" s="25">
        <f t="shared" si="2"/>
        <v>1</v>
      </c>
      <c r="L842" s="25" t="str">
        <f t="shared" si="8"/>
        <v>الأصل</v>
      </c>
      <c r="M842" s="25" t="str">
        <f t="shared" si="3"/>
        <v/>
      </c>
      <c r="N842" s="25" t="str">
        <f t="shared" si="4"/>
        <v/>
      </c>
      <c r="O842" s="25" t="str">
        <f t="shared" si="5"/>
        <v/>
      </c>
      <c r="P842" s="25">
        <f t="shared" si="6"/>
        <v>0</v>
      </c>
      <c r="S842" s="25" t="str">
        <f t="shared" si="7"/>
        <v/>
      </c>
    </row>
    <row r="843" ht="15.75" customHeight="1">
      <c r="A843" s="25" t="str">
        <f t="shared" si="1"/>
        <v>P842</v>
      </c>
      <c r="B843" s="25"/>
      <c r="G843" s="25"/>
      <c r="K843" s="25">
        <f t="shared" si="2"/>
        <v>1</v>
      </c>
      <c r="L843" s="25" t="str">
        <f t="shared" si="8"/>
        <v>الأصل</v>
      </c>
      <c r="M843" s="25" t="str">
        <f t="shared" si="3"/>
        <v/>
      </c>
      <c r="N843" s="25" t="str">
        <f t="shared" si="4"/>
        <v/>
      </c>
      <c r="O843" s="25" t="str">
        <f t="shared" si="5"/>
        <v/>
      </c>
      <c r="P843" s="25">
        <f t="shared" si="6"/>
        <v>0</v>
      </c>
      <c r="S843" s="25" t="str">
        <f t="shared" si="7"/>
        <v/>
      </c>
    </row>
    <row r="844" ht="15.75" customHeight="1">
      <c r="A844" s="25" t="str">
        <f t="shared" si="1"/>
        <v>P843</v>
      </c>
      <c r="B844" s="25"/>
      <c r="G844" s="25"/>
      <c r="K844" s="25">
        <f t="shared" si="2"/>
        <v>1</v>
      </c>
      <c r="L844" s="25" t="str">
        <f t="shared" si="8"/>
        <v>الأصل</v>
      </c>
      <c r="M844" s="25" t="str">
        <f t="shared" si="3"/>
        <v/>
      </c>
      <c r="N844" s="25" t="str">
        <f t="shared" si="4"/>
        <v/>
      </c>
      <c r="O844" s="25" t="str">
        <f t="shared" si="5"/>
        <v/>
      </c>
      <c r="P844" s="25">
        <f t="shared" si="6"/>
        <v>0</v>
      </c>
      <c r="S844" s="25" t="str">
        <f t="shared" si="7"/>
        <v/>
      </c>
    </row>
    <row r="845" ht="15.75" customHeight="1">
      <c r="A845" s="25" t="str">
        <f t="shared" si="1"/>
        <v>P844</v>
      </c>
      <c r="B845" s="25"/>
      <c r="G845" s="25"/>
      <c r="K845" s="25">
        <f t="shared" si="2"/>
        <v>1</v>
      </c>
      <c r="L845" s="25" t="str">
        <f t="shared" si="8"/>
        <v>الأصل</v>
      </c>
      <c r="M845" s="25" t="str">
        <f t="shared" si="3"/>
        <v/>
      </c>
      <c r="N845" s="25" t="str">
        <f t="shared" si="4"/>
        <v/>
      </c>
      <c r="O845" s="25" t="str">
        <f t="shared" si="5"/>
        <v/>
      </c>
      <c r="P845" s="25">
        <f t="shared" si="6"/>
        <v>0</v>
      </c>
      <c r="S845" s="25" t="str">
        <f t="shared" si="7"/>
        <v/>
      </c>
    </row>
    <row r="846" ht="15.75" customHeight="1">
      <c r="A846" s="25" t="str">
        <f t="shared" si="1"/>
        <v>P845</v>
      </c>
      <c r="B846" s="25"/>
      <c r="G846" s="25"/>
      <c r="K846" s="25">
        <f t="shared" si="2"/>
        <v>1</v>
      </c>
      <c r="L846" s="25" t="str">
        <f t="shared" si="8"/>
        <v>الأصل</v>
      </c>
      <c r="M846" s="25" t="str">
        <f t="shared" si="3"/>
        <v/>
      </c>
      <c r="N846" s="25" t="str">
        <f t="shared" si="4"/>
        <v/>
      </c>
      <c r="O846" s="25" t="str">
        <f t="shared" si="5"/>
        <v/>
      </c>
      <c r="P846" s="25">
        <f t="shared" si="6"/>
        <v>0</v>
      </c>
      <c r="S846" s="25" t="str">
        <f t="shared" si="7"/>
        <v/>
      </c>
    </row>
    <row r="847" ht="15.75" customHeight="1">
      <c r="A847" s="25" t="str">
        <f t="shared" si="1"/>
        <v>P846</v>
      </c>
      <c r="B847" s="25"/>
      <c r="G847" s="25"/>
      <c r="K847" s="25">
        <f t="shared" si="2"/>
        <v>1</v>
      </c>
      <c r="L847" s="25" t="str">
        <f t="shared" si="8"/>
        <v>الأصل</v>
      </c>
      <c r="M847" s="25" t="str">
        <f t="shared" si="3"/>
        <v/>
      </c>
      <c r="N847" s="25" t="str">
        <f t="shared" si="4"/>
        <v/>
      </c>
      <c r="O847" s="25" t="str">
        <f t="shared" si="5"/>
        <v/>
      </c>
      <c r="P847" s="25">
        <f t="shared" si="6"/>
        <v>0</v>
      </c>
      <c r="S847" s="25" t="str">
        <f t="shared" si="7"/>
        <v/>
      </c>
    </row>
    <row r="848" ht="15.75" customHeight="1">
      <c r="A848" s="25" t="str">
        <f t="shared" si="1"/>
        <v>P847</v>
      </c>
      <c r="B848" s="25"/>
      <c r="G848" s="25"/>
      <c r="K848" s="25">
        <f t="shared" si="2"/>
        <v>1</v>
      </c>
      <c r="L848" s="25" t="str">
        <f t="shared" si="8"/>
        <v>الأصل</v>
      </c>
      <c r="M848" s="25" t="str">
        <f t="shared" si="3"/>
        <v/>
      </c>
      <c r="N848" s="25" t="str">
        <f t="shared" si="4"/>
        <v/>
      </c>
      <c r="O848" s="25" t="str">
        <f t="shared" si="5"/>
        <v/>
      </c>
      <c r="P848" s="25">
        <f t="shared" si="6"/>
        <v>0</v>
      </c>
      <c r="S848" s="25" t="str">
        <f t="shared" si="7"/>
        <v/>
      </c>
    </row>
    <row r="849" ht="15.75" customHeight="1">
      <c r="A849" s="25" t="str">
        <f t="shared" si="1"/>
        <v>P848</v>
      </c>
      <c r="B849" s="25"/>
      <c r="G849" s="25"/>
      <c r="K849" s="25">
        <f t="shared" si="2"/>
        <v>1</v>
      </c>
      <c r="L849" s="25" t="str">
        <f t="shared" si="8"/>
        <v>الأصل</v>
      </c>
      <c r="M849" s="25" t="str">
        <f t="shared" si="3"/>
        <v/>
      </c>
      <c r="N849" s="25" t="str">
        <f t="shared" si="4"/>
        <v/>
      </c>
      <c r="O849" s="25" t="str">
        <f t="shared" si="5"/>
        <v/>
      </c>
      <c r="P849" s="25">
        <f t="shared" si="6"/>
        <v>0</v>
      </c>
      <c r="S849" s="25" t="str">
        <f t="shared" si="7"/>
        <v/>
      </c>
    </row>
    <row r="850" ht="15.75" customHeight="1">
      <c r="A850" s="25" t="str">
        <f t="shared" si="1"/>
        <v>P849</v>
      </c>
      <c r="B850" s="25"/>
      <c r="G850" s="25"/>
      <c r="K850" s="25">
        <f t="shared" si="2"/>
        <v>1</v>
      </c>
      <c r="L850" s="25" t="str">
        <f t="shared" si="8"/>
        <v>الأصل</v>
      </c>
      <c r="M850" s="25" t="str">
        <f t="shared" si="3"/>
        <v/>
      </c>
      <c r="N850" s="25" t="str">
        <f t="shared" si="4"/>
        <v/>
      </c>
      <c r="O850" s="25" t="str">
        <f t="shared" si="5"/>
        <v/>
      </c>
      <c r="P850" s="25">
        <f t="shared" si="6"/>
        <v>0</v>
      </c>
      <c r="S850" s="25" t="str">
        <f t="shared" si="7"/>
        <v/>
      </c>
    </row>
    <row r="851" ht="15.75" customHeight="1">
      <c r="A851" s="25" t="str">
        <f t="shared" si="1"/>
        <v>P850</v>
      </c>
      <c r="B851" s="25"/>
      <c r="G851" s="25"/>
      <c r="K851" s="25">
        <f t="shared" si="2"/>
        <v>1</v>
      </c>
      <c r="L851" s="25" t="str">
        <f t="shared" si="8"/>
        <v>الأصل</v>
      </c>
      <c r="M851" s="25" t="str">
        <f t="shared" si="3"/>
        <v/>
      </c>
      <c r="N851" s="25" t="str">
        <f t="shared" si="4"/>
        <v/>
      </c>
      <c r="O851" s="25" t="str">
        <f t="shared" si="5"/>
        <v/>
      </c>
      <c r="P851" s="25">
        <f t="shared" si="6"/>
        <v>0</v>
      </c>
      <c r="S851" s="25" t="str">
        <f t="shared" si="7"/>
        <v/>
      </c>
    </row>
    <row r="852" ht="15.75" customHeight="1">
      <c r="A852" s="25" t="str">
        <f t="shared" si="1"/>
        <v>P851</v>
      </c>
      <c r="B852" s="25"/>
      <c r="G852" s="25"/>
      <c r="K852" s="25">
        <f t="shared" si="2"/>
        <v>1</v>
      </c>
      <c r="L852" s="25" t="str">
        <f t="shared" si="8"/>
        <v>الأصل</v>
      </c>
      <c r="M852" s="25" t="str">
        <f t="shared" si="3"/>
        <v/>
      </c>
      <c r="N852" s="25" t="str">
        <f t="shared" si="4"/>
        <v/>
      </c>
      <c r="O852" s="25" t="str">
        <f t="shared" si="5"/>
        <v/>
      </c>
      <c r="P852" s="25">
        <f t="shared" si="6"/>
        <v>0</v>
      </c>
      <c r="S852" s="25" t="str">
        <f t="shared" si="7"/>
        <v/>
      </c>
    </row>
    <row r="853" ht="15.75" customHeight="1">
      <c r="A853" s="25" t="str">
        <f t="shared" si="1"/>
        <v>P852</v>
      </c>
      <c r="B853" s="25"/>
      <c r="G853" s="25"/>
      <c r="K853" s="25">
        <f t="shared" si="2"/>
        <v>1</v>
      </c>
      <c r="L853" s="25" t="str">
        <f t="shared" si="8"/>
        <v>الأصل</v>
      </c>
      <c r="M853" s="25" t="str">
        <f t="shared" si="3"/>
        <v/>
      </c>
      <c r="N853" s="25" t="str">
        <f t="shared" si="4"/>
        <v/>
      </c>
      <c r="O853" s="25" t="str">
        <f t="shared" si="5"/>
        <v/>
      </c>
      <c r="P853" s="25">
        <f t="shared" si="6"/>
        <v>0</v>
      </c>
      <c r="S853" s="25" t="str">
        <f t="shared" si="7"/>
        <v/>
      </c>
    </row>
    <row r="854" ht="15.75" customHeight="1">
      <c r="A854" s="25" t="str">
        <f t="shared" si="1"/>
        <v>P853</v>
      </c>
      <c r="B854" s="25"/>
      <c r="G854" s="25"/>
      <c r="K854" s="25">
        <f t="shared" si="2"/>
        <v>1</v>
      </c>
      <c r="L854" s="25" t="str">
        <f t="shared" si="8"/>
        <v>الأصل</v>
      </c>
      <c r="M854" s="25" t="str">
        <f t="shared" si="3"/>
        <v/>
      </c>
      <c r="N854" s="25" t="str">
        <f t="shared" si="4"/>
        <v/>
      </c>
      <c r="O854" s="25" t="str">
        <f t="shared" si="5"/>
        <v/>
      </c>
      <c r="P854" s="25">
        <f t="shared" si="6"/>
        <v>0</v>
      </c>
      <c r="S854" s="25" t="str">
        <f t="shared" si="7"/>
        <v/>
      </c>
    </row>
    <row r="855" ht="15.75" customHeight="1">
      <c r="A855" s="25" t="str">
        <f t="shared" si="1"/>
        <v>P854</v>
      </c>
      <c r="B855" s="25"/>
      <c r="G855" s="25"/>
      <c r="K855" s="25">
        <f t="shared" si="2"/>
        <v>1</v>
      </c>
      <c r="L855" s="25" t="str">
        <f t="shared" si="8"/>
        <v>الأصل</v>
      </c>
      <c r="M855" s="25" t="str">
        <f t="shared" si="3"/>
        <v/>
      </c>
      <c r="N855" s="25" t="str">
        <f t="shared" si="4"/>
        <v/>
      </c>
      <c r="O855" s="25" t="str">
        <f t="shared" si="5"/>
        <v/>
      </c>
      <c r="P855" s="25">
        <f t="shared" si="6"/>
        <v>0</v>
      </c>
      <c r="S855" s="25" t="str">
        <f t="shared" si="7"/>
        <v/>
      </c>
    </row>
    <row r="856" ht="15.75" customHeight="1">
      <c r="A856" s="25" t="str">
        <f t="shared" si="1"/>
        <v>P855</v>
      </c>
      <c r="B856" s="25"/>
      <c r="G856" s="25"/>
      <c r="K856" s="25">
        <f t="shared" si="2"/>
        <v>1</v>
      </c>
      <c r="L856" s="25" t="str">
        <f t="shared" si="8"/>
        <v>الأصل</v>
      </c>
      <c r="M856" s="25" t="str">
        <f t="shared" si="3"/>
        <v/>
      </c>
      <c r="N856" s="25" t="str">
        <f t="shared" si="4"/>
        <v/>
      </c>
      <c r="O856" s="25" t="str">
        <f t="shared" si="5"/>
        <v/>
      </c>
      <c r="P856" s="25">
        <f t="shared" si="6"/>
        <v>0</v>
      </c>
      <c r="S856" s="25" t="str">
        <f t="shared" si="7"/>
        <v/>
      </c>
    </row>
    <row r="857" ht="15.75" customHeight="1">
      <c r="A857" s="25" t="str">
        <f t="shared" si="1"/>
        <v>P856</v>
      </c>
      <c r="B857" s="25"/>
      <c r="G857" s="25"/>
      <c r="K857" s="25">
        <f t="shared" si="2"/>
        <v>1</v>
      </c>
      <c r="L857" s="25" t="str">
        <f t="shared" si="8"/>
        <v>الأصل</v>
      </c>
      <c r="M857" s="25" t="str">
        <f t="shared" si="3"/>
        <v/>
      </c>
      <c r="N857" s="25" t="str">
        <f t="shared" si="4"/>
        <v/>
      </c>
      <c r="O857" s="25" t="str">
        <f t="shared" si="5"/>
        <v/>
      </c>
      <c r="P857" s="25">
        <f t="shared" si="6"/>
        <v>0</v>
      </c>
      <c r="S857" s="25" t="str">
        <f t="shared" si="7"/>
        <v/>
      </c>
    </row>
    <row r="858" ht="15.75" customHeight="1">
      <c r="A858" s="25" t="str">
        <f t="shared" si="1"/>
        <v>P857</v>
      </c>
      <c r="B858" s="25"/>
      <c r="G858" s="25"/>
      <c r="K858" s="25">
        <f t="shared" si="2"/>
        <v>1</v>
      </c>
      <c r="L858" s="25" t="str">
        <f t="shared" si="8"/>
        <v>الأصل</v>
      </c>
      <c r="M858" s="25" t="str">
        <f t="shared" si="3"/>
        <v/>
      </c>
      <c r="N858" s="25" t="str">
        <f t="shared" si="4"/>
        <v/>
      </c>
      <c r="O858" s="25" t="str">
        <f t="shared" si="5"/>
        <v/>
      </c>
      <c r="P858" s="25">
        <f t="shared" si="6"/>
        <v>0</v>
      </c>
      <c r="S858" s="25" t="str">
        <f t="shared" si="7"/>
        <v/>
      </c>
    </row>
    <row r="859" ht="15.75" customHeight="1">
      <c r="A859" s="25" t="str">
        <f t="shared" si="1"/>
        <v>P858</v>
      </c>
      <c r="B859" s="25"/>
      <c r="G859" s="25"/>
      <c r="K859" s="25">
        <f t="shared" si="2"/>
        <v>1</v>
      </c>
      <c r="L859" s="25" t="str">
        <f t="shared" si="8"/>
        <v>الأصل</v>
      </c>
      <c r="M859" s="25" t="str">
        <f t="shared" si="3"/>
        <v/>
      </c>
      <c r="N859" s="25" t="str">
        <f t="shared" si="4"/>
        <v/>
      </c>
      <c r="O859" s="25" t="str">
        <f t="shared" si="5"/>
        <v/>
      </c>
      <c r="P859" s="25">
        <f t="shared" si="6"/>
        <v>0</v>
      </c>
      <c r="S859" s="25" t="str">
        <f t="shared" si="7"/>
        <v/>
      </c>
    </row>
    <row r="860" ht="15.75" customHeight="1">
      <c r="A860" s="25" t="str">
        <f t="shared" si="1"/>
        <v>P859</v>
      </c>
      <c r="B860" s="25"/>
      <c r="G860" s="25"/>
      <c r="K860" s="25">
        <f t="shared" si="2"/>
        <v>1</v>
      </c>
      <c r="L860" s="25" t="str">
        <f t="shared" si="8"/>
        <v>الأصل</v>
      </c>
      <c r="M860" s="25" t="str">
        <f t="shared" si="3"/>
        <v/>
      </c>
      <c r="N860" s="25" t="str">
        <f t="shared" si="4"/>
        <v/>
      </c>
      <c r="O860" s="25" t="str">
        <f t="shared" si="5"/>
        <v/>
      </c>
      <c r="P860" s="25">
        <f t="shared" si="6"/>
        <v>0</v>
      </c>
      <c r="S860" s="25" t="str">
        <f t="shared" si="7"/>
        <v/>
      </c>
    </row>
    <row r="861" ht="15.75" customHeight="1">
      <c r="A861" s="25" t="str">
        <f t="shared" si="1"/>
        <v>P860</v>
      </c>
      <c r="B861" s="25"/>
      <c r="G861" s="25"/>
      <c r="K861" s="25">
        <f t="shared" si="2"/>
        <v>1</v>
      </c>
      <c r="L861" s="25" t="str">
        <f t="shared" si="8"/>
        <v>الأصل</v>
      </c>
      <c r="M861" s="25" t="str">
        <f t="shared" si="3"/>
        <v/>
      </c>
      <c r="N861" s="25" t="str">
        <f t="shared" si="4"/>
        <v/>
      </c>
      <c r="O861" s="25" t="str">
        <f t="shared" si="5"/>
        <v/>
      </c>
      <c r="P861" s="25">
        <f t="shared" si="6"/>
        <v>0</v>
      </c>
      <c r="S861" s="25" t="str">
        <f t="shared" si="7"/>
        <v/>
      </c>
    </row>
    <row r="862" ht="15.75" customHeight="1">
      <c r="A862" s="25" t="str">
        <f t="shared" si="1"/>
        <v>P861</v>
      </c>
      <c r="B862" s="25"/>
      <c r="G862" s="25"/>
      <c r="K862" s="25">
        <f t="shared" si="2"/>
        <v>1</v>
      </c>
      <c r="L862" s="25" t="str">
        <f t="shared" si="8"/>
        <v>الأصل</v>
      </c>
      <c r="M862" s="25" t="str">
        <f t="shared" si="3"/>
        <v/>
      </c>
      <c r="N862" s="25" t="str">
        <f t="shared" si="4"/>
        <v/>
      </c>
      <c r="O862" s="25" t="str">
        <f t="shared" si="5"/>
        <v/>
      </c>
      <c r="P862" s="25">
        <f t="shared" si="6"/>
        <v>0</v>
      </c>
      <c r="S862" s="25" t="str">
        <f t="shared" si="7"/>
        <v/>
      </c>
    </row>
    <row r="863" ht="15.75" customHeight="1">
      <c r="A863" s="25" t="str">
        <f t="shared" si="1"/>
        <v>P862</v>
      </c>
      <c r="B863" s="25"/>
      <c r="G863" s="25"/>
      <c r="K863" s="25">
        <f t="shared" si="2"/>
        <v>1</v>
      </c>
      <c r="L863" s="25" t="str">
        <f t="shared" si="8"/>
        <v>الأصل</v>
      </c>
      <c r="M863" s="25" t="str">
        <f t="shared" si="3"/>
        <v/>
      </c>
      <c r="N863" s="25" t="str">
        <f t="shared" si="4"/>
        <v/>
      </c>
      <c r="O863" s="25" t="str">
        <f t="shared" si="5"/>
        <v/>
      </c>
      <c r="P863" s="25">
        <f t="shared" si="6"/>
        <v>0</v>
      </c>
      <c r="S863" s="25" t="str">
        <f t="shared" si="7"/>
        <v/>
      </c>
    </row>
    <row r="864" ht="15.75" customHeight="1">
      <c r="A864" s="25" t="str">
        <f t="shared" si="1"/>
        <v>P863</v>
      </c>
      <c r="B864" s="25"/>
      <c r="G864" s="25"/>
      <c r="K864" s="25">
        <f t="shared" si="2"/>
        <v>1</v>
      </c>
      <c r="L864" s="25" t="str">
        <f t="shared" si="8"/>
        <v>الأصل</v>
      </c>
      <c r="M864" s="25" t="str">
        <f t="shared" si="3"/>
        <v/>
      </c>
      <c r="N864" s="25" t="str">
        <f t="shared" si="4"/>
        <v/>
      </c>
      <c r="O864" s="25" t="str">
        <f t="shared" si="5"/>
        <v/>
      </c>
      <c r="P864" s="25">
        <f t="shared" si="6"/>
        <v>0</v>
      </c>
      <c r="S864" s="25" t="str">
        <f t="shared" si="7"/>
        <v/>
      </c>
    </row>
    <row r="865" ht="15.75" customHeight="1">
      <c r="A865" s="25" t="str">
        <f t="shared" si="1"/>
        <v>P864</v>
      </c>
      <c r="B865" s="25"/>
      <c r="G865" s="25"/>
      <c r="K865" s="25">
        <f t="shared" si="2"/>
        <v>1</v>
      </c>
      <c r="L865" s="25" t="str">
        <f t="shared" si="8"/>
        <v>الأصل</v>
      </c>
      <c r="M865" s="25" t="str">
        <f t="shared" si="3"/>
        <v/>
      </c>
      <c r="N865" s="25" t="str">
        <f t="shared" si="4"/>
        <v/>
      </c>
      <c r="O865" s="25" t="str">
        <f t="shared" si="5"/>
        <v/>
      </c>
      <c r="P865" s="25">
        <f t="shared" si="6"/>
        <v>0</v>
      </c>
      <c r="S865" s="25" t="str">
        <f t="shared" si="7"/>
        <v/>
      </c>
    </row>
    <row r="866" ht="15.75" customHeight="1">
      <c r="A866" s="25" t="str">
        <f t="shared" si="1"/>
        <v>P865</v>
      </c>
      <c r="B866" s="25"/>
      <c r="G866" s="25"/>
      <c r="K866" s="25">
        <f t="shared" si="2"/>
        <v>1</v>
      </c>
      <c r="L866" s="25" t="str">
        <f t="shared" si="8"/>
        <v>الأصل</v>
      </c>
      <c r="M866" s="25" t="str">
        <f t="shared" si="3"/>
        <v/>
      </c>
      <c r="N866" s="25" t="str">
        <f t="shared" si="4"/>
        <v/>
      </c>
      <c r="O866" s="25" t="str">
        <f t="shared" si="5"/>
        <v/>
      </c>
      <c r="P866" s="25">
        <f t="shared" si="6"/>
        <v>0</v>
      </c>
      <c r="S866" s="25" t="str">
        <f t="shared" si="7"/>
        <v/>
      </c>
    </row>
    <row r="867" ht="15.75" customHeight="1">
      <c r="A867" s="25" t="str">
        <f t="shared" si="1"/>
        <v>P866</v>
      </c>
      <c r="B867" s="25"/>
      <c r="G867" s="25"/>
      <c r="K867" s="25">
        <f t="shared" si="2"/>
        <v>1</v>
      </c>
      <c r="L867" s="25" t="str">
        <f t="shared" si="8"/>
        <v>الأصل</v>
      </c>
      <c r="M867" s="25" t="str">
        <f t="shared" si="3"/>
        <v/>
      </c>
      <c r="N867" s="25" t="str">
        <f t="shared" si="4"/>
        <v/>
      </c>
      <c r="O867" s="25" t="str">
        <f t="shared" si="5"/>
        <v/>
      </c>
      <c r="P867" s="25">
        <f t="shared" si="6"/>
        <v>0</v>
      </c>
      <c r="S867" s="25" t="str">
        <f t="shared" si="7"/>
        <v/>
      </c>
    </row>
    <row r="868" ht="15.75" customHeight="1">
      <c r="A868" s="25" t="str">
        <f t="shared" si="1"/>
        <v>P867</v>
      </c>
      <c r="B868" s="25"/>
      <c r="G868" s="25"/>
      <c r="K868" s="25">
        <f t="shared" si="2"/>
        <v>1</v>
      </c>
      <c r="L868" s="25" t="str">
        <f t="shared" si="8"/>
        <v>الأصل</v>
      </c>
      <c r="M868" s="25" t="str">
        <f t="shared" si="3"/>
        <v/>
      </c>
      <c r="N868" s="25" t="str">
        <f t="shared" si="4"/>
        <v/>
      </c>
      <c r="O868" s="25" t="str">
        <f t="shared" si="5"/>
        <v/>
      </c>
      <c r="P868" s="25">
        <f t="shared" si="6"/>
        <v>0</v>
      </c>
      <c r="S868" s="25" t="str">
        <f t="shared" si="7"/>
        <v/>
      </c>
    </row>
    <row r="869" ht="15.75" customHeight="1">
      <c r="A869" s="25" t="str">
        <f t="shared" si="1"/>
        <v>P868</v>
      </c>
      <c r="B869" s="25"/>
      <c r="G869" s="25"/>
      <c r="K869" s="25">
        <f t="shared" si="2"/>
        <v>1</v>
      </c>
      <c r="L869" s="25" t="str">
        <f t="shared" si="8"/>
        <v>الأصل</v>
      </c>
      <c r="M869" s="25" t="str">
        <f t="shared" si="3"/>
        <v/>
      </c>
      <c r="N869" s="25" t="str">
        <f t="shared" si="4"/>
        <v/>
      </c>
      <c r="O869" s="25" t="str">
        <f t="shared" si="5"/>
        <v/>
      </c>
      <c r="P869" s="25">
        <f t="shared" si="6"/>
        <v>0</v>
      </c>
      <c r="S869" s="25" t="str">
        <f t="shared" si="7"/>
        <v/>
      </c>
    </row>
    <row r="870" ht="15.75" customHeight="1">
      <c r="A870" s="25" t="str">
        <f t="shared" si="1"/>
        <v>P869</v>
      </c>
      <c r="B870" s="25"/>
      <c r="G870" s="25"/>
      <c r="K870" s="25">
        <f t="shared" si="2"/>
        <v>1</v>
      </c>
      <c r="L870" s="25" t="str">
        <f t="shared" si="8"/>
        <v>الأصل</v>
      </c>
      <c r="M870" s="25" t="str">
        <f t="shared" si="3"/>
        <v/>
      </c>
      <c r="N870" s="25" t="str">
        <f t="shared" si="4"/>
        <v/>
      </c>
      <c r="O870" s="25" t="str">
        <f t="shared" si="5"/>
        <v/>
      </c>
      <c r="P870" s="25">
        <f t="shared" si="6"/>
        <v>0</v>
      </c>
      <c r="S870" s="25" t="str">
        <f t="shared" si="7"/>
        <v/>
      </c>
    </row>
    <row r="871" ht="15.75" customHeight="1">
      <c r="A871" s="25" t="str">
        <f t="shared" si="1"/>
        <v>P870</v>
      </c>
      <c r="B871" s="25"/>
      <c r="G871" s="25"/>
      <c r="K871" s="25">
        <f t="shared" si="2"/>
        <v>1</v>
      </c>
      <c r="L871" s="25" t="str">
        <f t="shared" si="8"/>
        <v>الأصل</v>
      </c>
      <c r="M871" s="25" t="str">
        <f t="shared" si="3"/>
        <v/>
      </c>
      <c r="N871" s="25" t="str">
        <f t="shared" si="4"/>
        <v/>
      </c>
      <c r="O871" s="25" t="str">
        <f t="shared" si="5"/>
        <v/>
      </c>
      <c r="P871" s="25">
        <f t="shared" si="6"/>
        <v>0</v>
      </c>
      <c r="S871" s="25" t="str">
        <f t="shared" si="7"/>
        <v/>
      </c>
    </row>
    <row r="872" ht="15.75" customHeight="1">
      <c r="A872" s="25" t="str">
        <f t="shared" si="1"/>
        <v>P871</v>
      </c>
      <c r="B872" s="25"/>
      <c r="G872" s="25"/>
      <c r="K872" s="25">
        <f t="shared" si="2"/>
        <v>1</v>
      </c>
      <c r="L872" s="25" t="str">
        <f t="shared" si="8"/>
        <v>الأصل</v>
      </c>
      <c r="M872" s="25" t="str">
        <f t="shared" si="3"/>
        <v/>
      </c>
      <c r="N872" s="25" t="str">
        <f t="shared" si="4"/>
        <v/>
      </c>
      <c r="O872" s="25" t="str">
        <f t="shared" si="5"/>
        <v/>
      </c>
      <c r="P872" s="25">
        <f t="shared" si="6"/>
        <v>0</v>
      </c>
      <c r="S872" s="25" t="str">
        <f t="shared" si="7"/>
        <v/>
      </c>
    </row>
    <row r="873" ht="15.75" customHeight="1">
      <c r="A873" s="25" t="str">
        <f t="shared" si="1"/>
        <v>P872</v>
      </c>
      <c r="B873" s="25"/>
      <c r="G873" s="25"/>
      <c r="K873" s="25">
        <f t="shared" si="2"/>
        <v>1</v>
      </c>
      <c r="L873" s="25" t="str">
        <f t="shared" si="8"/>
        <v>الأصل</v>
      </c>
      <c r="M873" s="25" t="str">
        <f t="shared" si="3"/>
        <v/>
      </c>
      <c r="N873" s="25" t="str">
        <f t="shared" si="4"/>
        <v/>
      </c>
      <c r="O873" s="25" t="str">
        <f t="shared" si="5"/>
        <v/>
      </c>
      <c r="P873" s="25">
        <f t="shared" si="6"/>
        <v>0</v>
      </c>
      <c r="S873" s="25" t="str">
        <f t="shared" si="7"/>
        <v/>
      </c>
    </row>
    <row r="874" ht="15.75" customHeight="1">
      <c r="A874" s="25" t="str">
        <f t="shared" si="1"/>
        <v>P873</v>
      </c>
      <c r="B874" s="25"/>
      <c r="G874" s="25"/>
      <c r="K874" s="25">
        <f t="shared" si="2"/>
        <v>1</v>
      </c>
      <c r="L874" s="25" t="str">
        <f t="shared" si="8"/>
        <v>الأصل</v>
      </c>
      <c r="M874" s="25" t="str">
        <f t="shared" si="3"/>
        <v/>
      </c>
      <c r="N874" s="25" t="str">
        <f t="shared" si="4"/>
        <v/>
      </c>
      <c r="O874" s="25" t="str">
        <f t="shared" si="5"/>
        <v/>
      </c>
      <c r="P874" s="25">
        <f t="shared" si="6"/>
        <v>0</v>
      </c>
      <c r="S874" s="25" t="str">
        <f t="shared" si="7"/>
        <v/>
      </c>
    </row>
    <row r="875" ht="15.75" customHeight="1">
      <c r="A875" s="25" t="str">
        <f t="shared" si="1"/>
        <v>P874</v>
      </c>
      <c r="B875" s="25"/>
      <c r="G875" s="25"/>
      <c r="K875" s="25">
        <f t="shared" si="2"/>
        <v>1</v>
      </c>
      <c r="L875" s="25" t="str">
        <f t="shared" si="8"/>
        <v>الأصل</v>
      </c>
      <c r="M875" s="25" t="str">
        <f t="shared" si="3"/>
        <v/>
      </c>
      <c r="N875" s="25" t="str">
        <f t="shared" si="4"/>
        <v/>
      </c>
      <c r="O875" s="25" t="str">
        <f t="shared" si="5"/>
        <v/>
      </c>
      <c r="P875" s="25">
        <f t="shared" si="6"/>
        <v>0</v>
      </c>
      <c r="S875" s="25" t="str">
        <f t="shared" si="7"/>
        <v/>
      </c>
    </row>
    <row r="876" ht="15.75" customHeight="1">
      <c r="A876" s="25" t="str">
        <f t="shared" si="1"/>
        <v>P875</v>
      </c>
      <c r="B876" s="25"/>
      <c r="G876" s="25"/>
      <c r="K876" s="25">
        <f t="shared" si="2"/>
        <v>1</v>
      </c>
      <c r="L876" s="25" t="str">
        <f t="shared" si="8"/>
        <v>الأصل</v>
      </c>
      <c r="M876" s="25" t="str">
        <f t="shared" si="3"/>
        <v/>
      </c>
      <c r="N876" s="25" t="str">
        <f t="shared" si="4"/>
        <v/>
      </c>
      <c r="O876" s="25" t="str">
        <f t="shared" si="5"/>
        <v/>
      </c>
      <c r="P876" s="25">
        <f t="shared" si="6"/>
        <v>0</v>
      </c>
      <c r="S876" s="25" t="str">
        <f t="shared" si="7"/>
        <v/>
      </c>
    </row>
    <row r="877" ht="15.75" customHeight="1">
      <c r="A877" s="25" t="str">
        <f t="shared" si="1"/>
        <v>P876</v>
      </c>
      <c r="B877" s="25"/>
      <c r="G877" s="25"/>
      <c r="K877" s="25">
        <f t="shared" si="2"/>
        <v>1</v>
      </c>
      <c r="L877" s="25" t="str">
        <f t="shared" si="8"/>
        <v>الأصل</v>
      </c>
      <c r="M877" s="25" t="str">
        <f t="shared" si="3"/>
        <v/>
      </c>
      <c r="N877" s="25" t="str">
        <f t="shared" si="4"/>
        <v/>
      </c>
      <c r="O877" s="25" t="str">
        <f t="shared" si="5"/>
        <v/>
      </c>
      <c r="P877" s="25">
        <f t="shared" si="6"/>
        <v>0</v>
      </c>
      <c r="S877" s="25" t="str">
        <f t="shared" si="7"/>
        <v/>
      </c>
    </row>
    <row r="878" ht="15.75" customHeight="1">
      <c r="A878" s="25" t="str">
        <f t="shared" si="1"/>
        <v>P877</v>
      </c>
      <c r="B878" s="25"/>
      <c r="G878" s="25"/>
      <c r="K878" s="25">
        <f t="shared" si="2"/>
        <v>1</v>
      </c>
      <c r="L878" s="25" t="str">
        <f t="shared" si="8"/>
        <v>الأصل</v>
      </c>
      <c r="M878" s="25" t="str">
        <f t="shared" si="3"/>
        <v/>
      </c>
      <c r="N878" s="25" t="str">
        <f t="shared" si="4"/>
        <v/>
      </c>
      <c r="O878" s="25" t="str">
        <f t="shared" si="5"/>
        <v/>
      </c>
      <c r="P878" s="25">
        <f t="shared" si="6"/>
        <v>0</v>
      </c>
      <c r="S878" s="25" t="str">
        <f t="shared" si="7"/>
        <v/>
      </c>
    </row>
    <row r="879" ht="15.75" customHeight="1">
      <c r="A879" s="25" t="str">
        <f t="shared" si="1"/>
        <v>P878</v>
      </c>
      <c r="B879" s="25"/>
      <c r="G879" s="25"/>
      <c r="K879" s="25">
        <f t="shared" si="2"/>
        <v>1</v>
      </c>
      <c r="L879" s="25" t="str">
        <f t="shared" si="8"/>
        <v>الأصل</v>
      </c>
      <c r="M879" s="25" t="str">
        <f t="shared" si="3"/>
        <v/>
      </c>
      <c r="N879" s="25" t="str">
        <f t="shared" si="4"/>
        <v/>
      </c>
      <c r="O879" s="25" t="str">
        <f t="shared" si="5"/>
        <v/>
      </c>
      <c r="P879" s="25">
        <f t="shared" si="6"/>
        <v>0</v>
      </c>
      <c r="S879" s="25" t="str">
        <f t="shared" si="7"/>
        <v/>
      </c>
    </row>
    <row r="880" ht="15.75" customHeight="1">
      <c r="A880" s="25" t="str">
        <f t="shared" si="1"/>
        <v>P879</v>
      </c>
      <c r="B880" s="25"/>
      <c r="G880" s="25"/>
      <c r="K880" s="25">
        <f t="shared" si="2"/>
        <v>1</v>
      </c>
      <c r="L880" s="25" t="str">
        <f t="shared" si="8"/>
        <v>الأصل</v>
      </c>
      <c r="M880" s="25" t="str">
        <f t="shared" si="3"/>
        <v/>
      </c>
      <c r="N880" s="25" t="str">
        <f t="shared" si="4"/>
        <v/>
      </c>
      <c r="O880" s="25" t="str">
        <f t="shared" si="5"/>
        <v/>
      </c>
      <c r="P880" s="25">
        <f t="shared" si="6"/>
        <v>0</v>
      </c>
      <c r="S880" s="25" t="str">
        <f t="shared" si="7"/>
        <v/>
      </c>
    </row>
    <row r="881" ht="15.75" customHeight="1">
      <c r="A881" s="25" t="str">
        <f t="shared" si="1"/>
        <v>P880</v>
      </c>
      <c r="B881" s="25"/>
      <c r="G881" s="25"/>
      <c r="K881" s="25">
        <f t="shared" si="2"/>
        <v>1</v>
      </c>
      <c r="L881" s="25" t="str">
        <f t="shared" si="8"/>
        <v>الأصل</v>
      </c>
      <c r="M881" s="25" t="str">
        <f t="shared" si="3"/>
        <v/>
      </c>
      <c r="N881" s="25" t="str">
        <f t="shared" si="4"/>
        <v/>
      </c>
      <c r="O881" s="25" t="str">
        <f t="shared" si="5"/>
        <v/>
      </c>
      <c r="P881" s="25">
        <f t="shared" si="6"/>
        <v>0</v>
      </c>
      <c r="S881" s="25" t="str">
        <f t="shared" si="7"/>
        <v/>
      </c>
    </row>
    <row r="882" ht="15.75" customHeight="1">
      <c r="A882" s="25" t="str">
        <f t="shared" si="1"/>
        <v>P881</v>
      </c>
      <c r="B882" s="25"/>
      <c r="G882" s="25"/>
      <c r="K882" s="25">
        <f t="shared" si="2"/>
        <v>1</v>
      </c>
      <c r="L882" s="25" t="str">
        <f t="shared" si="8"/>
        <v>الأصل</v>
      </c>
      <c r="M882" s="25" t="str">
        <f t="shared" si="3"/>
        <v/>
      </c>
      <c r="N882" s="25" t="str">
        <f t="shared" si="4"/>
        <v/>
      </c>
      <c r="O882" s="25" t="str">
        <f t="shared" si="5"/>
        <v/>
      </c>
      <c r="P882" s="25">
        <f t="shared" si="6"/>
        <v>0</v>
      </c>
      <c r="S882" s="25" t="str">
        <f t="shared" si="7"/>
        <v/>
      </c>
    </row>
    <row r="883" ht="15.75" customHeight="1">
      <c r="A883" s="25" t="str">
        <f t="shared" si="1"/>
        <v>P882</v>
      </c>
      <c r="B883" s="25"/>
      <c r="G883" s="25"/>
      <c r="K883" s="25">
        <f t="shared" si="2"/>
        <v>1</v>
      </c>
      <c r="L883" s="25" t="str">
        <f t="shared" si="8"/>
        <v>الأصل</v>
      </c>
      <c r="M883" s="25" t="str">
        <f t="shared" si="3"/>
        <v/>
      </c>
      <c r="N883" s="25" t="str">
        <f t="shared" si="4"/>
        <v/>
      </c>
      <c r="O883" s="25" t="str">
        <f t="shared" si="5"/>
        <v/>
      </c>
      <c r="P883" s="25">
        <f t="shared" si="6"/>
        <v>0</v>
      </c>
      <c r="S883" s="25" t="str">
        <f t="shared" si="7"/>
        <v/>
      </c>
    </row>
    <row r="884" ht="15.75" customHeight="1">
      <c r="A884" s="25" t="str">
        <f t="shared" si="1"/>
        <v>P883</v>
      </c>
      <c r="B884" s="25"/>
      <c r="G884" s="25"/>
      <c r="K884" s="25">
        <f t="shared" si="2"/>
        <v>1</v>
      </c>
      <c r="L884" s="25" t="str">
        <f t="shared" si="8"/>
        <v>الأصل</v>
      </c>
      <c r="M884" s="25" t="str">
        <f t="shared" si="3"/>
        <v/>
      </c>
      <c r="N884" s="25" t="str">
        <f t="shared" si="4"/>
        <v/>
      </c>
      <c r="O884" s="25" t="str">
        <f t="shared" si="5"/>
        <v/>
      </c>
      <c r="P884" s="25">
        <f t="shared" si="6"/>
        <v>0</v>
      </c>
      <c r="S884" s="25" t="str">
        <f t="shared" si="7"/>
        <v/>
      </c>
    </row>
    <row r="885" ht="15.75" customHeight="1">
      <c r="A885" s="25" t="str">
        <f t="shared" si="1"/>
        <v>P884</v>
      </c>
      <c r="B885" s="25"/>
      <c r="G885" s="25"/>
      <c r="K885" s="25">
        <f t="shared" si="2"/>
        <v>1</v>
      </c>
      <c r="L885" s="25" t="str">
        <f t="shared" si="8"/>
        <v>الأصل</v>
      </c>
      <c r="M885" s="25" t="str">
        <f t="shared" si="3"/>
        <v/>
      </c>
      <c r="N885" s="25" t="str">
        <f t="shared" si="4"/>
        <v/>
      </c>
      <c r="O885" s="25" t="str">
        <f t="shared" si="5"/>
        <v/>
      </c>
      <c r="P885" s="25">
        <f t="shared" si="6"/>
        <v>0</v>
      </c>
      <c r="S885" s="25" t="str">
        <f t="shared" si="7"/>
        <v/>
      </c>
    </row>
    <row r="886" ht="15.75" customHeight="1">
      <c r="A886" s="25" t="str">
        <f t="shared" si="1"/>
        <v>P885</v>
      </c>
      <c r="B886" s="25"/>
      <c r="G886" s="25"/>
      <c r="K886" s="25">
        <f t="shared" si="2"/>
        <v>1</v>
      </c>
      <c r="L886" s="25" t="str">
        <f t="shared" si="8"/>
        <v>الأصل</v>
      </c>
      <c r="M886" s="25" t="str">
        <f t="shared" si="3"/>
        <v/>
      </c>
      <c r="N886" s="25" t="str">
        <f t="shared" si="4"/>
        <v/>
      </c>
      <c r="O886" s="25" t="str">
        <f t="shared" si="5"/>
        <v/>
      </c>
      <c r="P886" s="25">
        <f t="shared" si="6"/>
        <v>0</v>
      </c>
      <c r="S886" s="25" t="str">
        <f t="shared" si="7"/>
        <v/>
      </c>
    </row>
    <row r="887" ht="15.75" customHeight="1">
      <c r="A887" s="25" t="str">
        <f t="shared" si="1"/>
        <v>P886</v>
      </c>
      <c r="B887" s="25"/>
      <c r="G887" s="25"/>
      <c r="K887" s="25">
        <f t="shared" si="2"/>
        <v>1</v>
      </c>
      <c r="L887" s="25" t="str">
        <f t="shared" si="8"/>
        <v>الأصل</v>
      </c>
      <c r="M887" s="25" t="str">
        <f t="shared" si="3"/>
        <v/>
      </c>
      <c r="N887" s="25" t="str">
        <f t="shared" si="4"/>
        <v/>
      </c>
      <c r="O887" s="25" t="str">
        <f t="shared" si="5"/>
        <v/>
      </c>
      <c r="P887" s="25">
        <f t="shared" si="6"/>
        <v>0</v>
      </c>
      <c r="S887" s="25" t="str">
        <f t="shared" si="7"/>
        <v/>
      </c>
    </row>
    <row r="888" ht="15.75" customHeight="1">
      <c r="A888" s="25" t="str">
        <f t="shared" si="1"/>
        <v>P887</v>
      </c>
      <c r="B888" s="25"/>
      <c r="G888" s="25"/>
      <c r="K888" s="25">
        <f t="shared" si="2"/>
        <v>1</v>
      </c>
      <c r="L888" s="25" t="str">
        <f t="shared" si="8"/>
        <v>الأصل</v>
      </c>
      <c r="M888" s="25" t="str">
        <f t="shared" si="3"/>
        <v/>
      </c>
      <c r="N888" s="25" t="str">
        <f t="shared" si="4"/>
        <v/>
      </c>
      <c r="O888" s="25" t="str">
        <f t="shared" si="5"/>
        <v/>
      </c>
      <c r="P888" s="25">
        <f t="shared" si="6"/>
        <v>0</v>
      </c>
      <c r="S888" s="25" t="str">
        <f t="shared" si="7"/>
        <v/>
      </c>
    </row>
    <row r="889" ht="15.75" customHeight="1">
      <c r="A889" s="25" t="str">
        <f t="shared" si="1"/>
        <v>P888</v>
      </c>
      <c r="B889" s="25"/>
      <c r="G889" s="25"/>
      <c r="K889" s="25">
        <f t="shared" si="2"/>
        <v>1</v>
      </c>
      <c r="L889" s="25" t="str">
        <f t="shared" si="8"/>
        <v>الأصل</v>
      </c>
      <c r="M889" s="25" t="str">
        <f t="shared" si="3"/>
        <v/>
      </c>
      <c r="N889" s="25" t="str">
        <f t="shared" si="4"/>
        <v/>
      </c>
      <c r="O889" s="25" t="str">
        <f t="shared" si="5"/>
        <v/>
      </c>
      <c r="P889" s="25">
        <f t="shared" si="6"/>
        <v>0</v>
      </c>
      <c r="S889" s="25" t="str">
        <f t="shared" si="7"/>
        <v/>
      </c>
    </row>
    <row r="890" ht="15.75" customHeight="1">
      <c r="A890" s="25" t="str">
        <f t="shared" si="1"/>
        <v>P889</v>
      </c>
      <c r="B890" s="25"/>
      <c r="G890" s="25"/>
      <c r="K890" s="25">
        <f t="shared" si="2"/>
        <v>1</v>
      </c>
      <c r="L890" s="25" t="str">
        <f t="shared" si="8"/>
        <v>الأصل</v>
      </c>
      <c r="M890" s="25" t="str">
        <f t="shared" si="3"/>
        <v/>
      </c>
      <c r="N890" s="25" t="str">
        <f t="shared" si="4"/>
        <v/>
      </c>
      <c r="O890" s="25" t="str">
        <f t="shared" si="5"/>
        <v/>
      </c>
      <c r="P890" s="25">
        <f t="shared" si="6"/>
        <v>0</v>
      </c>
      <c r="S890" s="25" t="str">
        <f t="shared" si="7"/>
        <v/>
      </c>
    </row>
    <row r="891" ht="15.75" customHeight="1">
      <c r="A891" s="25" t="str">
        <f t="shared" si="1"/>
        <v>P890</v>
      </c>
      <c r="B891" s="25"/>
      <c r="G891" s="25"/>
      <c r="K891" s="25">
        <f t="shared" si="2"/>
        <v>1</v>
      </c>
      <c r="L891" s="25" t="str">
        <f t="shared" si="8"/>
        <v>الأصل</v>
      </c>
      <c r="M891" s="25" t="str">
        <f t="shared" si="3"/>
        <v/>
      </c>
      <c r="N891" s="25" t="str">
        <f t="shared" si="4"/>
        <v/>
      </c>
      <c r="O891" s="25" t="str">
        <f t="shared" si="5"/>
        <v/>
      </c>
      <c r="P891" s="25">
        <f t="shared" si="6"/>
        <v>0</v>
      </c>
      <c r="S891" s="25" t="str">
        <f t="shared" si="7"/>
        <v/>
      </c>
    </row>
    <row r="892" ht="15.75" customHeight="1">
      <c r="A892" s="25" t="str">
        <f t="shared" si="1"/>
        <v>P891</v>
      </c>
      <c r="B892" s="25"/>
      <c r="G892" s="25"/>
      <c r="K892" s="25">
        <f t="shared" si="2"/>
        <v>1</v>
      </c>
      <c r="L892" s="25" t="str">
        <f t="shared" si="8"/>
        <v>الأصل</v>
      </c>
      <c r="M892" s="25" t="str">
        <f t="shared" si="3"/>
        <v/>
      </c>
      <c r="N892" s="25" t="str">
        <f t="shared" si="4"/>
        <v/>
      </c>
      <c r="O892" s="25" t="str">
        <f t="shared" si="5"/>
        <v/>
      </c>
      <c r="P892" s="25">
        <f t="shared" si="6"/>
        <v>0</v>
      </c>
      <c r="S892" s="25" t="str">
        <f t="shared" si="7"/>
        <v/>
      </c>
    </row>
    <row r="893" ht="15.75" customHeight="1">
      <c r="A893" s="25" t="str">
        <f t="shared" si="1"/>
        <v>P892</v>
      </c>
      <c r="B893" s="25"/>
      <c r="G893" s="25"/>
      <c r="K893" s="25">
        <f t="shared" si="2"/>
        <v>1</v>
      </c>
      <c r="L893" s="25" t="str">
        <f t="shared" si="8"/>
        <v>الأصل</v>
      </c>
      <c r="M893" s="25" t="str">
        <f t="shared" si="3"/>
        <v/>
      </c>
      <c r="N893" s="25" t="str">
        <f t="shared" si="4"/>
        <v/>
      </c>
      <c r="O893" s="25" t="str">
        <f t="shared" si="5"/>
        <v/>
      </c>
      <c r="P893" s="25">
        <f t="shared" si="6"/>
        <v>0</v>
      </c>
      <c r="S893" s="25" t="str">
        <f t="shared" si="7"/>
        <v/>
      </c>
    </row>
    <row r="894" ht="15.75" customHeight="1">
      <c r="A894" s="25" t="str">
        <f t="shared" si="1"/>
        <v>P893</v>
      </c>
      <c r="B894" s="25"/>
      <c r="G894" s="25"/>
      <c r="K894" s="25">
        <f t="shared" si="2"/>
        <v>1</v>
      </c>
      <c r="L894" s="25" t="str">
        <f t="shared" si="8"/>
        <v>الأصل</v>
      </c>
      <c r="M894" s="25" t="str">
        <f t="shared" si="3"/>
        <v/>
      </c>
      <c r="N894" s="25" t="str">
        <f t="shared" si="4"/>
        <v/>
      </c>
      <c r="O894" s="25" t="str">
        <f t="shared" si="5"/>
        <v/>
      </c>
      <c r="P894" s="25">
        <f t="shared" si="6"/>
        <v>0</v>
      </c>
      <c r="S894" s="25" t="str">
        <f t="shared" si="7"/>
        <v/>
      </c>
    </row>
    <row r="895" ht="15.75" customHeight="1">
      <c r="A895" s="25" t="str">
        <f t="shared" si="1"/>
        <v>P894</v>
      </c>
      <c r="B895" s="25"/>
      <c r="G895" s="25"/>
      <c r="K895" s="25">
        <f t="shared" si="2"/>
        <v>1</v>
      </c>
      <c r="L895" s="25" t="str">
        <f t="shared" si="8"/>
        <v>الأصل</v>
      </c>
      <c r="M895" s="25" t="str">
        <f t="shared" si="3"/>
        <v/>
      </c>
      <c r="N895" s="25" t="str">
        <f t="shared" si="4"/>
        <v/>
      </c>
      <c r="O895" s="25" t="str">
        <f t="shared" si="5"/>
        <v/>
      </c>
      <c r="P895" s="25">
        <f t="shared" si="6"/>
        <v>0</v>
      </c>
      <c r="S895" s="25" t="str">
        <f t="shared" si="7"/>
        <v/>
      </c>
    </row>
    <row r="896" ht="15.75" customHeight="1">
      <c r="A896" s="25" t="str">
        <f t="shared" si="1"/>
        <v>P895</v>
      </c>
      <c r="B896" s="25"/>
      <c r="G896" s="25"/>
      <c r="K896" s="25">
        <f t="shared" si="2"/>
        <v>1</v>
      </c>
      <c r="L896" s="25" t="str">
        <f t="shared" si="8"/>
        <v>الأصل</v>
      </c>
      <c r="M896" s="25" t="str">
        <f t="shared" si="3"/>
        <v/>
      </c>
      <c r="N896" s="25" t="str">
        <f t="shared" si="4"/>
        <v/>
      </c>
      <c r="O896" s="25" t="str">
        <f t="shared" si="5"/>
        <v/>
      </c>
      <c r="P896" s="25">
        <f t="shared" si="6"/>
        <v>0</v>
      </c>
      <c r="S896" s="25" t="str">
        <f t="shared" si="7"/>
        <v/>
      </c>
    </row>
    <row r="897" ht="15.75" customHeight="1">
      <c r="A897" s="25" t="str">
        <f t="shared" si="1"/>
        <v>P896</v>
      </c>
      <c r="B897" s="25"/>
      <c r="G897" s="25"/>
      <c r="K897" s="25">
        <f t="shared" si="2"/>
        <v>1</v>
      </c>
      <c r="L897" s="25" t="str">
        <f t="shared" si="8"/>
        <v>الأصل</v>
      </c>
      <c r="M897" s="25" t="str">
        <f t="shared" si="3"/>
        <v/>
      </c>
      <c r="N897" s="25" t="str">
        <f t="shared" si="4"/>
        <v/>
      </c>
      <c r="O897" s="25" t="str">
        <f t="shared" si="5"/>
        <v/>
      </c>
      <c r="P897" s="25">
        <f t="shared" si="6"/>
        <v>0</v>
      </c>
      <c r="S897" s="25" t="str">
        <f t="shared" si="7"/>
        <v/>
      </c>
    </row>
    <row r="898" ht="15.75" customHeight="1">
      <c r="A898" s="25" t="str">
        <f t="shared" si="1"/>
        <v>P897</v>
      </c>
      <c r="B898" s="25"/>
      <c r="G898" s="25"/>
      <c r="K898" s="25">
        <f t="shared" si="2"/>
        <v>1</v>
      </c>
      <c r="L898" s="25" t="str">
        <f t="shared" si="8"/>
        <v>الأصل</v>
      </c>
      <c r="M898" s="25" t="str">
        <f t="shared" si="3"/>
        <v/>
      </c>
      <c r="N898" s="25" t="str">
        <f t="shared" si="4"/>
        <v/>
      </c>
      <c r="O898" s="25" t="str">
        <f t="shared" si="5"/>
        <v/>
      </c>
      <c r="P898" s="25">
        <f t="shared" si="6"/>
        <v>0</v>
      </c>
      <c r="S898" s="25" t="str">
        <f t="shared" si="7"/>
        <v/>
      </c>
    </row>
    <row r="899" ht="15.75" customHeight="1">
      <c r="A899" s="25" t="str">
        <f t="shared" si="1"/>
        <v>P898</v>
      </c>
      <c r="B899" s="25"/>
      <c r="G899" s="25"/>
      <c r="K899" s="25">
        <f t="shared" si="2"/>
        <v>1</v>
      </c>
      <c r="L899" s="25" t="str">
        <f t="shared" si="8"/>
        <v>الأصل</v>
      </c>
      <c r="M899" s="25" t="str">
        <f t="shared" si="3"/>
        <v/>
      </c>
      <c r="N899" s="25" t="str">
        <f t="shared" si="4"/>
        <v/>
      </c>
      <c r="O899" s="25" t="str">
        <f t="shared" si="5"/>
        <v/>
      </c>
      <c r="P899" s="25">
        <f t="shared" si="6"/>
        <v>0</v>
      </c>
      <c r="S899" s="25" t="str">
        <f t="shared" si="7"/>
        <v/>
      </c>
    </row>
    <row r="900" ht="15.75" customHeight="1">
      <c r="A900" s="25" t="str">
        <f t="shared" si="1"/>
        <v>P899</v>
      </c>
      <c r="B900" s="25"/>
      <c r="G900" s="25"/>
      <c r="K900" s="25">
        <f t="shared" si="2"/>
        <v>1</v>
      </c>
      <c r="L900" s="25" t="str">
        <f t="shared" si="8"/>
        <v>الأصل</v>
      </c>
      <c r="M900" s="25" t="str">
        <f t="shared" si="3"/>
        <v/>
      </c>
      <c r="N900" s="25" t="str">
        <f t="shared" si="4"/>
        <v/>
      </c>
      <c r="O900" s="25" t="str">
        <f t="shared" si="5"/>
        <v/>
      </c>
      <c r="P900" s="25">
        <f t="shared" si="6"/>
        <v>0</v>
      </c>
      <c r="S900" s="25" t="str">
        <f t="shared" si="7"/>
        <v/>
      </c>
    </row>
    <row r="901" ht="15.75" customHeight="1">
      <c r="A901" s="25" t="str">
        <f t="shared" si="1"/>
        <v>P900</v>
      </c>
      <c r="B901" s="25"/>
      <c r="G901" s="25"/>
      <c r="K901" s="25">
        <f t="shared" si="2"/>
        <v>1</v>
      </c>
      <c r="L901" s="25" t="str">
        <f t="shared" si="8"/>
        <v>الأصل</v>
      </c>
      <c r="M901" s="25" t="str">
        <f t="shared" si="3"/>
        <v/>
      </c>
      <c r="N901" s="25" t="str">
        <f t="shared" si="4"/>
        <v/>
      </c>
      <c r="O901" s="25" t="str">
        <f t="shared" si="5"/>
        <v/>
      </c>
      <c r="P901" s="25">
        <f t="shared" si="6"/>
        <v>0</v>
      </c>
      <c r="S901" s="25" t="str">
        <f t="shared" si="7"/>
        <v/>
      </c>
    </row>
    <row r="902" ht="15.75" customHeight="1">
      <c r="A902" s="25" t="str">
        <f t="shared" si="1"/>
        <v>P901</v>
      </c>
      <c r="B902" s="25"/>
      <c r="G902" s="25"/>
      <c r="K902" s="25">
        <f t="shared" si="2"/>
        <v>1</v>
      </c>
      <c r="L902" s="25" t="str">
        <f t="shared" si="8"/>
        <v>الأصل</v>
      </c>
      <c r="M902" s="25" t="str">
        <f t="shared" si="3"/>
        <v/>
      </c>
      <c r="N902" s="25" t="str">
        <f t="shared" si="4"/>
        <v/>
      </c>
      <c r="O902" s="25" t="str">
        <f t="shared" si="5"/>
        <v/>
      </c>
      <c r="P902" s="25">
        <f t="shared" si="6"/>
        <v>0</v>
      </c>
      <c r="S902" s="25" t="str">
        <f t="shared" si="7"/>
        <v/>
      </c>
    </row>
    <row r="903" ht="15.75" customHeight="1">
      <c r="A903" s="25" t="str">
        <f t="shared" si="1"/>
        <v>P902</v>
      </c>
      <c r="B903" s="25"/>
      <c r="G903" s="25"/>
      <c r="K903" s="25">
        <f t="shared" si="2"/>
        <v>1</v>
      </c>
      <c r="L903" s="25" t="str">
        <f t="shared" si="8"/>
        <v>الأصل</v>
      </c>
      <c r="M903" s="25" t="str">
        <f t="shared" si="3"/>
        <v/>
      </c>
      <c r="N903" s="25" t="str">
        <f t="shared" si="4"/>
        <v/>
      </c>
      <c r="O903" s="25" t="str">
        <f t="shared" si="5"/>
        <v/>
      </c>
      <c r="P903" s="25">
        <f t="shared" si="6"/>
        <v>0</v>
      </c>
      <c r="S903" s="25" t="str">
        <f t="shared" si="7"/>
        <v/>
      </c>
    </row>
    <row r="904" ht="15.75" customHeight="1">
      <c r="A904" s="25" t="str">
        <f t="shared" si="1"/>
        <v>P903</v>
      </c>
      <c r="B904" s="25"/>
      <c r="G904" s="25"/>
      <c r="K904" s="25">
        <f t="shared" si="2"/>
        <v>1</v>
      </c>
      <c r="L904" s="25" t="str">
        <f t="shared" si="8"/>
        <v>الأصل</v>
      </c>
      <c r="M904" s="25" t="str">
        <f t="shared" si="3"/>
        <v/>
      </c>
      <c r="N904" s="25" t="str">
        <f t="shared" si="4"/>
        <v/>
      </c>
      <c r="O904" s="25" t="str">
        <f t="shared" si="5"/>
        <v/>
      </c>
      <c r="P904" s="25">
        <f t="shared" si="6"/>
        <v>0</v>
      </c>
      <c r="S904" s="25" t="str">
        <f t="shared" si="7"/>
        <v/>
      </c>
    </row>
    <row r="905" ht="15.75" customHeight="1">
      <c r="A905" s="25" t="str">
        <f t="shared" si="1"/>
        <v>P904</v>
      </c>
      <c r="B905" s="25"/>
      <c r="G905" s="25"/>
      <c r="K905" s="25">
        <f t="shared" si="2"/>
        <v>1</v>
      </c>
      <c r="L905" s="25" t="str">
        <f t="shared" si="8"/>
        <v>الأصل</v>
      </c>
      <c r="M905" s="25" t="str">
        <f t="shared" si="3"/>
        <v/>
      </c>
      <c r="N905" s="25" t="str">
        <f t="shared" si="4"/>
        <v/>
      </c>
      <c r="O905" s="25" t="str">
        <f t="shared" si="5"/>
        <v/>
      </c>
      <c r="P905" s="25">
        <f t="shared" si="6"/>
        <v>0</v>
      </c>
      <c r="S905" s="25" t="str">
        <f t="shared" si="7"/>
        <v/>
      </c>
    </row>
    <row r="906" ht="15.75" customHeight="1">
      <c r="A906" s="25" t="str">
        <f t="shared" si="1"/>
        <v>P905</v>
      </c>
      <c r="B906" s="25"/>
      <c r="G906" s="25"/>
      <c r="K906" s="25">
        <f t="shared" si="2"/>
        <v>1</v>
      </c>
      <c r="L906" s="25" t="str">
        <f t="shared" si="8"/>
        <v>الأصل</v>
      </c>
      <c r="M906" s="25" t="str">
        <f t="shared" si="3"/>
        <v/>
      </c>
      <c r="N906" s="25" t="str">
        <f t="shared" si="4"/>
        <v/>
      </c>
      <c r="O906" s="25" t="str">
        <f t="shared" si="5"/>
        <v/>
      </c>
      <c r="P906" s="25">
        <f t="shared" si="6"/>
        <v>0</v>
      </c>
      <c r="S906" s="25" t="str">
        <f t="shared" si="7"/>
        <v/>
      </c>
    </row>
    <row r="907" ht="15.75" customHeight="1">
      <c r="A907" s="25" t="str">
        <f t="shared" si="1"/>
        <v>P906</v>
      </c>
      <c r="B907" s="25"/>
      <c r="G907" s="25"/>
      <c r="K907" s="25">
        <f t="shared" si="2"/>
        <v>1</v>
      </c>
      <c r="L907" s="25" t="str">
        <f t="shared" si="8"/>
        <v>الأصل</v>
      </c>
      <c r="M907" s="25" t="str">
        <f t="shared" si="3"/>
        <v/>
      </c>
      <c r="N907" s="25" t="str">
        <f t="shared" si="4"/>
        <v/>
      </c>
      <c r="O907" s="25" t="str">
        <f t="shared" si="5"/>
        <v/>
      </c>
      <c r="P907" s="25">
        <f t="shared" si="6"/>
        <v>0</v>
      </c>
      <c r="S907" s="25" t="str">
        <f t="shared" si="7"/>
        <v/>
      </c>
    </row>
    <row r="908" ht="15.75" customHeight="1">
      <c r="A908" s="25" t="str">
        <f t="shared" si="1"/>
        <v>P907</v>
      </c>
      <c r="B908" s="25"/>
      <c r="G908" s="25"/>
      <c r="K908" s="25">
        <f t="shared" si="2"/>
        <v>1</v>
      </c>
      <c r="L908" s="25" t="str">
        <f t="shared" si="8"/>
        <v>الأصل</v>
      </c>
      <c r="M908" s="25" t="str">
        <f t="shared" si="3"/>
        <v/>
      </c>
      <c r="N908" s="25" t="str">
        <f t="shared" si="4"/>
        <v/>
      </c>
      <c r="O908" s="25" t="str">
        <f t="shared" si="5"/>
        <v/>
      </c>
      <c r="P908" s="25">
        <f t="shared" si="6"/>
        <v>0</v>
      </c>
      <c r="S908" s="25" t="str">
        <f t="shared" si="7"/>
        <v/>
      </c>
    </row>
    <row r="909" ht="15.75" customHeight="1">
      <c r="A909" s="25" t="str">
        <f t="shared" si="1"/>
        <v>P908</v>
      </c>
      <c r="B909" s="25"/>
      <c r="G909" s="25"/>
      <c r="K909" s="25">
        <f t="shared" si="2"/>
        <v>1</v>
      </c>
      <c r="L909" s="25" t="str">
        <f t="shared" si="8"/>
        <v>الأصل</v>
      </c>
      <c r="M909" s="25" t="str">
        <f t="shared" si="3"/>
        <v/>
      </c>
      <c r="N909" s="25" t="str">
        <f t="shared" si="4"/>
        <v/>
      </c>
      <c r="O909" s="25" t="str">
        <f t="shared" si="5"/>
        <v/>
      </c>
      <c r="P909" s="25">
        <f t="shared" si="6"/>
        <v>0</v>
      </c>
      <c r="S909" s="25" t="str">
        <f t="shared" si="7"/>
        <v/>
      </c>
    </row>
    <row r="910" ht="15.75" customHeight="1">
      <c r="A910" s="25" t="str">
        <f t="shared" si="1"/>
        <v>P909</v>
      </c>
      <c r="B910" s="25"/>
      <c r="G910" s="25"/>
      <c r="K910" s="25">
        <f t="shared" si="2"/>
        <v>1</v>
      </c>
      <c r="L910" s="25" t="str">
        <f t="shared" si="8"/>
        <v>الأصل</v>
      </c>
      <c r="M910" s="25" t="str">
        <f t="shared" si="3"/>
        <v/>
      </c>
      <c r="N910" s="25" t="str">
        <f t="shared" si="4"/>
        <v/>
      </c>
      <c r="O910" s="25" t="str">
        <f t="shared" si="5"/>
        <v/>
      </c>
      <c r="P910" s="25">
        <f t="shared" si="6"/>
        <v>0</v>
      </c>
      <c r="S910" s="25" t="str">
        <f t="shared" si="7"/>
        <v/>
      </c>
    </row>
    <row r="911" ht="15.75" customHeight="1">
      <c r="A911" s="25" t="str">
        <f t="shared" si="1"/>
        <v>P910</v>
      </c>
      <c r="B911" s="25"/>
      <c r="G911" s="25"/>
      <c r="K911" s="25">
        <f t="shared" si="2"/>
        <v>1</v>
      </c>
      <c r="L911" s="25" t="str">
        <f t="shared" si="8"/>
        <v>الأصل</v>
      </c>
      <c r="M911" s="25" t="str">
        <f t="shared" si="3"/>
        <v/>
      </c>
      <c r="N911" s="25" t="str">
        <f t="shared" si="4"/>
        <v/>
      </c>
      <c r="O911" s="25" t="str">
        <f t="shared" si="5"/>
        <v/>
      </c>
      <c r="P911" s="25">
        <f t="shared" si="6"/>
        <v>0</v>
      </c>
      <c r="S911" s="25" t="str">
        <f t="shared" si="7"/>
        <v/>
      </c>
    </row>
    <row r="912" ht="15.75" customHeight="1">
      <c r="A912" s="25" t="str">
        <f t="shared" si="1"/>
        <v>P911</v>
      </c>
      <c r="B912" s="25"/>
      <c r="G912" s="25"/>
      <c r="K912" s="25">
        <f t="shared" si="2"/>
        <v>1</v>
      </c>
      <c r="L912" s="25" t="str">
        <f t="shared" si="8"/>
        <v>الأصل</v>
      </c>
      <c r="M912" s="25" t="str">
        <f t="shared" si="3"/>
        <v/>
      </c>
      <c r="N912" s="25" t="str">
        <f t="shared" si="4"/>
        <v/>
      </c>
      <c r="O912" s="25" t="str">
        <f t="shared" si="5"/>
        <v/>
      </c>
      <c r="P912" s="25">
        <f t="shared" si="6"/>
        <v>0</v>
      </c>
      <c r="S912" s="25" t="str">
        <f t="shared" si="7"/>
        <v/>
      </c>
    </row>
    <row r="913" ht="15.75" customHeight="1">
      <c r="A913" s="25" t="str">
        <f t="shared" si="1"/>
        <v>P912</v>
      </c>
      <c r="B913" s="25"/>
      <c r="G913" s="25"/>
      <c r="K913" s="25">
        <f t="shared" si="2"/>
        <v>1</v>
      </c>
      <c r="L913" s="25" t="str">
        <f t="shared" si="8"/>
        <v>الأصل</v>
      </c>
      <c r="M913" s="25" t="str">
        <f t="shared" si="3"/>
        <v/>
      </c>
      <c r="N913" s="25" t="str">
        <f t="shared" si="4"/>
        <v/>
      </c>
      <c r="O913" s="25" t="str">
        <f t="shared" si="5"/>
        <v/>
      </c>
      <c r="P913" s="25">
        <f t="shared" si="6"/>
        <v>0</v>
      </c>
      <c r="S913" s="25" t="str">
        <f t="shared" si="7"/>
        <v/>
      </c>
    </row>
    <row r="914" ht="15.75" customHeight="1">
      <c r="A914" s="25" t="str">
        <f t="shared" si="1"/>
        <v>P913</v>
      </c>
      <c r="B914" s="25"/>
      <c r="G914" s="25"/>
      <c r="K914" s="25">
        <f t="shared" si="2"/>
        <v>1</v>
      </c>
      <c r="L914" s="25" t="str">
        <f t="shared" si="8"/>
        <v>الأصل</v>
      </c>
      <c r="M914" s="25" t="str">
        <f t="shared" si="3"/>
        <v/>
      </c>
      <c r="N914" s="25" t="str">
        <f t="shared" si="4"/>
        <v/>
      </c>
      <c r="O914" s="25" t="str">
        <f t="shared" si="5"/>
        <v/>
      </c>
      <c r="P914" s="25">
        <f t="shared" si="6"/>
        <v>0</v>
      </c>
      <c r="S914" s="25" t="str">
        <f t="shared" si="7"/>
        <v/>
      </c>
    </row>
    <row r="915" ht="15.75" customHeight="1">
      <c r="A915" s="25" t="str">
        <f t="shared" si="1"/>
        <v>P914</v>
      </c>
      <c r="B915" s="25"/>
      <c r="G915" s="25"/>
      <c r="K915" s="25">
        <f t="shared" si="2"/>
        <v>1</v>
      </c>
      <c r="L915" s="25" t="str">
        <f t="shared" si="8"/>
        <v>الأصل</v>
      </c>
      <c r="M915" s="25" t="str">
        <f t="shared" si="3"/>
        <v/>
      </c>
      <c r="N915" s="25" t="str">
        <f t="shared" si="4"/>
        <v/>
      </c>
      <c r="O915" s="25" t="str">
        <f t="shared" si="5"/>
        <v/>
      </c>
      <c r="P915" s="25">
        <f t="shared" si="6"/>
        <v>0</v>
      </c>
      <c r="S915" s="25" t="str">
        <f t="shared" si="7"/>
        <v/>
      </c>
    </row>
    <row r="916" ht="15.75" customHeight="1">
      <c r="A916" s="25" t="str">
        <f t="shared" si="1"/>
        <v>P915</v>
      </c>
      <c r="B916" s="25"/>
      <c r="G916" s="25"/>
      <c r="K916" s="25">
        <f t="shared" si="2"/>
        <v>1</v>
      </c>
      <c r="L916" s="25" t="str">
        <f t="shared" si="8"/>
        <v>الأصل</v>
      </c>
      <c r="M916" s="25" t="str">
        <f t="shared" si="3"/>
        <v/>
      </c>
      <c r="N916" s="25" t="str">
        <f t="shared" si="4"/>
        <v/>
      </c>
      <c r="O916" s="25" t="str">
        <f t="shared" si="5"/>
        <v/>
      </c>
      <c r="P916" s="25">
        <f t="shared" si="6"/>
        <v>0</v>
      </c>
      <c r="S916" s="25" t="str">
        <f t="shared" si="7"/>
        <v/>
      </c>
    </row>
    <row r="917" ht="15.75" customHeight="1">
      <c r="A917" s="25" t="str">
        <f t="shared" si="1"/>
        <v>P916</v>
      </c>
      <c r="B917" s="25"/>
      <c r="G917" s="25"/>
      <c r="K917" s="25">
        <f t="shared" si="2"/>
        <v>1</v>
      </c>
      <c r="L917" s="25" t="str">
        <f t="shared" si="8"/>
        <v>الأصل</v>
      </c>
      <c r="M917" s="25" t="str">
        <f t="shared" si="3"/>
        <v/>
      </c>
      <c r="N917" s="25" t="str">
        <f t="shared" si="4"/>
        <v/>
      </c>
      <c r="O917" s="25" t="str">
        <f t="shared" si="5"/>
        <v/>
      </c>
      <c r="P917" s="25">
        <f t="shared" si="6"/>
        <v>0</v>
      </c>
      <c r="S917" s="25" t="str">
        <f t="shared" si="7"/>
        <v/>
      </c>
    </row>
    <row r="918" ht="15.75" customHeight="1">
      <c r="A918" s="25" t="str">
        <f t="shared" si="1"/>
        <v>P917</v>
      </c>
      <c r="B918" s="25"/>
      <c r="G918" s="25"/>
      <c r="K918" s="25">
        <f t="shared" si="2"/>
        <v>1</v>
      </c>
      <c r="L918" s="25" t="str">
        <f t="shared" si="8"/>
        <v>الأصل</v>
      </c>
      <c r="M918" s="25" t="str">
        <f t="shared" si="3"/>
        <v/>
      </c>
      <c r="N918" s="25" t="str">
        <f t="shared" si="4"/>
        <v/>
      </c>
      <c r="O918" s="25" t="str">
        <f t="shared" si="5"/>
        <v/>
      </c>
      <c r="P918" s="25">
        <f t="shared" si="6"/>
        <v>0</v>
      </c>
      <c r="S918" s="25" t="str">
        <f t="shared" si="7"/>
        <v/>
      </c>
    </row>
    <row r="919" ht="15.75" customHeight="1">
      <c r="A919" s="25" t="str">
        <f t="shared" si="1"/>
        <v>P918</v>
      </c>
      <c r="B919" s="25"/>
      <c r="G919" s="25"/>
      <c r="K919" s="25">
        <f t="shared" si="2"/>
        <v>1</v>
      </c>
      <c r="L919" s="25" t="str">
        <f t="shared" si="8"/>
        <v>الأصل</v>
      </c>
      <c r="M919" s="25" t="str">
        <f t="shared" si="3"/>
        <v/>
      </c>
      <c r="N919" s="25" t="str">
        <f t="shared" si="4"/>
        <v/>
      </c>
      <c r="O919" s="25" t="str">
        <f t="shared" si="5"/>
        <v/>
      </c>
      <c r="P919" s="25">
        <f t="shared" si="6"/>
        <v>0</v>
      </c>
      <c r="S919" s="25" t="str">
        <f t="shared" si="7"/>
        <v/>
      </c>
    </row>
    <row r="920" ht="15.75" customHeight="1">
      <c r="A920" s="25" t="str">
        <f t="shared" si="1"/>
        <v>P919</v>
      </c>
      <c r="B920" s="25"/>
      <c r="G920" s="25"/>
      <c r="K920" s="25">
        <f t="shared" si="2"/>
        <v>1</v>
      </c>
      <c r="L920" s="25" t="str">
        <f t="shared" si="8"/>
        <v>الأصل</v>
      </c>
      <c r="M920" s="25" t="str">
        <f t="shared" si="3"/>
        <v/>
      </c>
      <c r="N920" s="25" t="str">
        <f t="shared" si="4"/>
        <v/>
      </c>
      <c r="O920" s="25" t="str">
        <f t="shared" si="5"/>
        <v/>
      </c>
      <c r="P920" s="25">
        <f t="shared" si="6"/>
        <v>0</v>
      </c>
      <c r="S920" s="25" t="str">
        <f t="shared" si="7"/>
        <v/>
      </c>
    </row>
    <row r="921" ht="15.75" customHeight="1">
      <c r="A921" s="25" t="str">
        <f t="shared" si="1"/>
        <v>P920</v>
      </c>
      <c r="B921" s="25"/>
      <c r="G921" s="25"/>
      <c r="K921" s="25">
        <f t="shared" si="2"/>
        <v>1</v>
      </c>
      <c r="L921" s="25" t="str">
        <f t="shared" si="8"/>
        <v>الأصل</v>
      </c>
      <c r="M921" s="25" t="str">
        <f t="shared" si="3"/>
        <v/>
      </c>
      <c r="N921" s="25" t="str">
        <f t="shared" si="4"/>
        <v/>
      </c>
      <c r="O921" s="25" t="str">
        <f t="shared" si="5"/>
        <v/>
      </c>
      <c r="P921" s="25">
        <f t="shared" si="6"/>
        <v>0</v>
      </c>
      <c r="S921" s="25" t="str">
        <f t="shared" si="7"/>
        <v/>
      </c>
    </row>
    <row r="922" ht="15.75" customHeight="1">
      <c r="A922" s="25" t="str">
        <f t="shared" si="1"/>
        <v>P921</v>
      </c>
      <c r="B922" s="25"/>
      <c r="G922" s="25"/>
      <c r="K922" s="25">
        <f t="shared" si="2"/>
        <v>1</v>
      </c>
      <c r="L922" s="25" t="str">
        <f t="shared" si="8"/>
        <v>الأصل</v>
      </c>
      <c r="M922" s="25" t="str">
        <f t="shared" si="3"/>
        <v/>
      </c>
      <c r="N922" s="25" t="str">
        <f t="shared" si="4"/>
        <v/>
      </c>
      <c r="O922" s="25" t="str">
        <f t="shared" si="5"/>
        <v/>
      </c>
      <c r="P922" s="25">
        <f t="shared" si="6"/>
        <v>0</v>
      </c>
      <c r="S922" s="25" t="str">
        <f t="shared" si="7"/>
        <v/>
      </c>
    </row>
    <row r="923" ht="15.75" customHeight="1">
      <c r="A923" s="25" t="str">
        <f t="shared" si="1"/>
        <v>P922</v>
      </c>
      <c r="B923" s="25"/>
      <c r="G923" s="25"/>
      <c r="K923" s="25">
        <f t="shared" si="2"/>
        <v>1</v>
      </c>
      <c r="L923" s="25" t="str">
        <f t="shared" si="8"/>
        <v>الأصل</v>
      </c>
      <c r="M923" s="25" t="str">
        <f t="shared" si="3"/>
        <v/>
      </c>
      <c r="N923" s="25" t="str">
        <f t="shared" si="4"/>
        <v/>
      </c>
      <c r="O923" s="25" t="str">
        <f t="shared" si="5"/>
        <v/>
      </c>
      <c r="P923" s="25">
        <f t="shared" si="6"/>
        <v>0</v>
      </c>
      <c r="S923" s="25" t="str">
        <f t="shared" si="7"/>
        <v/>
      </c>
    </row>
    <row r="924" ht="15.75" customHeight="1">
      <c r="A924" s="25" t="str">
        <f t="shared" si="1"/>
        <v>P923</v>
      </c>
      <c r="B924" s="25"/>
      <c r="G924" s="25"/>
      <c r="K924" s="25">
        <f t="shared" si="2"/>
        <v>1</v>
      </c>
      <c r="L924" s="25" t="str">
        <f t="shared" si="8"/>
        <v>الأصل</v>
      </c>
      <c r="M924" s="25" t="str">
        <f t="shared" si="3"/>
        <v/>
      </c>
      <c r="N924" s="25" t="str">
        <f t="shared" si="4"/>
        <v/>
      </c>
      <c r="O924" s="25" t="str">
        <f t="shared" si="5"/>
        <v/>
      </c>
      <c r="P924" s="25">
        <f t="shared" si="6"/>
        <v>0</v>
      </c>
      <c r="S924" s="25" t="str">
        <f t="shared" si="7"/>
        <v/>
      </c>
    </row>
    <row r="925" ht="15.75" customHeight="1">
      <c r="A925" s="25" t="str">
        <f t="shared" si="1"/>
        <v>P924</v>
      </c>
      <c r="B925" s="25"/>
      <c r="G925" s="25"/>
      <c r="K925" s="25">
        <f t="shared" si="2"/>
        <v>1</v>
      </c>
      <c r="L925" s="25" t="str">
        <f t="shared" si="8"/>
        <v>الأصل</v>
      </c>
      <c r="M925" s="25" t="str">
        <f t="shared" si="3"/>
        <v/>
      </c>
      <c r="N925" s="25" t="str">
        <f t="shared" si="4"/>
        <v/>
      </c>
      <c r="O925" s="25" t="str">
        <f t="shared" si="5"/>
        <v/>
      </c>
      <c r="P925" s="25">
        <f t="shared" si="6"/>
        <v>0</v>
      </c>
      <c r="S925" s="25" t="str">
        <f t="shared" si="7"/>
        <v/>
      </c>
    </row>
    <row r="926" ht="15.75" customHeight="1">
      <c r="A926" s="25" t="str">
        <f t="shared" si="1"/>
        <v>P925</v>
      </c>
      <c r="B926" s="25"/>
      <c r="G926" s="25"/>
      <c r="K926" s="25">
        <f t="shared" si="2"/>
        <v>1</v>
      </c>
      <c r="L926" s="25" t="str">
        <f t="shared" si="8"/>
        <v>الأصل</v>
      </c>
      <c r="M926" s="25" t="str">
        <f t="shared" si="3"/>
        <v/>
      </c>
      <c r="N926" s="25" t="str">
        <f t="shared" si="4"/>
        <v/>
      </c>
      <c r="O926" s="25" t="str">
        <f t="shared" si="5"/>
        <v/>
      </c>
      <c r="P926" s="25">
        <f t="shared" si="6"/>
        <v>0</v>
      </c>
      <c r="S926" s="25" t="str">
        <f t="shared" si="7"/>
        <v/>
      </c>
    </row>
    <row r="927" ht="15.75" customHeight="1">
      <c r="A927" s="25" t="str">
        <f t="shared" si="1"/>
        <v>P926</v>
      </c>
      <c r="B927" s="25"/>
      <c r="G927" s="25"/>
      <c r="K927" s="25">
        <f t="shared" si="2"/>
        <v>1</v>
      </c>
      <c r="L927" s="25" t="str">
        <f t="shared" si="8"/>
        <v>الأصل</v>
      </c>
      <c r="M927" s="25" t="str">
        <f t="shared" si="3"/>
        <v/>
      </c>
      <c r="N927" s="25" t="str">
        <f t="shared" si="4"/>
        <v/>
      </c>
      <c r="O927" s="25" t="str">
        <f t="shared" si="5"/>
        <v/>
      </c>
      <c r="P927" s="25">
        <f t="shared" si="6"/>
        <v>0</v>
      </c>
      <c r="S927" s="25" t="str">
        <f t="shared" si="7"/>
        <v/>
      </c>
    </row>
    <row r="928" ht="15.75" customHeight="1">
      <c r="A928" s="25" t="str">
        <f t="shared" si="1"/>
        <v>P927</v>
      </c>
      <c r="B928" s="25"/>
      <c r="G928" s="25"/>
      <c r="K928" s="25">
        <f t="shared" si="2"/>
        <v>1</v>
      </c>
      <c r="L928" s="25" t="str">
        <f t="shared" si="8"/>
        <v>الأصل</v>
      </c>
      <c r="M928" s="25" t="str">
        <f t="shared" si="3"/>
        <v/>
      </c>
      <c r="N928" s="25" t="str">
        <f t="shared" si="4"/>
        <v/>
      </c>
      <c r="O928" s="25" t="str">
        <f t="shared" si="5"/>
        <v/>
      </c>
      <c r="P928" s="25">
        <f t="shared" si="6"/>
        <v>0</v>
      </c>
      <c r="S928" s="25" t="str">
        <f t="shared" si="7"/>
        <v/>
      </c>
    </row>
    <row r="929" ht="15.75" customHeight="1">
      <c r="A929" s="25" t="str">
        <f t="shared" si="1"/>
        <v>P928</v>
      </c>
      <c r="B929" s="25"/>
      <c r="G929" s="25"/>
      <c r="K929" s="25">
        <f t="shared" si="2"/>
        <v>1</v>
      </c>
      <c r="L929" s="25" t="str">
        <f t="shared" si="8"/>
        <v>الأصل</v>
      </c>
      <c r="M929" s="25" t="str">
        <f t="shared" si="3"/>
        <v/>
      </c>
      <c r="N929" s="25" t="str">
        <f t="shared" si="4"/>
        <v/>
      </c>
      <c r="O929" s="25" t="str">
        <f t="shared" si="5"/>
        <v/>
      </c>
      <c r="P929" s="25">
        <f t="shared" si="6"/>
        <v>0</v>
      </c>
      <c r="S929" s="25" t="str">
        <f t="shared" si="7"/>
        <v/>
      </c>
    </row>
    <row r="930" ht="15.75" customHeight="1">
      <c r="A930" s="25" t="str">
        <f t="shared" si="1"/>
        <v>P929</v>
      </c>
      <c r="B930" s="25"/>
      <c r="G930" s="25"/>
      <c r="K930" s="25">
        <f t="shared" si="2"/>
        <v>1</v>
      </c>
      <c r="L930" s="25" t="str">
        <f t="shared" si="8"/>
        <v>الأصل</v>
      </c>
      <c r="M930" s="25" t="str">
        <f t="shared" si="3"/>
        <v/>
      </c>
      <c r="N930" s="25" t="str">
        <f t="shared" si="4"/>
        <v/>
      </c>
      <c r="O930" s="25" t="str">
        <f t="shared" si="5"/>
        <v/>
      </c>
      <c r="P930" s="25">
        <f t="shared" si="6"/>
        <v>0</v>
      </c>
      <c r="S930" s="25" t="str">
        <f t="shared" si="7"/>
        <v/>
      </c>
    </row>
    <row r="931" ht="15.75" customHeight="1">
      <c r="A931" s="25" t="str">
        <f t="shared" si="1"/>
        <v>P930</v>
      </c>
      <c r="B931" s="25"/>
      <c r="G931" s="25"/>
      <c r="K931" s="25">
        <f t="shared" si="2"/>
        <v>1</v>
      </c>
      <c r="L931" s="25" t="str">
        <f t="shared" si="8"/>
        <v>الأصل</v>
      </c>
      <c r="M931" s="25" t="str">
        <f t="shared" si="3"/>
        <v/>
      </c>
      <c r="N931" s="25" t="str">
        <f t="shared" si="4"/>
        <v/>
      </c>
      <c r="O931" s="25" t="str">
        <f t="shared" si="5"/>
        <v/>
      </c>
      <c r="P931" s="25">
        <f t="shared" si="6"/>
        <v>0</v>
      </c>
      <c r="S931" s="25" t="str">
        <f t="shared" si="7"/>
        <v/>
      </c>
    </row>
    <row r="932" ht="15.75" customHeight="1">
      <c r="A932" s="25" t="str">
        <f t="shared" si="1"/>
        <v>P931</v>
      </c>
      <c r="B932" s="25"/>
      <c r="G932" s="25"/>
      <c r="K932" s="25">
        <f t="shared" si="2"/>
        <v>1</v>
      </c>
      <c r="L932" s="25" t="str">
        <f t="shared" si="8"/>
        <v>الأصل</v>
      </c>
      <c r="M932" s="25" t="str">
        <f t="shared" si="3"/>
        <v/>
      </c>
      <c r="N932" s="25" t="str">
        <f t="shared" si="4"/>
        <v/>
      </c>
      <c r="O932" s="25" t="str">
        <f t="shared" si="5"/>
        <v/>
      </c>
      <c r="P932" s="25">
        <f t="shared" si="6"/>
        <v>0</v>
      </c>
      <c r="S932" s="25" t="str">
        <f t="shared" si="7"/>
        <v/>
      </c>
    </row>
    <row r="933" ht="15.75" customHeight="1">
      <c r="A933" s="25" t="str">
        <f t="shared" si="1"/>
        <v>P932</v>
      </c>
      <c r="B933" s="25"/>
      <c r="G933" s="25"/>
      <c r="K933" s="25">
        <f t="shared" si="2"/>
        <v>1</v>
      </c>
      <c r="L933" s="25" t="str">
        <f t="shared" si="8"/>
        <v>الأصل</v>
      </c>
      <c r="M933" s="25" t="str">
        <f t="shared" si="3"/>
        <v/>
      </c>
      <c r="N933" s="25" t="str">
        <f t="shared" si="4"/>
        <v/>
      </c>
      <c r="O933" s="25" t="str">
        <f t="shared" si="5"/>
        <v/>
      </c>
      <c r="P933" s="25">
        <f t="shared" si="6"/>
        <v>0</v>
      </c>
      <c r="S933" s="25" t="str">
        <f t="shared" si="7"/>
        <v/>
      </c>
    </row>
    <row r="934" ht="15.75" customHeight="1">
      <c r="A934" s="25" t="str">
        <f t="shared" si="1"/>
        <v>P933</v>
      </c>
      <c r="B934" s="25"/>
      <c r="G934" s="25"/>
      <c r="K934" s="25">
        <f t="shared" si="2"/>
        <v>1</v>
      </c>
      <c r="L934" s="25" t="str">
        <f t="shared" si="8"/>
        <v>الأصل</v>
      </c>
      <c r="M934" s="25" t="str">
        <f t="shared" si="3"/>
        <v/>
      </c>
      <c r="N934" s="25" t="str">
        <f t="shared" si="4"/>
        <v/>
      </c>
      <c r="O934" s="25" t="str">
        <f t="shared" si="5"/>
        <v/>
      </c>
      <c r="P934" s="25">
        <f t="shared" si="6"/>
        <v>0</v>
      </c>
      <c r="S934" s="25" t="str">
        <f t="shared" si="7"/>
        <v/>
      </c>
    </row>
    <row r="935" ht="15.75" customHeight="1">
      <c r="A935" s="25" t="str">
        <f t="shared" si="1"/>
        <v>P934</v>
      </c>
      <c r="B935" s="25"/>
      <c r="G935" s="25"/>
      <c r="K935" s="25">
        <f t="shared" si="2"/>
        <v>1</v>
      </c>
      <c r="L935" s="25" t="str">
        <f t="shared" si="8"/>
        <v>الأصل</v>
      </c>
      <c r="M935" s="25" t="str">
        <f t="shared" si="3"/>
        <v/>
      </c>
      <c r="N935" s="25" t="str">
        <f t="shared" si="4"/>
        <v/>
      </c>
      <c r="O935" s="25" t="str">
        <f t="shared" si="5"/>
        <v/>
      </c>
      <c r="P935" s="25">
        <f t="shared" si="6"/>
        <v>0</v>
      </c>
      <c r="S935" s="25" t="str">
        <f t="shared" si="7"/>
        <v/>
      </c>
    </row>
    <row r="936" ht="15.75" customHeight="1">
      <c r="A936" s="25" t="str">
        <f t="shared" si="1"/>
        <v>P935</v>
      </c>
      <c r="B936" s="25"/>
      <c r="G936" s="25"/>
      <c r="K936" s="25">
        <f t="shared" si="2"/>
        <v>1</v>
      </c>
      <c r="L936" s="25" t="str">
        <f t="shared" si="8"/>
        <v>الأصل</v>
      </c>
      <c r="M936" s="25" t="str">
        <f t="shared" si="3"/>
        <v/>
      </c>
      <c r="N936" s="25" t="str">
        <f t="shared" si="4"/>
        <v/>
      </c>
      <c r="O936" s="25" t="str">
        <f t="shared" si="5"/>
        <v/>
      </c>
      <c r="P936" s="25">
        <f t="shared" si="6"/>
        <v>0</v>
      </c>
      <c r="S936" s="25" t="str">
        <f t="shared" si="7"/>
        <v/>
      </c>
    </row>
    <row r="937" ht="15.75" customHeight="1">
      <c r="A937" s="25" t="str">
        <f t="shared" si="1"/>
        <v>P936</v>
      </c>
      <c r="B937" s="25"/>
      <c r="G937" s="25"/>
      <c r="K937" s="25">
        <f t="shared" si="2"/>
        <v>1</v>
      </c>
      <c r="L937" s="25" t="str">
        <f t="shared" si="8"/>
        <v>الأصل</v>
      </c>
      <c r="M937" s="25" t="str">
        <f t="shared" si="3"/>
        <v/>
      </c>
      <c r="N937" s="25" t="str">
        <f t="shared" si="4"/>
        <v/>
      </c>
      <c r="O937" s="25" t="str">
        <f t="shared" si="5"/>
        <v/>
      </c>
      <c r="P937" s="25">
        <f t="shared" si="6"/>
        <v>0</v>
      </c>
      <c r="S937" s="25" t="str">
        <f t="shared" si="7"/>
        <v/>
      </c>
    </row>
    <row r="938" ht="15.75" customHeight="1">
      <c r="A938" s="25" t="str">
        <f t="shared" si="1"/>
        <v>P937</v>
      </c>
      <c r="B938" s="25"/>
      <c r="G938" s="25"/>
      <c r="K938" s="25">
        <f t="shared" si="2"/>
        <v>1</v>
      </c>
      <c r="L938" s="25" t="str">
        <f t="shared" si="8"/>
        <v>الأصل</v>
      </c>
      <c r="M938" s="25" t="str">
        <f t="shared" si="3"/>
        <v/>
      </c>
      <c r="N938" s="25" t="str">
        <f t="shared" si="4"/>
        <v/>
      </c>
      <c r="O938" s="25" t="str">
        <f t="shared" si="5"/>
        <v/>
      </c>
      <c r="P938" s="25">
        <f t="shared" si="6"/>
        <v>0</v>
      </c>
      <c r="S938" s="25" t="str">
        <f t="shared" si="7"/>
        <v/>
      </c>
    </row>
    <row r="939" ht="15.75" customHeight="1">
      <c r="A939" s="25" t="str">
        <f t="shared" si="1"/>
        <v>P938</v>
      </c>
      <c r="B939" s="25"/>
      <c r="G939" s="25"/>
      <c r="K939" s="25">
        <f t="shared" si="2"/>
        <v>1</v>
      </c>
      <c r="L939" s="25" t="str">
        <f t="shared" si="8"/>
        <v>الأصل</v>
      </c>
      <c r="M939" s="25" t="str">
        <f t="shared" si="3"/>
        <v/>
      </c>
      <c r="N939" s="25" t="str">
        <f t="shared" si="4"/>
        <v/>
      </c>
      <c r="O939" s="25" t="str">
        <f t="shared" si="5"/>
        <v/>
      </c>
      <c r="P939" s="25">
        <f t="shared" si="6"/>
        <v>0</v>
      </c>
      <c r="S939" s="25" t="str">
        <f t="shared" si="7"/>
        <v/>
      </c>
    </row>
    <row r="940" ht="15.75" customHeight="1">
      <c r="A940" s="25" t="str">
        <f t="shared" si="1"/>
        <v>P939</v>
      </c>
      <c r="B940" s="25"/>
      <c r="G940" s="25"/>
      <c r="K940" s="25">
        <f t="shared" si="2"/>
        <v>1</v>
      </c>
      <c r="L940" s="25" t="str">
        <f t="shared" si="8"/>
        <v>الأصل</v>
      </c>
      <c r="M940" s="25" t="str">
        <f t="shared" si="3"/>
        <v/>
      </c>
      <c r="N940" s="25" t="str">
        <f t="shared" si="4"/>
        <v/>
      </c>
      <c r="O940" s="25" t="str">
        <f t="shared" si="5"/>
        <v/>
      </c>
      <c r="P940" s="25">
        <f t="shared" si="6"/>
        <v>0</v>
      </c>
      <c r="S940" s="25" t="str">
        <f t="shared" si="7"/>
        <v/>
      </c>
    </row>
    <row r="941" ht="15.75" customHeight="1">
      <c r="A941" s="25" t="str">
        <f t="shared" si="1"/>
        <v>P940</v>
      </c>
      <c r="B941" s="25"/>
      <c r="G941" s="25"/>
      <c r="K941" s="25">
        <f t="shared" si="2"/>
        <v>1</v>
      </c>
      <c r="L941" s="25" t="str">
        <f t="shared" si="8"/>
        <v>الأصل</v>
      </c>
      <c r="M941" s="25" t="str">
        <f t="shared" si="3"/>
        <v/>
      </c>
      <c r="N941" s="25" t="str">
        <f t="shared" si="4"/>
        <v/>
      </c>
      <c r="O941" s="25" t="str">
        <f t="shared" si="5"/>
        <v/>
      </c>
      <c r="P941" s="25">
        <f t="shared" si="6"/>
        <v>0</v>
      </c>
      <c r="S941" s="25" t="str">
        <f t="shared" si="7"/>
        <v/>
      </c>
    </row>
    <row r="942" ht="15.75" customHeight="1">
      <c r="A942" s="25" t="str">
        <f t="shared" si="1"/>
        <v>P941</v>
      </c>
      <c r="B942" s="25"/>
      <c r="G942" s="25"/>
      <c r="K942" s="25">
        <f t="shared" si="2"/>
        <v>1</v>
      </c>
      <c r="L942" s="25" t="str">
        <f t="shared" si="8"/>
        <v>الأصل</v>
      </c>
      <c r="M942" s="25" t="str">
        <f t="shared" si="3"/>
        <v/>
      </c>
      <c r="N942" s="25" t="str">
        <f t="shared" si="4"/>
        <v/>
      </c>
      <c r="O942" s="25" t="str">
        <f t="shared" si="5"/>
        <v/>
      </c>
      <c r="P942" s="25">
        <f t="shared" si="6"/>
        <v>0</v>
      </c>
      <c r="S942" s="25" t="str">
        <f t="shared" si="7"/>
        <v/>
      </c>
    </row>
    <row r="943" ht="15.75" customHeight="1">
      <c r="A943" s="25" t="str">
        <f t="shared" si="1"/>
        <v>P942</v>
      </c>
      <c r="B943" s="25"/>
      <c r="G943" s="25"/>
      <c r="K943" s="25">
        <f t="shared" si="2"/>
        <v>1</v>
      </c>
      <c r="L943" s="25" t="str">
        <f t="shared" si="8"/>
        <v>الأصل</v>
      </c>
      <c r="M943" s="25" t="str">
        <f t="shared" si="3"/>
        <v/>
      </c>
      <c r="N943" s="25" t="str">
        <f t="shared" si="4"/>
        <v/>
      </c>
      <c r="O943" s="25" t="str">
        <f t="shared" si="5"/>
        <v/>
      </c>
      <c r="P943" s="25">
        <f t="shared" si="6"/>
        <v>0</v>
      </c>
      <c r="S943" s="25" t="str">
        <f t="shared" si="7"/>
        <v/>
      </c>
    </row>
    <row r="944" ht="15.75" customHeight="1">
      <c r="A944" s="25" t="str">
        <f t="shared" si="1"/>
        <v>P943</v>
      </c>
      <c r="B944" s="25"/>
      <c r="G944" s="25"/>
      <c r="K944" s="25">
        <f t="shared" si="2"/>
        <v>1</v>
      </c>
      <c r="L944" s="25" t="str">
        <f t="shared" si="8"/>
        <v>الأصل</v>
      </c>
      <c r="M944" s="25" t="str">
        <f t="shared" si="3"/>
        <v/>
      </c>
      <c r="N944" s="25" t="str">
        <f t="shared" si="4"/>
        <v/>
      </c>
      <c r="O944" s="25" t="str">
        <f t="shared" si="5"/>
        <v/>
      </c>
      <c r="P944" s="25">
        <f t="shared" si="6"/>
        <v>0</v>
      </c>
      <c r="S944" s="25" t="str">
        <f t="shared" si="7"/>
        <v/>
      </c>
    </row>
    <row r="945" ht="15.75" customHeight="1">
      <c r="A945" s="25" t="str">
        <f t="shared" si="1"/>
        <v>P944</v>
      </c>
      <c r="B945" s="25"/>
      <c r="G945" s="25"/>
      <c r="K945" s="25">
        <f t="shared" si="2"/>
        <v>1</v>
      </c>
      <c r="L945" s="25" t="str">
        <f t="shared" si="8"/>
        <v>الأصل</v>
      </c>
      <c r="M945" s="25" t="str">
        <f t="shared" si="3"/>
        <v/>
      </c>
      <c r="N945" s="25" t="str">
        <f t="shared" si="4"/>
        <v/>
      </c>
      <c r="O945" s="25" t="str">
        <f t="shared" si="5"/>
        <v/>
      </c>
      <c r="P945" s="25">
        <f t="shared" si="6"/>
        <v>0</v>
      </c>
      <c r="S945" s="25" t="str">
        <f t="shared" si="7"/>
        <v/>
      </c>
    </row>
    <row r="946" ht="15.75" customHeight="1">
      <c r="A946" s="25" t="str">
        <f t="shared" si="1"/>
        <v>P945</v>
      </c>
      <c r="B946" s="25"/>
      <c r="G946" s="25"/>
      <c r="K946" s="25">
        <f t="shared" si="2"/>
        <v>1</v>
      </c>
      <c r="L946" s="25" t="str">
        <f t="shared" si="8"/>
        <v>الأصل</v>
      </c>
      <c r="M946" s="25" t="str">
        <f t="shared" si="3"/>
        <v/>
      </c>
      <c r="N946" s="25" t="str">
        <f t="shared" si="4"/>
        <v/>
      </c>
      <c r="O946" s="25" t="str">
        <f t="shared" si="5"/>
        <v/>
      </c>
      <c r="P946" s="25">
        <f t="shared" si="6"/>
        <v>0</v>
      </c>
      <c r="S946" s="25" t="str">
        <f t="shared" si="7"/>
        <v/>
      </c>
    </row>
    <row r="947" ht="15.75" customHeight="1">
      <c r="A947" s="25" t="str">
        <f t="shared" si="1"/>
        <v>P946</v>
      </c>
      <c r="B947" s="25"/>
      <c r="G947" s="25"/>
      <c r="K947" s="25">
        <f t="shared" si="2"/>
        <v>1</v>
      </c>
      <c r="L947" s="25" t="str">
        <f t="shared" si="8"/>
        <v>الأصل</v>
      </c>
      <c r="M947" s="25" t="str">
        <f t="shared" si="3"/>
        <v/>
      </c>
      <c r="N947" s="25" t="str">
        <f t="shared" si="4"/>
        <v/>
      </c>
      <c r="O947" s="25" t="str">
        <f t="shared" si="5"/>
        <v/>
      </c>
      <c r="P947" s="25">
        <f t="shared" si="6"/>
        <v>0</v>
      </c>
      <c r="S947" s="25" t="str">
        <f t="shared" si="7"/>
        <v/>
      </c>
    </row>
    <row r="948" ht="15.75" customHeight="1">
      <c r="A948" s="25" t="str">
        <f t="shared" si="1"/>
        <v>P947</v>
      </c>
      <c r="B948" s="25"/>
      <c r="G948" s="25"/>
      <c r="K948" s="25">
        <f t="shared" si="2"/>
        <v>1</v>
      </c>
      <c r="L948" s="25" t="str">
        <f t="shared" si="8"/>
        <v>الأصل</v>
      </c>
      <c r="M948" s="25" t="str">
        <f t="shared" si="3"/>
        <v/>
      </c>
      <c r="N948" s="25" t="str">
        <f t="shared" si="4"/>
        <v/>
      </c>
      <c r="O948" s="25" t="str">
        <f t="shared" si="5"/>
        <v/>
      </c>
      <c r="P948" s="25">
        <f t="shared" si="6"/>
        <v>0</v>
      </c>
      <c r="S948" s="25" t="str">
        <f t="shared" si="7"/>
        <v/>
      </c>
    </row>
    <row r="949" ht="15.75" customHeight="1">
      <c r="A949" s="25" t="str">
        <f t="shared" si="1"/>
        <v>P948</v>
      </c>
      <c r="B949" s="25"/>
      <c r="G949" s="25"/>
      <c r="K949" s="25">
        <f t="shared" si="2"/>
        <v>1</v>
      </c>
      <c r="L949" s="25" t="str">
        <f t="shared" si="8"/>
        <v>الأصل</v>
      </c>
      <c r="M949" s="25" t="str">
        <f t="shared" si="3"/>
        <v/>
      </c>
      <c r="N949" s="25" t="str">
        <f t="shared" si="4"/>
        <v/>
      </c>
      <c r="O949" s="25" t="str">
        <f t="shared" si="5"/>
        <v/>
      </c>
      <c r="P949" s="25">
        <f t="shared" si="6"/>
        <v>0</v>
      </c>
      <c r="S949" s="25" t="str">
        <f t="shared" si="7"/>
        <v/>
      </c>
    </row>
    <row r="950" ht="15.75" customHeight="1">
      <c r="A950" s="25" t="str">
        <f t="shared" si="1"/>
        <v>P949</v>
      </c>
      <c r="B950" s="25"/>
      <c r="G950" s="25"/>
      <c r="K950" s="25">
        <f t="shared" si="2"/>
        <v>1</v>
      </c>
      <c r="L950" s="25" t="str">
        <f t="shared" si="8"/>
        <v>الأصل</v>
      </c>
      <c r="M950" s="25" t="str">
        <f t="shared" si="3"/>
        <v/>
      </c>
      <c r="N950" s="25" t="str">
        <f t="shared" si="4"/>
        <v/>
      </c>
      <c r="O950" s="25" t="str">
        <f t="shared" si="5"/>
        <v/>
      </c>
      <c r="P950" s="25">
        <f t="shared" si="6"/>
        <v>0</v>
      </c>
      <c r="S950" s="25" t="str">
        <f t="shared" si="7"/>
        <v/>
      </c>
    </row>
    <row r="951" ht="15.75" customHeight="1">
      <c r="A951" s="25" t="str">
        <f t="shared" si="1"/>
        <v>P950</v>
      </c>
      <c r="B951" s="25"/>
      <c r="G951" s="25"/>
      <c r="K951" s="25">
        <f t="shared" si="2"/>
        <v>1</v>
      </c>
      <c r="L951" s="25" t="str">
        <f t="shared" si="8"/>
        <v>الأصل</v>
      </c>
      <c r="M951" s="25" t="str">
        <f t="shared" si="3"/>
        <v/>
      </c>
      <c r="N951" s="25" t="str">
        <f t="shared" si="4"/>
        <v/>
      </c>
      <c r="O951" s="25" t="str">
        <f t="shared" si="5"/>
        <v/>
      </c>
      <c r="P951" s="25">
        <f t="shared" si="6"/>
        <v>0</v>
      </c>
      <c r="S951" s="25" t="str">
        <f t="shared" si="7"/>
        <v/>
      </c>
    </row>
    <row r="952" ht="15.75" customHeight="1">
      <c r="A952" s="25" t="str">
        <f t="shared" si="1"/>
        <v>P951</v>
      </c>
      <c r="B952" s="25"/>
      <c r="G952" s="25"/>
      <c r="K952" s="25">
        <f t="shared" si="2"/>
        <v>1</v>
      </c>
      <c r="L952" s="25" t="str">
        <f t="shared" si="8"/>
        <v>الأصل</v>
      </c>
      <c r="M952" s="25" t="str">
        <f t="shared" si="3"/>
        <v/>
      </c>
      <c r="N952" s="25" t="str">
        <f t="shared" si="4"/>
        <v/>
      </c>
      <c r="O952" s="25" t="str">
        <f t="shared" si="5"/>
        <v/>
      </c>
      <c r="P952" s="25">
        <f t="shared" si="6"/>
        <v>0</v>
      </c>
      <c r="S952" s="25" t="str">
        <f t="shared" si="7"/>
        <v/>
      </c>
    </row>
    <row r="953" ht="15.75" customHeight="1">
      <c r="A953" s="25" t="str">
        <f t="shared" si="1"/>
        <v>P952</v>
      </c>
      <c r="B953" s="25"/>
      <c r="G953" s="25"/>
      <c r="K953" s="25">
        <f t="shared" si="2"/>
        <v>1</v>
      </c>
      <c r="L953" s="25" t="str">
        <f t="shared" si="8"/>
        <v>الأصل</v>
      </c>
      <c r="M953" s="25" t="str">
        <f t="shared" si="3"/>
        <v/>
      </c>
      <c r="N953" s="25" t="str">
        <f t="shared" si="4"/>
        <v/>
      </c>
      <c r="O953" s="25" t="str">
        <f t="shared" si="5"/>
        <v/>
      </c>
      <c r="P953" s="25">
        <f t="shared" si="6"/>
        <v>0</v>
      </c>
      <c r="S953" s="25" t="str">
        <f t="shared" si="7"/>
        <v/>
      </c>
    </row>
    <row r="954" ht="15.75" customHeight="1">
      <c r="A954" s="25" t="str">
        <f t="shared" si="1"/>
        <v>P953</v>
      </c>
      <c r="B954" s="25"/>
      <c r="G954" s="25"/>
      <c r="K954" s="25">
        <f t="shared" si="2"/>
        <v>1</v>
      </c>
      <c r="L954" s="25" t="str">
        <f t="shared" si="8"/>
        <v>الأصل</v>
      </c>
      <c r="M954" s="25" t="str">
        <f t="shared" si="3"/>
        <v/>
      </c>
      <c r="N954" s="25" t="str">
        <f t="shared" si="4"/>
        <v/>
      </c>
      <c r="O954" s="25" t="str">
        <f t="shared" si="5"/>
        <v/>
      </c>
      <c r="P954" s="25">
        <f t="shared" si="6"/>
        <v>0</v>
      </c>
      <c r="S954" s="25" t="str">
        <f t="shared" si="7"/>
        <v/>
      </c>
    </row>
    <row r="955" ht="15.75" customHeight="1">
      <c r="A955" s="25" t="str">
        <f t="shared" si="1"/>
        <v>P954</v>
      </c>
      <c r="B955" s="25"/>
      <c r="G955" s="25"/>
      <c r="K955" s="25">
        <f t="shared" si="2"/>
        <v>1</v>
      </c>
      <c r="L955" s="25" t="str">
        <f t="shared" si="8"/>
        <v>الأصل</v>
      </c>
      <c r="M955" s="25" t="str">
        <f t="shared" si="3"/>
        <v/>
      </c>
      <c r="N955" s="25" t="str">
        <f t="shared" si="4"/>
        <v/>
      </c>
      <c r="O955" s="25" t="str">
        <f t="shared" si="5"/>
        <v/>
      </c>
      <c r="P955" s="25">
        <f t="shared" si="6"/>
        <v>0</v>
      </c>
      <c r="S955" s="25" t="str">
        <f t="shared" si="7"/>
        <v/>
      </c>
    </row>
    <row r="956" ht="15.75" customHeight="1">
      <c r="A956" s="25" t="str">
        <f t="shared" si="1"/>
        <v>P955</v>
      </c>
      <c r="B956" s="25"/>
      <c r="G956" s="25"/>
      <c r="K956" s="25">
        <f t="shared" si="2"/>
        <v>1</v>
      </c>
      <c r="L956" s="25" t="str">
        <f t="shared" si="8"/>
        <v>الأصل</v>
      </c>
      <c r="M956" s="25" t="str">
        <f t="shared" si="3"/>
        <v/>
      </c>
      <c r="N956" s="25" t="str">
        <f t="shared" si="4"/>
        <v/>
      </c>
      <c r="O956" s="25" t="str">
        <f t="shared" si="5"/>
        <v/>
      </c>
      <c r="P956" s="25">
        <f t="shared" si="6"/>
        <v>0</v>
      </c>
      <c r="S956" s="25" t="str">
        <f t="shared" si="7"/>
        <v/>
      </c>
    </row>
    <row r="957" ht="15.75" customHeight="1">
      <c r="A957" s="25" t="str">
        <f t="shared" si="1"/>
        <v>P956</v>
      </c>
      <c r="B957" s="25"/>
      <c r="G957" s="25"/>
      <c r="K957" s="25">
        <f t="shared" si="2"/>
        <v>1</v>
      </c>
      <c r="L957" s="25" t="str">
        <f t="shared" si="8"/>
        <v>الأصل</v>
      </c>
      <c r="M957" s="25" t="str">
        <f t="shared" si="3"/>
        <v/>
      </c>
      <c r="N957" s="25" t="str">
        <f t="shared" si="4"/>
        <v/>
      </c>
      <c r="O957" s="25" t="str">
        <f t="shared" si="5"/>
        <v/>
      </c>
      <c r="P957" s="25">
        <f t="shared" si="6"/>
        <v>0</v>
      </c>
      <c r="S957" s="25" t="str">
        <f t="shared" si="7"/>
        <v/>
      </c>
    </row>
    <row r="958" ht="15.75" customHeight="1">
      <c r="A958" s="25" t="str">
        <f t="shared" si="1"/>
        <v>P957</v>
      </c>
      <c r="B958" s="25"/>
      <c r="G958" s="25"/>
      <c r="K958" s="25">
        <f t="shared" si="2"/>
        <v>1</v>
      </c>
      <c r="L958" s="25" t="str">
        <f t="shared" si="8"/>
        <v>الأصل</v>
      </c>
      <c r="M958" s="25" t="str">
        <f t="shared" si="3"/>
        <v/>
      </c>
      <c r="N958" s="25" t="str">
        <f t="shared" si="4"/>
        <v/>
      </c>
      <c r="O958" s="25" t="str">
        <f t="shared" si="5"/>
        <v/>
      </c>
      <c r="P958" s="25">
        <f t="shared" si="6"/>
        <v>0</v>
      </c>
      <c r="S958" s="25" t="str">
        <f t="shared" si="7"/>
        <v/>
      </c>
    </row>
    <row r="959" ht="15.75" customHeight="1">
      <c r="A959" s="25" t="str">
        <f t="shared" si="1"/>
        <v>P958</v>
      </c>
      <c r="B959" s="25"/>
      <c r="G959" s="25"/>
      <c r="K959" s="25">
        <f t="shared" si="2"/>
        <v>1</v>
      </c>
      <c r="L959" s="25" t="str">
        <f t="shared" si="8"/>
        <v>الأصل</v>
      </c>
      <c r="M959" s="25" t="str">
        <f t="shared" si="3"/>
        <v/>
      </c>
      <c r="N959" s="25" t="str">
        <f t="shared" si="4"/>
        <v/>
      </c>
      <c r="O959" s="25" t="str">
        <f t="shared" si="5"/>
        <v/>
      </c>
      <c r="P959" s="25">
        <f t="shared" si="6"/>
        <v>0</v>
      </c>
      <c r="S959" s="25" t="str">
        <f t="shared" si="7"/>
        <v/>
      </c>
    </row>
    <row r="960" ht="15.75" customHeight="1">
      <c r="A960" s="25" t="str">
        <f t="shared" si="1"/>
        <v>P959</v>
      </c>
      <c r="B960" s="25"/>
      <c r="G960" s="25"/>
      <c r="K960" s="25">
        <f t="shared" si="2"/>
        <v>1</v>
      </c>
      <c r="L960" s="25" t="str">
        <f t="shared" si="8"/>
        <v>الأصل</v>
      </c>
      <c r="M960" s="25" t="str">
        <f t="shared" si="3"/>
        <v/>
      </c>
      <c r="N960" s="25" t="str">
        <f t="shared" si="4"/>
        <v/>
      </c>
      <c r="O960" s="25" t="str">
        <f t="shared" si="5"/>
        <v/>
      </c>
      <c r="P960" s="25">
        <f t="shared" si="6"/>
        <v>0</v>
      </c>
      <c r="S960" s="25" t="str">
        <f t="shared" si="7"/>
        <v/>
      </c>
    </row>
    <row r="961" ht="15.75" customHeight="1">
      <c r="A961" s="25" t="str">
        <f t="shared" si="1"/>
        <v>P960</v>
      </c>
      <c r="B961" s="25"/>
      <c r="G961" s="25"/>
      <c r="K961" s="25">
        <f t="shared" si="2"/>
        <v>1</v>
      </c>
      <c r="L961" s="25" t="str">
        <f t="shared" si="8"/>
        <v>الأصل</v>
      </c>
      <c r="M961" s="25" t="str">
        <f t="shared" si="3"/>
        <v/>
      </c>
      <c r="N961" s="25" t="str">
        <f t="shared" si="4"/>
        <v/>
      </c>
      <c r="O961" s="25" t="str">
        <f t="shared" si="5"/>
        <v/>
      </c>
      <c r="P961" s="25">
        <f t="shared" si="6"/>
        <v>0</v>
      </c>
      <c r="S961" s="25" t="str">
        <f t="shared" si="7"/>
        <v/>
      </c>
    </row>
    <row r="962" ht="15.75" customHeight="1">
      <c r="A962" s="25" t="str">
        <f t="shared" si="1"/>
        <v>P961</v>
      </c>
      <c r="B962" s="25"/>
      <c r="G962" s="25"/>
      <c r="K962" s="25">
        <f t="shared" si="2"/>
        <v>1</v>
      </c>
      <c r="L962" s="25" t="str">
        <f t="shared" si="8"/>
        <v>الأصل</v>
      </c>
      <c r="M962" s="25" t="str">
        <f t="shared" si="3"/>
        <v/>
      </c>
      <c r="N962" s="25" t="str">
        <f t="shared" si="4"/>
        <v/>
      </c>
      <c r="O962" s="25" t="str">
        <f t="shared" si="5"/>
        <v/>
      </c>
      <c r="P962" s="25">
        <f t="shared" si="6"/>
        <v>0</v>
      </c>
      <c r="S962" s="25" t="str">
        <f t="shared" si="7"/>
        <v/>
      </c>
    </row>
    <row r="963" ht="15.75" customHeight="1">
      <c r="A963" s="25" t="str">
        <f t="shared" si="1"/>
        <v>P962</v>
      </c>
      <c r="B963" s="25"/>
      <c r="G963" s="25"/>
      <c r="K963" s="25">
        <f t="shared" si="2"/>
        <v>1</v>
      </c>
      <c r="L963" s="25" t="str">
        <f t="shared" si="8"/>
        <v>الأصل</v>
      </c>
      <c r="M963" s="25" t="str">
        <f t="shared" si="3"/>
        <v/>
      </c>
      <c r="N963" s="25" t="str">
        <f t="shared" si="4"/>
        <v/>
      </c>
      <c r="O963" s="25" t="str">
        <f t="shared" si="5"/>
        <v/>
      </c>
      <c r="P963" s="25">
        <f t="shared" si="6"/>
        <v>0</v>
      </c>
      <c r="S963" s="25" t="str">
        <f t="shared" si="7"/>
        <v/>
      </c>
    </row>
    <row r="964" ht="15.75" customHeight="1">
      <c r="A964" s="25" t="str">
        <f t="shared" si="1"/>
        <v>P963</v>
      </c>
      <c r="B964" s="25"/>
      <c r="G964" s="25"/>
      <c r="K964" s="25">
        <f t="shared" si="2"/>
        <v>1</v>
      </c>
      <c r="L964" s="25" t="str">
        <f t="shared" si="8"/>
        <v>الأصل</v>
      </c>
      <c r="M964" s="25" t="str">
        <f t="shared" si="3"/>
        <v/>
      </c>
      <c r="N964" s="25" t="str">
        <f t="shared" si="4"/>
        <v/>
      </c>
      <c r="O964" s="25" t="str">
        <f t="shared" si="5"/>
        <v/>
      </c>
      <c r="P964" s="25">
        <f t="shared" si="6"/>
        <v>0</v>
      </c>
      <c r="S964" s="25" t="str">
        <f t="shared" si="7"/>
        <v/>
      </c>
    </row>
    <row r="965" ht="15.75" customHeight="1">
      <c r="A965" s="25" t="str">
        <f t="shared" si="1"/>
        <v>P964</v>
      </c>
      <c r="B965" s="25"/>
      <c r="G965" s="25"/>
      <c r="K965" s="25">
        <f t="shared" si="2"/>
        <v>1</v>
      </c>
      <c r="L965" s="25" t="str">
        <f t="shared" si="8"/>
        <v>الأصل</v>
      </c>
      <c r="M965" s="25" t="str">
        <f t="shared" si="3"/>
        <v/>
      </c>
      <c r="N965" s="25" t="str">
        <f t="shared" si="4"/>
        <v/>
      </c>
      <c r="O965" s="25" t="str">
        <f t="shared" si="5"/>
        <v/>
      </c>
      <c r="P965" s="25">
        <f t="shared" si="6"/>
        <v>0</v>
      </c>
      <c r="S965" s="25" t="str">
        <f t="shared" si="7"/>
        <v/>
      </c>
    </row>
    <row r="966" ht="15.75" customHeight="1">
      <c r="A966" s="25" t="str">
        <f t="shared" si="1"/>
        <v>P965</v>
      </c>
      <c r="B966" s="25"/>
      <c r="G966" s="25"/>
      <c r="K966" s="25">
        <f t="shared" si="2"/>
        <v>1</v>
      </c>
      <c r="L966" s="25" t="str">
        <f t="shared" si="8"/>
        <v>الأصل</v>
      </c>
      <c r="M966" s="25" t="str">
        <f t="shared" si="3"/>
        <v/>
      </c>
      <c r="N966" s="25" t="str">
        <f t="shared" si="4"/>
        <v/>
      </c>
      <c r="O966" s="25" t="str">
        <f t="shared" si="5"/>
        <v/>
      </c>
      <c r="P966" s="25">
        <f t="shared" si="6"/>
        <v>0</v>
      </c>
      <c r="S966" s="25" t="str">
        <f t="shared" si="7"/>
        <v/>
      </c>
    </row>
    <row r="967" ht="15.75" customHeight="1">
      <c r="A967" s="25" t="str">
        <f t="shared" si="1"/>
        <v>P966</v>
      </c>
      <c r="B967" s="25"/>
      <c r="G967" s="25"/>
      <c r="K967" s="25">
        <f t="shared" si="2"/>
        <v>1</v>
      </c>
      <c r="L967" s="25" t="str">
        <f t="shared" si="8"/>
        <v>الأصل</v>
      </c>
      <c r="M967" s="25" t="str">
        <f t="shared" si="3"/>
        <v/>
      </c>
      <c r="N967" s="25" t="str">
        <f t="shared" si="4"/>
        <v/>
      </c>
      <c r="O967" s="25" t="str">
        <f t="shared" si="5"/>
        <v/>
      </c>
      <c r="P967" s="25">
        <f t="shared" si="6"/>
        <v>0</v>
      </c>
      <c r="S967" s="25" t="str">
        <f t="shared" si="7"/>
        <v/>
      </c>
    </row>
    <row r="968" ht="15.75" customHeight="1">
      <c r="A968" s="25" t="str">
        <f t="shared" si="1"/>
        <v>P967</v>
      </c>
      <c r="B968" s="25"/>
      <c r="G968" s="25"/>
      <c r="K968" s="25">
        <f t="shared" si="2"/>
        <v>1</v>
      </c>
      <c r="L968" s="25" t="str">
        <f t="shared" si="8"/>
        <v>الأصل</v>
      </c>
      <c r="M968" s="25" t="str">
        <f t="shared" si="3"/>
        <v/>
      </c>
      <c r="N968" s="25" t="str">
        <f t="shared" si="4"/>
        <v/>
      </c>
      <c r="O968" s="25" t="str">
        <f t="shared" si="5"/>
        <v/>
      </c>
      <c r="P968" s="25">
        <f t="shared" si="6"/>
        <v>0</v>
      </c>
      <c r="S968" s="25" t="str">
        <f t="shared" si="7"/>
        <v/>
      </c>
    </row>
    <row r="969" ht="15.75" customHeight="1">
      <c r="A969" s="25" t="str">
        <f t="shared" si="1"/>
        <v>P968</v>
      </c>
      <c r="B969" s="25"/>
      <c r="G969" s="25"/>
      <c r="K969" s="25">
        <f t="shared" si="2"/>
        <v>1</v>
      </c>
      <c r="L969" s="25" t="str">
        <f t="shared" si="8"/>
        <v>الأصل</v>
      </c>
      <c r="M969" s="25" t="str">
        <f t="shared" si="3"/>
        <v/>
      </c>
      <c r="N969" s="25" t="str">
        <f t="shared" si="4"/>
        <v/>
      </c>
      <c r="O969" s="25" t="str">
        <f t="shared" si="5"/>
        <v/>
      </c>
      <c r="P969" s="25">
        <f t="shared" si="6"/>
        <v>0</v>
      </c>
      <c r="S969" s="25" t="str">
        <f t="shared" si="7"/>
        <v/>
      </c>
    </row>
    <row r="970" ht="15.75" customHeight="1">
      <c r="A970" s="25" t="str">
        <f t="shared" si="1"/>
        <v>P969</v>
      </c>
      <c r="B970" s="25"/>
      <c r="G970" s="25"/>
      <c r="K970" s="25">
        <f t="shared" si="2"/>
        <v>1</v>
      </c>
      <c r="L970" s="25" t="str">
        <f t="shared" si="8"/>
        <v>الأصل</v>
      </c>
      <c r="M970" s="25" t="str">
        <f t="shared" si="3"/>
        <v/>
      </c>
      <c r="N970" s="25" t="str">
        <f t="shared" si="4"/>
        <v/>
      </c>
      <c r="O970" s="25" t="str">
        <f t="shared" si="5"/>
        <v/>
      </c>
      <c r="P970" s="25">
        <f t="shared" si="6"/>
        <v>0</v>
      </c>
      <c r="S970" s="25" t="str">
        <f t="shared" si="7"/>
        <v/>
      </c>
    </row>
    <row r="971" ht="15.75" customHeight="1">
      <c r="A971" s="25" t="str">
        <f t="shared" si="1"/>
        <v>P970</v>
      </c>
      <c r="B971" s="25"/>
      <c r="G971" s="25"/>
      <c r="K971" s="25">
        <f t="shared" si="2"/>
        <v>1</v>
      </c>
      <c r="L971" s="25" t="str">
        <f t="shared" si="8"/>
        <v>الأصل</v>
      </c>
      <c r="M971" s="25" t="str">
        <f t="shared" si="3"/>
        <v/>
      </c>
      <c r="N971" s="25" t="str">
        <f t="shared" si="4"/>
        <v/>
      </c>
      <c r="O971" s="25" t="str">
        <f t="shared" si="5"/>
        <v/>
      </c>
      <c r="P971" s="25">
        <f t="shared" si="6"/>
        <v>0</v>
      </c>
      <c r="S971" s="25" t="str">
        <f t="shared" si="7"/>
        <v/>
      </c>
    </row>
    <row r="972" ht="15.75" customHeight="1">
      <c r="A972" s="25" t="str">
        <f t="shared" si="1"/>
        <v>P971</v>
      </c>
      <c r="B972" s="25"/>
      <c r="G972" s="25"/>
      <c r="K972" s="25">
        <f t="shared" si="2"/>
        <v>1</v>
      </c>
      <c r="L972" s="25" t="str">
        <f t="shared" si="8"/>
        <v>الأصل</v>
      </c>
      <c r="M972" s="25" t="str">
        <f t="shared" si="3"/>
        <v/>
      </c>
      <c r="N972" s="25" t="str">
        <f t="shared" si="4"/>
        <v/>
      </c>
      <c r="O972" s="25" t="str">
        <f t="shared" si="5"/>
        <v/>
      </c>
      <c r="P972" s="25">
        <f t="shared" si="6"/>
        <v>0</v>
      </c>
      <c r="S972" s="25" t="str">
        <f t="shared" si="7"/>
        <v/>
      </c>
    </row>
    <row r="973" ht="15.75" customHeight="1">
      <c r="A973" s="25" t="str">
        <f t="shared" si="1"/>
        <v>P972</v>
      </c>
      <c r="B973" s="25"/>
      <c r="G973" s="25"/>
      <c r="K973" s="25">
        <f t="shared" si="2"/>
        <v>1</v>
      </c>
      <c r="L973" s="25" t="str">
        <f t="shared" si="8"/>
        <v>الأصل</v>
      </c>
      <c r="M973" s="25" t="str">
        <f t="shared" si="3"/>
        <v/>
      </c>
      <c r="N973" s="25" t="str">
        <f t="shared" si="4"/>
        <v/>
      </c>
      <c r="O973" s="25" t="str">
        <f t="shared" si="5"/>
        <v/>
      </c>
      <c r="P973" s="25">
        <f t="shared" si="6"/>
        <v>0</v>
      </c>
      <c r="S973" s="25" t="str">
        <f t="shared" si="7"/>
        <v/>
      </c>
    </row>
    <row r="974" ht="15.75" customHeight="1">
      <c r="A974" s="25" t="str">
        <f t="shared" si="1"/>
        <v>P973</v>
      </c>
      <c r="B974" s="25"/>
      <c r="G974" s="25"/>
      <c r="K974" s="25">
        <f t="shared" si="2"/>
        <v>1</v>
      </c>
      <c r="L974" s="25" t="str">
        <f t="shared" si="8"/>
        <v>الأصل</v>
      </c>
      <c r="M974" s="25" t="str">
        <f t="shared" si="3"/>
        <v/>
      </c>
      <c r="N974" s="25" t="str">
        <f t="shared" si="4"/>
        <v/>
      </c>
      <c r="O974" s="25" t="str">
        <f t="shared" si="5"/>
        <v/>
      </c>
      <c r="P974" s="25">
        <f t="shared" si="6"/>
        <v>0</v>
      </c>
      <c r="S974" s="25" t="str">
        <f t="shared" si="7"/>
        <v/>
      </c>
    </row>
    <row r="975" ht="15.75" customHeight="1">
      <c r="A975" s="25" t="str">
        <f t="shared" si="1"/>
        <v>P974</v>
      </c>
      <c r="B975" s="25"/>
      <c r="G975" s="25"/>
      <c r="K975" s="25">
        <f t="shared" si="2"/>
        <v>1</v>
      </c>
      <c r="L975" s="25" t="str">
        <f t="shared" si="8"/>
        <v>الأصل</v>
      </c>
      <c r="M975" s="25" t="str">
        <f t="shared" si="3"/>
        <v/>
      </c>
      <c r="N975" s="25" t="str">
        <f t="shared" si="4"/>
        <v/>
      </c>
      <c r="O975" s="25" t="str">
        <f t="shared" si="5"/>
        <v/>
      </c>
      <c r="P975" s="25">
        <f t="shared" si="6"/>
        <v>0</v>
      </c>
      <c r="S975" s="25" t="str">
        <f t="shared" si="7"/>
        <v/>
      </c>
    </row>
    <row r="976" ht="15.75" customHeight="1">
      <c r="A976" s="25" t="str">
        <f t="shared" si="1"/>
        <v>P975</v>
      </c>
      <c r="B976" s="25"/>
      <c r="G976" s="25"/>
      <c r="K976" s="25">
        <f t="shared" si="2"/>
        <v>1</v>
      </c>
      <c r="L976" s="25" t="str">
        <f t="shared" si="8"/>
        <v>الأصل</v>
      </c>
      <c r="M976" s="25" t="str">
        <f t="shared" si="3"/>
        <v/>
      </c>
      <c r="N976" s="25" t="str">
        <f t="shared" si="4"/>
        <v/>
      </c>
      <c r="O976" s="25" t="str">
        <f t="shared" si="5"/>
        <v/>
      </c>
      <c r="P976" s="25">
        <f t="shared" si="6"/>
        <v>0</v>
      </c>
      <c r="S976" s="25" t="str">
        <f t="shared" si="7"/>
        <v/>
      </c>
    </row>
    <row r="977" ht="15.75" customHeight="1">
      <c r="A977" s="25" t="str">
        <f t="shared" si="1"/>
        <v>P976</v>
      </c>
      <c r="B977" s="25"/>
      <c r="G977" s="25"/>
      <c r="K977" s="25">
        <f t="shared" si="2"/>
        <v>1</v>
      </c>
      <c r="L977" s="25" t="str">
        <f t="shared" si="8"/>
        <v>الأصل</v>
      </c>
      <c r="M977" s="25" t="str">
        <f t="shared" si="3"/>
        <v/>
      </c>
      <c r="N977" s="25" t="str">
        <f t="shared" si="4"/>
        <v/>
      </c>
      <c r="O977" s="25" t="str">
        <f t="shared" si="5"/>
        <v/>
      </c>
      <c r="P977" s="25">
        <f t="shared" si="6"/>
        <v>0</v>
      </c>
      <c r="S977" s="25" t="str">
        <f t="shared" si="7"/>
        <v/>
      </c>
    </row>
    <row r="978" ht="15.75" customHeight="1">
      <c r="A978" s="25" t="str">
        <f t="shared" si="1"/>
        <v>P977</v>
      </c>
      <c r="B978" s="25"/>
      <c r="G978" s="25"/>
      <c r="K978" s="25">
        <f t="shared" si="2"/>
        <v>1</v>
      </c>
      <c r="L978" s="25" t="str">
        <f t="shared" si="8"/>
        <v>الأصل</v>
      </c>
      <c r="M978" s="25" t="str">
        <f t="shared" si="3"/>
        <v/>
      </c>
      <c r="N978" s="25" t="str">
        <f t="shared" si="4"/>
        <v/>
      </c>
      <c r="O978" s="25" t="str">
        <f t="shared" si="5"/>
        <v/>
      </c>
      <c r="P978" s="25">
        <f t="shared" si="6"/>
        <v>0</v>
      </c>
      <c r="S978" s="25" t="str">
        <f t="shared" si="7"/>
        <v/>
      </c>
    </row>
    <row r="979" ht="15.75" customHeight="1">
      <c r="A979" s="25" t="str">
        <f t="shared" si="1"/>
        <v>P978</v>
      </c>
      <c r="B979" s="25"/>
      <c r="G979" s="25"/>
      <c r="K979" s="25">
        <f t="shared" si="2"/>
        <v>1</v>
      </c>
      <c r="L979" s="25" t="str">
        <f t="shared" si="8"/>
        <v>الأصل</v>
      </c>
      <c r="M979" s="25" t="str">
        <f t="shared" si="3"/>
        <v/>
      </c>
      <c r="N979" s="25" t="str">
        <f t="shared" si="4"/>
        <v/>
      </c>
      <c r="O979" s="25" t="str">
        <f t="shared" si="5"/>
        <v/>
      </c>
      <c r="P979" s="25">
        <f t="shared" si="6"/>
        <v>0</v>
      </c>
      <c r="S979" s="25" t="str">
        <f t="shared" si="7"/>
        <v/>
      </c>
    </row>
    <row r="980" ht="15.75" customHeight="1">
      <c r="A980" s="25" t="str">
        <f t="shared" si="1"/>
        <v>P979</v>
      </c>
      <c r="B980" s="25"/>
      <c r="G980" s="25"/>
      <c r="K980" s="25">
        <f t="shared" si="2"/>
        <v>1</v>
      </c>
      <c r="L980" s="25" t="str">
        <f t="shared" si="8"/>
        <v>الأصل</v>
      </c>
      <c r="M980" s="25" t="str">
        <f t="shared" si="3"/>
        <v/>
      </c>
      <c r="N980" s="25" t="str">
        <f t="shared" si="4"/>
        <v/>
      </c>
      <c r="O980" s="25" t="str">
        <f t="shared" si="5"/>
        <v/>
      </c>
      <c r="P980" s="25">
        <f t="shared" si="6"/>
        <v>0</v>
      </c>
      <c r="S980" s="25" t="str">
        <f t="shared" si="7"/>
        <v/>
      </c>
    </row>
    <row r="981" ht="15.75" customHeight="1">
      <c r="A981" s="25" t="str">
        <f t="shared" si="1"/>
        <v>P980</v>
      </c>
      <c r="B981" s="25"/>
      <c r="G981" s="25"/>
      <c r="K981" s="25">
        <f t="shared" si="2"/>
        <v>1</v>
      </c>
      <c r="L981" s="25" t="str">
        <f t="shared" si="8"/>
        <v>الأصل</v>
      </c>
      <c r="M981" s="25" t="str">
        <f t="shared" si="3"/>
        <v/>
      </c>
      <c r="N981" s="25" t="str">
        <f t="shared" si="4"/>
        <v/>
      </c>
      <c r="O981" s="25" t="str">
        <f t="shared" si="5"/>
        <v/>
      </c>
      <c r="P981" s="25">
        <f t="shared" si="6"/>
        <v>0</v>
      </c>
      <c r="S981" s="25" t="str">
        <f t="shared" si="7"/>
        <v/>
      </c>
    </row>
    <row r="982" ht="15.75" customHeight="1">
      <c r="A982" s="25" t="str">
        <f t="shared" si="1"/>
        <v>P981</v>
      </c>
      <c r="B982" s="25"/>
      <c r="G982" s="25"/>
      <c r="K982" s="25">
        <f t="shared" si="2"/>
        <v>1</v>
      </c>
      <c r="L982" s="25" t="str">
        <f t="shared" si="8"/>
        <v>الأصل</v>
      </c>
      <c r="M982" s="25" t="str">
        <f t="shared" si="3"/>
        <v/>
      </c>
      <c r="N982" s="25" t="str">
        <f t="shared" si="4"/>
        <v/>
      </c>
      <c r="O982" s="25" t="str">
        <f t="shared" si="5"/>
        <v/>
      </c>
      <c r="P982" s="25">
        <f t="shared" si="6"/>
        <v>0</v>
      </c>
      <c r="S982" s="25" t="str">
        <f t="shared" si="7"/>
        <v/>
      </c>
    </row>
    <row r="983" ht="15.75" customHeight="1">
      <c r="A983" s="25" t="str">
        <f t="shared" si="1"/>
        <v>P982</v>
      </c>
      <c r="K983" s="25">
        <f t="shared" si="2"/>
        <v>1</v>
      </c>
      <c r="L983" s="25" t="str">
        <f t="shared" si="8"/>
        <v>الأصل</v>
      </c>
      <c r="M983" s="25" t="str">
        <f t="shared" si="3"/>
        <v/>
      </c>
      <c r="N983" s="25" t="str">
        <f t="shared" si="4"/>
        <v/>
      </c>
      <c r="O983" s="25" t="str">
        <f t="shared" si="5"/>
        <v/>
      </c>
      <c r="P983" s="25">
        <f t="shared" si="6"/>
        <v>0</v>
      </c>
      <c r="S983" s="25" t="str">
        <f t="shared" si="7"/>
        <v/>
      </c>
    </row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</sheetData>
  <autoFilter ref="$A$1:$N$983">
    <filterColumn colId="11">
      <filters>
        <filter val="العبدالكريم"/>
        <filter val="الأصل"/>
      </filters>
    </filterColumn>
  </autoFilter>
  <conditionalFormatting sqref="A2:S982">
    <cfRule type="expression" dxfId="0" priority="1">
      <formula>$G2="Male"</formula>
    </cfRule>
  </conditionalFormatting>
  <conditionalFormatting sqref="A2:S982">
    <cfRule type="expression" dxfId="1" priority="2">
      <formula>$G2="Female"</formula>
    </cfRule>
  </conditionalFormatting>
  <conditionalFormatting sqref="B2:B982 C5:C33 D7:D33 E11:E33 C35:E38 C154:C318 D154:D234 E156:E234 D236:D269 E238:E269 D271:D318 E274:E318 C320:C390 D323:D390 E328:E353 E357:E390">
    <cfRule type="expression" dxfId="2" priority="3">
      <formula>$K2=1</formula>
    </cfRule>
  </conditionalFormatting>
  <dataValidations>
    <dataValidation type="list" allowBlank="1" showDropDown="1" sqref="G2:G982">
      <formula1>"Male,Female"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30.0" customHeight="1">
      <c r="A1" s="82" t="s">
        <v>339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0"/>
    </row>
    <row r="3">
      <c r="B3" s="83" t="s">
        <v>340</v>
      </c>
      <c r="F3" s="83" t="s">
        <v>341</v>
      </c>
      <c r="J3" s="83" t="s">
        <v>342</v>
      </c>
      <c r="N3" s="83" t="s">
        <v>343</v>
      </c>
      <c r="R3" s="83" t="s">
        <v>344</v>
      </c>
      <c r="V3" s="83" t="s">
        <v>345</v>
      </c>
    </row>
    <row r="5">
      <c r="B5" s="84" t="str">
        <f t="array" ref="B5">IF(COUNTIF(REGISTRY!K:K,1)&gt;0,INDEX(REGISTRY!M:M,MATCH(1,REGISTRY!K:K,0)),"No Root")</f>
        <v>حمد ال شايع</v>
      </c>
      <c r="C5" s="85"/>
      <c r="D5" s="39"/>
    </row>
    <row r="6">
      <c r="B6" s="40"/>
      <c r="C6" s="86"/>
      <c r="D6" s="41"/>
    </row>
    <row r="8">
      <c r="F8" s="87" t="str">
        <f t="array" ref="F8">IFERROR(INDEX(REGISTRY!M:M,SMALL(IF(REGISTRY!K:K=2,ROW(REGISTRY!K:K)),1)),"")</f>
        <v>ابراهيم بن حمد بن - </v>
      </c>
      <c r="G8" s="44"/>
      <c r="H8" s="45"/>
    </row>
    <row r="9">
      <c r="F9" s="52"/>
      <c r="G9" s="53"/>
      <c r="H9" s="54"/>
    </row>
    <row r="12">
      <c r="F12" s="87" t="str">
        <f t="array" ref="F12">IFERROR(INDEX(REGISTRY!M:M,SMALL(IF(REGISTRY!K:K=2,ROW(REGISTRY!K:K)),2)),"")</f>
        <v>عبدالكريم بن حمد بن - </v>
      </c>
      <c r="G12" s="44"/>
      <c r="H12" s="45"/>
    </row>
    <row r="13">
      <c r="F13" s="52"/>
      <c r="G13" s="53"/>
      <c r="H13" s="54"/>
    </row>
    <row r="16">
      <c r="F16" s="87" t="str">
        <f t="array" ref="F16">IFERROR(INDEX(REGISTRY!M:M,SMALL(IF(REGISTRY!K:K=2,ROW(REGISTRY!K:K)),3)),"")</f>
        <v>فوزان بن حمد بن - </v>
      </c>
      <c r="G16" s="44"/>
      <c r="H16" s="45"/>
    </row>
    <row r="17">
      <c r="F17" s="52"/>
      <c r="G17" s="53"/>
      <c r="H17" s="54"/>
    </row>
    <row r="20">
      <c r="F20" s="87" t="str">
        <f t="array" ref="F20">IFERROR(INDEX(REGISTRY!M:M,SMALL(IF(REGISTRY!K:K=2,ROW(REGISTRY!K:K)),4)),"")</f>
        <v/>
      </c>
      <c r="G20" s="44"/>
      <c r="H20" s="45"/>
    </row>
    <row r="21" ht="15.75" customHeight="1">
      <c r="F21" s="52"/>
      <c r="G21" s="53"/>
      <c r="H21" s="54"/>
    </row>
    <row r="22" ht="15.75" customHeight="1"/>
    <row r="23" ht="15.75" customHeight="1"/>
    <row r="24" ht="15.75" customHeight="1">
      <c r="F24" s="87" t="str">
        <f t="array" ref="F24">IFERROR(INDEX(REGISTRY!M:M,SMALL(IF(REGISTRY!K:K=2,ROW(REGISTRY!K:K)),5)),"")</f>
        <v/>
      </c>
      <c r="G24" s="44"/>
      <c r="H24" s="45"/>
    </row>
    <row r="25" ht="15.75" customHeight="1">
      <c r="F25" s="52"/>
      <c r="G25" s="53"/>
      <c r="H25" s="5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V1"/>
    <mergeCell ref="B5:D6"/>
    <mergeCell ref="F8:H9"/>
    <mergeCell ref="F12:H13"/>
    <mergeCell ref="F16:H17"/>
    <mergeCell ref="F20:H21"/>
    <mergeCell ref="F24:H2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8" t="s">
        <v>76</v>
      </c>
      <c r="B1" s="88" t="s">
        <v>346</v>
      </c>
      <c r="C1" s="88" t="s">
        <v>53</v>
      </c>
      <c r="D1" s="88" t="s">
        <v>89</v>
      </c>
      <c r="E1" s="88" t="s">
        <v>58</v>
      </c>
    </row>
    <row r="2">
      <c r="A2" s="25" t="str">
        <f>IF(REGISTRY!G2="Male",REGISTRY!A2,"")</f>
        <v/>
      </c>
      <c r="B2" s="25" t="str">
        <f>IF(REGISTRY!G2="Male",REGISTRY!M2,"")</f>
        <v/>
      </c>
      <c r="C2" s="25" t="str">
        <f>IF(REGISTRY!G2="Male",REGISTRY!K2,"")</f>
        <v/>
      </c>
      <c r="D2" s="25" t="str">
        <f>IF(REGISTRY!G2="Male",REGISTRY!P2,"")</f>
        <v/>
      </c>
      <c r="E2" s="25" t="str">
        <f>IF(REGISTRY!G2="Male",REGISTRY!L2,"")</f>
        <v/>
      </c>
    </row>
    <row r="3">
      <c r="A3" s="25" t="str">
        <f>IF(REGISTRY!G3="Male",REGISTRY!A3,"")</f>
        <v>P002</v>
      </c>
      <c r="B3" s="25" t="str">
        <f>IF(REGISTRY!G3="Male",REGISTRY!M3,"")</f>
        <v>ابراهيم بن حمد بن - </v>
      </c>
      <c r="C3" s="25">
        <f>IF(REGISTRY!G3="Male",REGISTRY!K3,"")</f>
        <v>2</v>
      </c>
      <c r="D3" s="25">
        <f>IF(REGISTRY!G3="Male",REGISTRY!P3,"")</f>
        <v>0</v>
      </c>
      <c r="E3" s="25" t="str">
        <f>IF(REGISTRY!G3="Male",REGISTRY!L3,"")</f>
        <v>الابراهيم</v>
      </c>
    </row>
    <row r="4">
      <c r="A4" s="25" t="str">
        <f>IF(REGISTRY!G4="Male",REGISTRY!A4,"")</f>
        <v>P003</v>
      </c>
      <c r="B4" s="25" t="str">
        <f>IF(REGISTRY!G4="Male",REGISTRY!M4,"")</f>
        <v>عبدالكريم بن حمد بن - </v>
      </c>
      <c r="C4" s="25">
        <f>IF(REGISTRY!G4="Male",REGISTRY!K4,"")</f>
        <v>2</v>
      </c>
      <c r="D4" s="25">
        <f>IF(REGISTRY!G4="Male",REGISTRY!P4,"")</f>
        <v>0</v>
      </c>
      <c r="E4" s="25" t="str">
        <f>IF(REGISTRY!G4="Male",REGISTRY!L4,"")</f>
        <v>العبدالكريم</v>
      </c>
    </row>
    <row r="5">
      <c r="A5" s="25" t="str">
        <f>IF(REGISTRY!G5="Male",REGISTRY!A5,"")</f>
        <v>P004</v>
      </c>
      <c r="B5" s="25" t="str">
        <f>IF(REGISTRY!G5="Male",REGISTRY!M5,"")</f>
        <v>فوزان بن حمد بن - </v>
      </c>
      <c r="C5" s="25">
        <f>IF(REGISTRY!G5="Male",REGISTRY!K5,"")</f>
        <v>2</v>
      </c>
      <c r="D5" s="25">
        <f>IF(REGISTRY!G5="Male",REGISTRY!P5,"")</f>
        <v>0</v>
      </c>
      <c r="E5" s="25" t="str">
        <f>IF(REGISTRY!G5="Male",REGISTRY!L5,"")</f>
        <v>الفوزان</v>
      </c>
    </row>
    <row r="6">
      <c r="A6" s="25" t="str">
        <f>IF(REGISTRY!G6="Male",REGISTRY!A6,"")</f>
        <v>P005</v>
      </c>
      <c r="B6" s="25" t="str">
        <f>IF(REGISTRY!G6="Male",REGISTRY!M6,"")</f>
        <v>محمد بن ابراهيم بن حمد </v>
      </c>
      <c r="C6" s="25">
        <f>IF(REGISTRY!G6="Male",REGISTRY!K6,"")</f>
        <v>3</v>
      </c>
      <c r="D6" s="25">
        <f>IF(REGISTRY!G6="Male",REGISTRY!P6,"")</f>
        <v>0</v>
      </c>
      <c r="E6" s="25" t="str">
        <f>IF(REGISTRY!G6="Male",REGISTRY!L6,"")</f>
        <v>الابراهيم</v>
      </c>
    </row>
    <row r="7">
      <c r="A7" s="25" t="str">
        <f>IF(REGISTRY!G7="Male",REGISTRY!A7,"")</f>
        <v>P006</v>
      </c>
      <c r="B7" s="25" t="str">
        <f>IF(REGISTRY!G7="Male",REGISTRY!M7,"")</f>
        <v>ناصر بن ابراهيم بن حمد </v>
      </c>
      <c r="C7" s="25">
        <f>IF(REGISTRY!G7="Male",REGISTRY!K7,"")</f>
        <v>3</v>
      </c>
      <c r="D7" s="25">
        <f>IF(REGISTRY!G7="Male",REGISTRY!P7,"")</f>
        <v>0</v>
      </c>
      <c r="E7" s="25" t="str">
        <f>IF(REGISTRY!G7="Male",REGISTRY!L7,"")</f>
        <v>الابراهيم</v>
      </c>
    </row>
    <row r="8">
      <c r="A8" s="25" t="str">
        <f>IF(REGISTRY!G8="Male",REGISTRY!A8,"")</f>
        <v>P007</v>
      </c>
      <c r="B8" s="25" t="str">
        <f>IF(REGISTRY!G8="Male",REGISTRY!M8,"")</f>
        <v>ابراهيم بن محمد بن ابراهيم حمد</v>
      </c>
      <c r="C8" s="25">
        <f>IF(REGISTRY!G8="Male",REGISTRY!K8,"")</f>
        <v>4</v>
      </c>
      <c r="D8" s="25">
        <f>IF(REGISTRY!G8="Male",REGISTRY!P8,"")</f>
        <v>0</v>
      </c>
      <c r="E8" s="25" t="str">
        <f>IF(REGISTRY!G8="Male",REGISTRY!L8,"")</f>
        <v>الابراهيم</v>
      </c>
    </row>
    <row r="9">
      <c r="A9" s="25" t="str">
        <f>IF(REGISTRY!G9="Male",REGISTRY!A9,"")</f>
        <v>P008</v>
      </c>
      <c r="B9" s="25" t="str">
        <f>IF(REGISTRY!G9="Male",REGISTRY!M9,"")</f>
        <v>عبدالمحسن بن محمد بن ابراهيم حمد</v>
      </c>
      <c r="C9" s="25">
        <f>IF(REGISTRY!G9="Male",REGISTRY!K9,"")</f>
        <v>4</v>
      </c>
      <c r="D9" s="25">
        <f>IF(REGISTRY!G9="Male",REGISTRY!P9,"")</f>
        <v>0</v>
      </c>
      <c r="E9" s="25" t="str">
        <f>IF(REGISTRY!G9="Male",REGISTRY!L9,"")</f>
        <v>الابراهيم</v>
      </c>
    </row>
    <row r="10">
      <c r="A10" s="25" t="str">
        <f>IF(REGISTRY!G10="Male",REGISTRY!A10,"")</f>
        <v>P009</v>
      </c>
      <c r="B10" s="25" t="str">
        <f>IF(REGISTRY!G10="Male",REGISTRY!M10,"")</f>
        <v>عبدالرحمن بن محمد بن ابراهيم حمد</v>
      </c>
      <c r="C10" s="25">
        <f>IF(REGISTRY!G10="Male",REGISTRY!K10,"")</f>
        <v>4</v>
      </c>
      <c r="D10" s="25">
        <f>IF(REGISTRY!G10="Male",REGISTRY!P10,"")</f>
        <v>0</v>
      </c>
      <c r="E10" s="25" t="str">
        <f>IF(REGISTRY!G10="Male",REGISTRY!L10,"")</f>
        <v>الابراهيم</v>
      </c>
    </row>
    <row r="11">
      <c r="A11" s="25" t="str">
        <f>IF(REGISTRY!G11="Male",REGISTRY!A11,"")</f>
        <v>P010</v>
      </c>
      <c r="B11" s="25" t="str">
        <f>IF(REGISTRY!G11="Male",REGISTRY!M11,"")</f>
        <v>عبدالمحسن بن ناصر بن ابراهيم حمد</v>
      </c>
      <c r="C11" s="25">
        <f>IF(REGISTRY!G11="Male",REGISTRY!K11,"")</f>
        <v>4</v>
      </c>
      <c r="D11" s="25">
        <f>IF(REGISTRY!G11="Male",REGISTRY!P11,"")</f>
        <v>0</v>
      </c>
      <c r="E11" s="25" t="str">
        <f>IF(REGISTRY!G11="Male",REGISTRY!L11,"")</f>
        <v>الابراهيم</v>
      </c>
    </row>
    <row r="12">
      <c r="A12" s="25" t="str">
        <f>IF(REGISTRY!G12="Male",REGISTRY!A12,"")</f>
        <v>P011</v>
      </c>
      <c r="B12" s="25" t="str">
        <f>IF(REGISTRY!G12="Male",REGISTRY!M12,"")</f>
        <v>ابراهيم بن ناصر بن ابراهيم حمد</v>
      </c>
      <c r="C12" s="25">
        <f>IF(REGISTRY!G12="Male",REGISTRY!K12,"")</f>
        <v>4</v>
      </c>
      <c r="D12" s="25">
        <f>IF(REGISTRY!G12="Male",REGISTRY!P12,"")</f>
        <v>0</v>
      </c>
      <c r="E12" s="25" t="str">
        <f>IF(REGISTRY!G12="Male",REGISTRY!L12,"")</f>
        <v>الابراهيم</v>
      </c>
    </row>
    <row r="13">
      <c r="A13" s="25" t="str">
        <f>IF(REGISTRY!G13="Male",REGISTRY!A13,"")</f>
        <v>P012</v>
      </c>
      <c r="B13" s="25" t="str">
        <f>IF(REGISTRY!G13="Male",REGISTRY!M13,"")</f>
        <v>ناصر بن ابراهيم بن ناصر ابراهيم</v>
      </c>
      <c r="C13" s="25">
        <f>IF(REGISTRY!G13="Male",REGISTRY!K13,"")</f>
        <v>5</v>
      </c>
      <c r="D13" s="25">
        <f>IF(REGISTRY!G13="Male",REGISTRY!P13,"")</f>
        <v>0</v>
      </c>
      <c r="E13" s="25" t="str">
        <f>IF(REGISTRY!G13="Male",REGISTRY!L13,"")</f>
        <v>الابراهيم</v>
      </c>
    </row>
    <row r="14">
      <c r="A14" s="25" t="str">
        <f>IF(REGISTRY!G14="Male",REGISTRY!A14,"")</f>
        <v>P013</v>
      </c>
      <c r="B14" s="25" t="str">
        <f>IF(REGISTRY!G14="Male",REGISTRY!M14,"")</f>
        <v>عبدالرحمن بن ابراهيم بن ناصر ابراهيم</v>
      </c>
      <c r="C14" s="25">
        <f>IF(REGISTRY!G14="Male",REGISTRY!K14,"")</f>
        <v>5</v>
      </c>
      <c r="D14" s="25">
        <f>IF(REGISTRY!G14="Male",REGISTRY!P14,"")</f>
        <v>0</v>
      </c>
      <c r="E14" s="25" t="str">
        <f>IF(REGISTRY!G14="Male",REGISTRY!L14,"")</f>
        <v>الابراهيم</v>
      </c>
    </row>
    <row r="15">
      <c r="A15" s="25" t="str">
        <f>IF(REGISTRY!G15="Male",REGISTRY!A15,"")</f>
        <v>P014</v>
      </c>
      <c r="B15" s="25" t="str">
        <f>IF(REGISTRY!G15="Male",REGISTRY!M15,"")</f>
        <v>عبدالكريم بن ابراهيم بن ناصر ابراهيم</v>
      </c>
      <c r="C15" s="25">
        <f>IF(REGISTRY!G15="Male",REGISTRY!K15,"")</f>
        <v>5</v>
      </c>
      <c r="D15" s="25">
        <f>IF(REGISTRY!G15="Male",REGISTRY!P15,"")</f>
        <v>0</v>
      </c>
      <c r="E15" s="25" t="str">
        <f>IF(REGISTRY!G15="Male",REGISTRY!L15,"")</f>
        <v>الابراهيم</v>
      </c>
    </row>
    <row r="16">
      <c r="A16" s="25" t="str">
        <f>IF(REGISTRY!G16="Male",REGISTRY!A16,"")</f>
        <v>P015</v>
      </c>
      <c r="B16" s="25" t="str">
        <f>IF(REGISTRY!G16="Male",REGISTRY!M16,"")</f>
        <v>عبدالعزيز بن ابراهيم بن ناصر ابراهيم</v>
      </c>
      <c r="C16" s="25">
        <f>IF(REGISTRY!G16="Male",REGISTRY!K16,"")</f>
        <v>5</v>
      </c>
      <c r="D16" s="25">
        <f>IF(REGISTRY!G16="Male",REGISTRY!P16,"")</f>
        <v>0</v>
      </c>
      <c r="E16" s="25" t="str">
        <f>IF(REGISTRY!G16="Male",REGISTRY!L16,"")</f>
        <v>الابراهيم</v>
      </c>
    </row>
    <row r="17">
      <c r="A17" s="25" t="str">
        <f>IF(REGISTRY!G17="Male",REGISTRY!A17,"")</f>
        <v>P016</v>
      </c>
      <c r="B17" s="25" t="str">
        <f>IF(REGISTRY!G17="Male",REGISTRY!M17,"")</f>
        <v>محمد بن ناصر بن ابراهيم ناصر</v>
      </c>
      <c r="C17" s="25">
        <f>IF(REGISTRY!G17="Male",REGISTRY!K17,"")</f>
        <v>6</v>
      </c>
      <c r="D17" s="25">
        <f>IF(REGISTRY!G17="Male",REGISTRY!P17,"")</f>
        <v>0</v>
      </c>
      <c r="E17" s="25" t="str">
        <f>IF(REGISTRY!G17="Male",REGISTRY!L17,"")</f>
        <v>الابراهيم</v>
      </c>
    </row>
    <row r="18">
      <c r="A18" s="25" t="str">
        <f>IF(REGISTRY!G18="Male",REGISTRY!A18,"")</f>
        <v>P017</v>
      </c>
      <c r="B18" s="25" t="str">
        <f>IF(REGISTRY!G18="Male",REGISTRY!M18,"")</f>
        <v>ابراهيم بن ناصر بن ابراهيم ناصر</v>
      </c>
      <c r="C18" s="25">
        <f>IF(REGISTRY!G18="Male",REGISTRY!K18,"")</f>
        <v>6</v>
      </c>
      <c r="D18" s="25">
        <f>IF(REGISTRY!G18="Male",REGISTRY!P18,"")</f>
        <v>0</v>
      </c>
      <c r="E18" s="25" t="str">
        <f>IF(REGISTRY!G18="Male",REGISTRY!L18,"")</f>
        <v>الابراهيم</v>
      </c>
    </row>
    <row r="19">
      <c r="A19" s="25" t="str">
        <f>IF(REGISTRY!G19="Male",REGISTRY!A19,"")</f>
        <v>P018</v>
      </c>
      <c r="B19" s="25" t="str">
        <f>IF(REGISTRY!G19="Male",REGISTRY!M19,"")</f>
        <v>سعد بن ناصر بن ابراهيم ناصر</v>
      </c>
      <c r="C19" s="25">
        <f>IF(REGISTRY!G19="Male",REGISTRY!K19,"")</f>
        <v>6</v>
      </c>
      <c r="D19" s="25">
        <f>IF(REGISTRY!G19="Male",REGISTRY!P19,"")</f>
        <v>0</v>
      </c>
      <c r="E19" s="25" t="str">
        <f>IF(REGISTRY!G19="Male",REGISTRY!L19,"")</f>
        <v>الابراهيم</v>
      </c>
    </row>
    <row r="20">
      <c r="A20" s="25" t="str">
        <f>IF(REGISTRY!G20="Male",REGISTRY!A20,"")</f>
        <v>P019</v>
      </c>
      <c r="B20" s="25" t="str">
        <f>IF(REGISTRY!G20="Male",REGISTRY!M20,"")</f>
        <v>فهد بن ناصر بن ابراهيم ناصر</v>
      </c>
      <c r="C20" s="25">
        <f>IF(REGISTRY!G20="Male",REGISTRY!K20,"")</f>
        <v>6</v>
      </c>
      <c r="D20" s="25">
        <f>IF(REGISTRY!G20="Male",REGISTRY!P20,"")</f>
        <v>0</v>
      </c>
      <c r="E20" s="25" t="str">
        <f>IF(REGISTRY!G20="Male",REGISTRY!L20,"")</f>
        <v>الابراهيم</v>
      </c>
    </row>
    <row r="21" ht="15.75" customHeight="1">
      <c r="A21" s="25" t="str">
        <f>IF(REGISTRY!G21="Male",REGISTRY!A21,"")</f>
        <v>P020</v>
      </c>
      <c r="B21" s="25" t="str">
        <f>IF(REGISTRY!G21="Male",REGISTRY!M21,"")</f>
        <v>خالد بن ناصر بن ابراهيم ناصر</v>
      </c>
      <c r="C21" s="25">
        <f>IF(REGISTRY!G21="Male",REGISTRY!K21,"")</f>
        <v>6</v>
      </c>
      <c r="D21" s="25">
        <f>IF(REGISTRY!G21="Male",REGISTRY!P21,"")</f>
        <v>0</v>
      </c>
      <c r="E21" s="25" t="str">
        <f>IF(REGISTRY!G21="Male",REGISTRY!L21,"")</f>
        <v>الابراهيم</v>
      </c>
    </row>
    <row r="22" ht="15.75" customHeight="1">
      <c r="A22" s="25" t="str">
        <f>IF(REGISTRY!G22="Male",REGISTRY!A22,"")</f>
        <v>P021</v>
      </c>
      <c r="B22" s="25" t="str">
        <f>IF(REGISTRY!G22="Male",REGISTRY!M22,"")</f>
        <v>شايع بن ناصر بن ابراهيم ناصر</v>
      </c>
      <c r="C22" s="25">
        <f>IF(REGISTRY!G22="Male",REGISTRY!K22,"")</f>
        <v>6</v>
      </c>
      <c r="D22" s="25">
        <f>IF(REGISTRY!G22="Male",REGISTRY!P22,"")</f>
        <v>0</v>
      </c>
      <c r="E22" s="25" t="str">
        <f>IF(REGISTRY!G22="Male",REGISTRY!L22,"")</f>
        <v>الابراهيم</v>
      </c>
    </row>
    <row r="23" ht="15.75" customHeight="1">
      <c r="A23" s="25" t="str">
        <f>IF(REGISTRY!G23="Male",REGISTRY!A23,"")</f>
        <v>P022</v>
      </c>
      <c r="B23" s="25" t="str">
        <f>IF(REGISTRY!G23="Male",REGISTRY!M23,"")</f>
        <v>خالد بن محمد بن ناصر ابراهيم</v>
      </c>
      <c r="C23" s="25">
        <f>IF(REGISTRY!G23="Male",REGISTRY!K23,"")</f>
        <v>7</v>
      </c>
      <c r="D23" s="25">
        <f>IF(REGISTRY!G23="Male",REGISTRY!P23,"")</f>
        <v>0</v>
      </c>
      <c r="E23" s="25" t="str">
        <f>IF(REGISTRY!G23="Male",REGISTRY!L23,"")</f>
        <v>الابراهيم</v>
      </c>
    </row>
    <row r="24" ht="15.75" customHeight="1">
      <c r="A24" s="25" t="str">
        <f>IF(REGISTRY!G24="Male",REGISTRY!A24,"")</f>
        <v>P023</v>
      </c>
      <c r="B24" s="25" t="str">
        <f>IF(REGISTRY!G24="Male",REGISTRY!M24,"")</f>
        <v>وليد بن محمد بن ناصر ابراهيم</v>
      </c>
      <c r="C24" s="25">
        <f>IF(REGISTRY!G24="Male",REGISTRY!K24,"")</f>
        <v>7</v>
      </c>
      <c r="D24" s="25">
        <f>IF(REGISTRY!G24="Male",REGISTRY!P24,"")</f>
        <v>0</v>
      </c>
      <c r="E24" s="25" t="str">
        <f>IF(REGISTRY!G24="Male",REGISTRY!L24,"")</f>
        <v>الابراهيم</v>
      </c>
    </row>
    <row r="25" ht="15.75" customHeight="1">
      <c r="A25" s="25" t="str">
        <f>IF(REGISTRY!G25="Male",REGISTRY!A25,"")</f>
        <v>P024</v>
      </c>
      <c r="B25" s="25" t="str">
        <f>IF(REGISTRY!G25="Male",REGISTRY!M25,"")</f>
        <v>عبدالعزيز بن محمد بن ناصر ابراهيم</v>
      </c>
      <c r="C25" s="25">
        <f>IF(REGISTRY!G25="Male",REGISTRY!K25,"")</f>
        <v>7</v>
      </c>
      <c r="D25" s="25">
        <f>IF(REGISTRY!G25="Male",REGISTRY!P25,"")</f>
        <v>0</v>
      </c>
      <c r="E25" s="25" t="str">
        <f>IF(REGISTRY!G25="Male",REGISTRY!L25,"")</f>
        <v>الابراهيم</v>
      </c>
    </row>
    <row r="26" ht="15.75" customHeight="1">
      <c r="A26" s="25" t="str">
        <f>IF(REGISTRY!G26="Male",REGISTRY!A26,"")</f>
        <v>P025</v>
      </c>
      <c r="B26" s="25" t="str">
        <f>IF(REGISTRY!G26="Male",REGISTRY!M26,"")</f>
        <v>فيصل بن محمد بن ناصر ابراهيم</v>
      </c>
      <c r="C26" s="25">
        <f>IF(REGISTRY!G26="Male",REGISTRY!K26,"")</f>
        <v>7</v>
      </c>
      <c r="D26" s="25">
        <f>IF(REGISTRY!G26="Male",REGISTRY!P26,"")</f>
        <v>0</v>
      </c>
      <c r="E26" s="25" t="str">
        <f>IF(REGISTRY!G26="Male",REGISTRY!L26,"")</f>
        <v>الابراهيم</v>
      </c>
    </row>
    <row r="27" ht="15.75" customHeight="1">
      <c r="A27" s="25" t="str">
        <f>IF(REGISTRY!G27="Male",REGISTRY!A27,"")</f>
        <v>P026</v>
      </c>
      <c r="B27" s="25" t="str">
        <f>IF(REGISTRY!G27="Male",REGISTRY!M27,"")</f>
        <v>يزيد بن ابراهيم بن ناصر ابراهيم</v>
      </c>
      <c r="C27" s="25">
        <f>IF(REGISTRY!G27="Male",REGISTRY!K27,"")</f>
        <v>7</v>
      </c>
      <c r="D27" s="25">
        <f>IF(REGISTRY!G27="Male",REGISTRY!P27,"")</f>
        <v>0</v>
      </c>
      <c r="E27" s="25" t="str">
        <f>IF(REGISTRY!G27="Male",REGISTRY!L27,"")</f>
        <v>الابراهيم</v>
      </c>
    </row>
    <row r="28" ht="15.75" customHeight="1">
      <c r="A28" s="25" t="str">
        <f>IF(REGISTRY!G28="Male",REGISTRY!A28,"")</f>
        <v>P027</v>
      </c>
      <c r="B28" s="25" t="str">
        <f>IF(REGISTRY!G28="Male",REGISTRY!M28,"")</f>
        <v>ناصر بن ابراهيم بن ناصر ابراهيم</v>
      </c>
      <c r="C28" s="25">
        <f>IF(REGISTRY!G28="Male",REGISTRY!K28,"")</f>
        <v>7</v>
      </c>
      <c r="D28" s="25">
        <f>IF(REGISTRY!G28="Male",REGISTRY!P28,"")</f>
        <v>0</v>
      </c>
      <c r="E28" s="25" t="str">
        <f>IF(REGISTRY!G28="Male",REGISTRY!L28,"")</f>
        <v>الابراهيم</v>
      </c>
    </row>
    <row r="29" ht="15.75" customHeight="1">
      <c r="A29" s="25" t="str">
        <f>IF(REGISTRY!G29="Male",REGISTRY!A29,"")</f>
        <v>P028</v>
      </c>
      <c r="B29" s="25" t="str">
        <f>IF(REGISTRY!G29="Male",REGISTRY!M29,"")</f>
        <v>عبدالعزيز بن ابراهيم بن ناصر ابراهيم</v>
      </c>
      <c r="C29" s="25">
        <f>IF(REGISTRY!G29="Male",REGISTRY!K29,"")</f>
        <v>7</v>
      </c>
      <c r="D29" s="25">
        <f>IF(REGISTRY!G29="Male",REGISTRY!P29,"")</f>
        <v>0</v>
      </c>
      <c r="E29" s="25" t="str">
        <f>IF(REGISTRY!G29="Male",REGISTRY!L29,"")</f>
        <v>الابراهيم</v>
      </c>
    </row>
    <row r="30" ht="15.75" customHeight="1">
      <c r="A30" s="25" t="str">
        <f>IF(REGISTRY!G30="Male",REGISTRY!A30,"")</f>
        <v>P029</v>
      </c>
      <c r="B30" s="25" t="str">
        <f>IF(REGISTRY!G30="Male",REGISTRY!M30,"")</f>
        <v>عبدالله بن ابراهيم بن ناصر ابراهيم</v>
      </c>
      <c r="C30" s="25">
        <f>IF(REGISTRY!G30="Male",REGISTRY!K30,"")</f>
        <v>7</v>
      </c>
      <c r="D30" s="25">
        <f>IF(REGISTRY!G30="Male",REGISTRY!P30,"")</f>
        <v>0</v>
      </c>
      <c r="E30" s="25" t="str">
        <f>IF(REGISTRY!G30="Male",REGISTRY!L30,"")</f>
        <v>الابراهيم</v>
      </c>
    </row>
    <row r="31" ht="15.75" customHeight="1">
      <c r="A31" s="25" t="str">
        <f>IF(REGISTRY!G31="Male",REGISTRY!A31,"")</f>
        <v>P030</v>
      </c>
      <c r="B31" s="25" t="str">
        <f>IF(REGISTRY!G31="Male",REGISTRY!M31,"")</f>
        <v>ناصر بن سعد بن ناصر ابراهيم</v>
      </c>
      <c r="C31" s="25">
        <f>IF(REGISTRY!G31="Male",REGISTRY!K31,"")</f>
        <v>7</v>
      </c>
      <c r="D31" s="25">
        <f>IF(REGISTRY!G31="Male",REGISTRY!P31,"")</f>
        <v>0</v>
      </c>
      <c r="E31" s="25" t="str">
        <f>IF(REGISTRY!G31="Male",REGISTRY!L31,"")</f>
        <v>الابراهيم</v>
      </c>
    </row>
    <row r="32" ht="15.75" customHeight="1">
      <c r="A32" s="25" t="str">
        <f>IF(REGISTRY!G32="Male",REGISTRY!A32,"")</f>
        <v>P031</v>
      </c>
      <c r="B32" s="25" t="str">
        <f>IF(REGISTRY!G32="Male",REGISTRY!M32,"")</f>
        <v>عبدالرحمن بن سعد بن ناصر ابراهيم</v>
      </c>
      <c r="C32" s="25">
        <f>IF(REGISTRY!G32="Male",REGISTRY!K32,"")</f>
        <v>7</v>
      </c>
      <c r="D32" s="25">
        <f>IF(REGISTRY!G32="Male",REGISTRY!P32,"")</f>
        <v>0</v>
      </c>
      <c r="E32" s="25" t="str">
        <f>IF(REGISTRY!G32="Male",REGISTRY!L32,"")</f>
        <v>الابراهيم</v>
      </c>
    </row>
    <row r="33" ht="15.75" customHeight="1">
      <c r="A33" s="25" t="str">
        <f>IF(REGISTRY!G33="Male",REGISTRY!A33,"")</f>
        <v>P032</v>
      </c>
      <c r="B33" s="25" t="str">
        <f>IF(REGISTRY!G33="Male",REGISTRY!M33,"")</f>
        <v>عبدالاله بن سعد بن ناصر ابراهيم</v>
      </c>
      <c r="C33" s="25">
        <f>IF(REGISTRY!G33="Male",REGISTRY!K33,"")</f>
        <v>7</v>
      </c>
      <c r="D33" s="25">
        <f>IF(REGISTRY!G33="Male",REGISTRY!P33,"")</f>
        <v>0</v>
      </c>
      <c r="E33" s="25" t="str">
        <f>IF(REGISTRY!G33="Male",REGISTRY!L33,"")</f>
        <v>الابراهيم</v>
      </c>
    </row>
    <row r="34" ht="15.75" customHeight="1">
      <c r="A34" s="25" t="str">
        <f>IF(REGISTRY!G34="Male",REGISTRY!A34,"")</f>
        <v>P033</v>
      </c>
      <c r="B34" s="25" t="str">
        <f>IF(REGISTRY!G34="Male",REGISTRY!M34,"")</f>
        <v>ناصر  بن فهد بن ناصر ابراهيم</v>
      </c>
      <c r="C34" s="25">
        <f>IF(REGISTRY!G34="Male",REGISTRY!K34,"")</f>
        <v>7</v>
      </c>
      <c r="D34" s="25">
        <f>IF(REGISTRY!G34="Male",REGISTRY!P34,"")</f>
        <v>0</v>
      </c>
      <c r="E34" s="25" t="str">
        <f>IF(REGISTRY!G34="Male",REGISTRY!L34,"")</f>
        <v>الابراهيم</v>
      </c>
    </row>
    <row r="35" ht="15.75" customHeight="1">
      <c r="A35" s="25" t="str">
        <f>IF(REGISTRY!G35="Male",REGISTRY!A35,"")</f>
        <v>P034</v>
      </c>
      <c r="B35" s="25" t="str">
        <f>IF(REGISTRY!G35="Male",REGISTRY!M35,"")</f>
        <v>عبدالرحمن بن فهد بن ناصر ابراهيم</v>
      </c>
      <c r="C35" s="25">
        <f>IF(REGISTRY!G35="Male",REGISTRY!K35,"")</f>
        <v>7</v>
      </c>
      <c r="D35" s="25">
        <f>IF(REGISTRY!G35="Male",REGISTRY!P35,"")</f>
        <v>0</v>
      </c>
      <c r="E35" s="25" t="str">
        <f>IF(REGISTRY!G35="Male",REGISTRY!L35,"")</f>
        <v>الابراهيم</v>
      </c>
    </row>
    <row r="36" ht="15.75" customHeight="1">
      <c r="A36" s="25" t="str">
        <f>IF(REGISTRY!G36="Male",REGISTRY!A36,"")</f>
        <v>P035</v>
      </c>
      <c r="B36" s="25" t="str">
        <f>IF(REGISTRY!G36="Male",REGISTRY!M36,"")</f>
        <v>البراء بن فهد بن ناصر ابراهيم</v>
      </c>
      <c r="C36" s="25">
        <f>IF(REGISTRY!G36="Male",REGISTRY!K36,"")</f>
        <v>7</v>
      </c>
      <c r="D36" s="25">
        <f>IF(REGISTRY!G36="Male",REGISTRY!P36,"")</f>
        <v>0</v>
      </c>
      <c r="E36" s="25" t="str">
        <f>IF(REGISTRY!G36="Male",REGISTRY!L36,"")</f>
        <v>الابراهيم</v>
      </c>
    </row>
    <row r="37" ht="15.75" customHeight="1">
      <c r="A37" s="25" t="str">
        <f>IF(REGISTRY!G37="Male",REGISTRY!A37,"")</f>
        <v>P036</v>
      </c>
      <c r="B37" s="25" t="str">
        <f>IF(REGISTRY!G37="Male",REGISTRY!M37,"")</f>
        <v>ناصر بن خالد بن ناصر ابراهيم</v>
      </c>
      <c r="C37" s="25">
        <f>IF(REGISTRY!G37="Male",REGISTRY!K37,"")</f>
        <v>7</v>
      </c>
      <c r="D37" s="25">
        <f>IF(REGISTRY!G37="Male",REGISTRY!P37,"")</f>
        <v>0</v>
      </c>
      <c r="E37" s="25" t="str">
        <f>IF(REGISTRY!G37="Male",REGISTRY!L37,"")</f>
        <v>الابراهيم</v>
      </c>
    </row>
    <row r="38" ht="15.75" customHeight="1">
      <c r="A38" s="25" t="str">
        <f>IF(REGISTRY!G38="Male",REGISTRY!A38,"")</f>
        <v>P037</v>
      </c>
      <c r="B38" s="25" t="str">
        <f>IF(REGISTRY!G38="Male",REGISTRY!M38,"")</f>
        <v>ناصر  بن شايع بن ناصر ابراهيم</v>
      </c>
      <c r="C38" s="25">
        <f>IF(REGISTRY!G38="Male",REGISTRY!K38,"")</f>
        <v>7</v>
      </c>
      <c r="D38" s="25">
        <f>IF(REGISTRY!G38="Male",REGISTRY!P38,"")</f>
        <v>0</v>
      </c>
      <c r="E38" s="25" t="str">
        <f>IF(REGISTRY!G38="Male",REGISTRY!L38,"")</f>
        <v>الابراهيم</v>
      </c>
    </row>
    <row r="39" ht="15.75" customHeight="1">
      <c r="A39" s="25" t="str">
        <f>IF(REGISTRY!G39="Male",REGISTRY!A39,"")</f>
        <v>P038</v>
      </c>
      <c r="B39" s="25" t="str">
        <f>IF(REGISTRY!G39="Male",REGISTRY!M39,"")</f>
        <v>ابراهيم بن عبدالرحمن بن ابراهيم ناصر</v>
      </c>
      <c r="C39" s="25">
        <f>IF(REGISTRY!G39="Male",REGISTRY!K39,"")</f>
        <v>6</v>
      </c>
      <c r="D39" s="25">
        <f>IF(REGISTRY!G39="Male",REGISTRY!P39,"")</f>
        <v>0</v>
      </c>
      <c r="E39" s="25" t="str">
        <f>IF(REGISTRY!G39="Male",REGISTRY!L39,"")</f>
        <v>الابراهيم</v>
      </c>
    </row>
    <row r="40" ht="15.75" customHeight="1">
      <c r="A40" s="25" t="str">
        <f>IF(REGISTRY!G40="Male",REGISTRY!A40,"")</f>
        <v>P039</v>
      </c>
      <c r="B40" s="25" t="str">
        <f>IF(REGISTRY!G40="Male",REGISTRY!M40,"")</f>
        <v>عبدالله بن عبدالرحمن بن ابراهيم ناصر</v>
      </c>
      <c r="C40" s="25">
        <f>IF(REGISTRY!G40="Male",REGISTRY!K40,"")</f>
        <v>6</v>
      </c>
      <c r="D40" s="25">
        <f>IF(REGISTRY!G40="Male",REGISTRY!P40,"")</f>
        <v>0</v>
      </c>
      <c r="E40" s="25" t="str">
        <f>IF(REGISTRY!G40="Male",REGISTRY!L40,"")</f>
        <v>الابراهيم</v>
      </c>
    </row>
    <row r="41" ht="15.75" customHeight="1">
      <c r="A41" s="25" t="str">
        <f>IF(REGISTRY!G41="Male",REGISTRY!A41,"")</f>
        <v>P040</v>
      </c>
      <c r="B41" s="25" t="str">
        <f>IF(REGISTRY!G41="Male",REGISTRY!M41,"")</f>
        <v>محمد بن عبدالرحمن بن ابراهيم ناصر</v>
      </c>
      <c r="C41" s="25">
        <f>IF(REGISTRY!G41="Male",REGISTRY!K41,"")</f>
        <v>6</v>
      </c>
      <c r="D41" s="25">
        <f>IF(REGISTRY!G41="Male",REGISTRY!P41,"")</f>
        <v>0</v>
      </c>
      <c r="E41" s="25" t="str">
        <f>IF(REGISTRY!G41="Male",REGISTRY!L41,"")</f>
        <v>الابراهيم</v>
      </c>
    </row>
    <row r="42" ht="15.75" customHeight="1">
      <c r="A42" s="25" t="str">
        <f>IF(REGISTRY!G42="Male",REGISTRY!A42,"")</f>
        <v>P041</v>
      </c>
      <c r="B42" s="25" t="str">
        <f>IF(REGISTRY!G42="Male",REGISTRY!M42,"")</f>
        <v>أحمد بن عبدالرحمن بن ابراهيم ناصر</v>
      </c>
      <c r="C42" s="25">
        <f>IF(REGISTRY!G42="Male",REGISTRY!K42,"")</f>
        <v>6</v>
      </c>
      <c r="D42" s="25">
        <f>IF(REGISTRY!G42="Male",REGISTRY!P42,"")</f>
        <v>0</v>
      </c>
      <c r="E42" s="25" t="str">
        <f>IF(REGISTRY!G42="Male",REGISTRY!L42,"")</f>
        <v>الابراهيم</v>
      </c>
    </row>
    <row r="43" ht="15.75" customHeight="1">
      <c r="A43" s="25" t="str">
        <f>IF(REGISTRY!G43="Male",REGISTRY!A43,"")</f>
        <v>P042</v>
      </c>
      <c r="B43" s="25" t="str">
        <f>IF(REGISTRY!G43="Male",REGISTRY!M43,"")</f>
        <v>عادل بن ابراهيم بن عبدالرحمن ابراهيم</v>
      </c>
      <c r="C43" s="25">
        <f>IF(REGISTRY!G43="Male",REGISTRY!K43,"")</f>
        <v>7</v>
      </c>
      <c r="D43" s="25">
        <f>IF(REGISTRY!G43="Male",REGISTRY!P43,"")</f>
        <v>0</v>
      </c>
      <c r="E43" s="25" t="str">
        <f>IF(REGISTRY!G43="Male",REGISTRY!L43,"")</f>
        <v>الابراهيم</v>
      </c>
    </row>
    <row r="44" ht="15.75" customHeight="1">
      <c r="A44" s="25" t="str">
        <f>IF(REGISTRY!G44="Male",REGISTRY!A44,"")</f>
        <v>P043</v>
      </c>
      <c r="B44" s="25" t="str">
        <f>IF(REGISTRY!G44="Male",REGISTRY!M44,"")</f>
        <v>عبدالرحمن بن ابراهيم بن عبدالرحمن ابراهيم</v>
      </c>
      <c r="C44" s="25">
        <f>IF(REGISTRY!G44="Male",REGISTRY!K44,"")</f>
        <v>7</v>
      </c>
      <c r="D44" s="25">
        <f>IF(REGISTRY!G44="Male",REGISTRY!P44,"")</f>
        <v>0</v>
      </c>
      <c r="E44" s="25" t="str">
        <f>IF(REGISTRY!G44="Male",REGISTRY!L44,"")</f>
        <v>الابراهيم</v>
      </c>
    </row>
    <row r="45" ht="15.75" customHeight="1">
      <c r="A45" s="25" t="str">
        <f>IF(REGISTRY!G45="Male",REGISTRY!A45,"")</f>
        <v>P044</v>
      </c>
      <c r="B45" s="25" t="str">
        <f>IF(REGISTRY!G45="Male",REGISTRY!M45,"")</f>
        <v>عبدالله بن ابراهيم بن عبدالرحمن ابراهيم</v>
      </c>
      <c r="C45" s="25">
        <f>IF(REGISTRY!G45="Male",REGISTRY!K45,"")</f>
        <v>7</v>
      </c>
      <c r="D45" s="25">
        <f>IF(REGISTRY!G45="Male",REGISTRY!P45,"")</f>
        <v>0</v>
      </c>
      <c r="E45" s="25" t="str">
        <f>IF(REGISTRY!G45="Male",REGISTRY!L45,"")</f>
        <v>الابراهيم</v>
      </c>
    </row>
    <row r="46" ht="15.75" customHeight="1">
      <c r="A46" s="25" t="str">
        <f>IF(REGISTRY!G46="Male",REGISTRY!A46,"")</f>
        <v/>
      </c>
      <c r="B46" s="25" t="str">
        <f>IF(REGISTRY!G46="Male",REGISTRY!M46,"")</f>
        <v/>
      </c>
      <c r="C46" s="25" t="str">
        <f>IF(REGISTRY!G46="Male",REGISTRY!K46,"")</f>
        <v/>
      </c>
      <c r="D46" s="25" t="str">
        <f>IF(REGISTRY!G46="Male",REGISTRY!P46,"")</f>
        <v/>
      </c>
      <c r="E46" s="25" t="str">
        <f>IF(REGISTRY!G46="Male",REGISTRY!L46,"")</f>
        <v/>
      </c>
    </row>
    <row r="47" ht="15.75" customHeight="1">
      <c r="A47" s="25" t="str">
        <f>IF(REGISTRY!G47="Male",REGISTRY!A47,"")</f>
        <v/>
      </c>
      <c r="B47" s="25" t="str">
        <f>IF(REGISTRY!G47="Male",REGISTRY!M47,"")</f>
        <v/>
      </c>
      <c r="C47" s="25" t="str">
        <f>IF(REGISTRY!G47="Male",REGISTRY!K47,"")</f>
        <v/>
      </c>
      <c r="D47" s="25" t="str">
        <f>IF(REGISTRY!G47="Male",REGISTRY!P47,"")</f>
        <v/>
      </c>
      <c r="E47" s="25" t="str">
        <f>IF(REGISTRY!G47="Male",REGISTRY!L47,"")</f>
        <v/>
      </c>
    </row>
    <row r="48" ht="15.75" customHeight="1">
      <c r="A48" s="25" t="str">
        <f>IF(REGISTRY!G48="Male",REGISTRY!A48,"")</f>
        <v>P047</v>
      </c>
      <c r="B48" s="25" t="str">
        <f>IF(REGISTRY!G48="Male",REGISTRY!M48,"")</f>
        <v>عبدالرحمن بن عبدالله بن عبدالرحمن ابراهيم</v>
      </c>
      <c r="C48" s="25">
        <f>IF(REGISTRY!G48="Male",REGISTRY!K48,"")</f>
        <v>7</v>
      </c>
      <c r="D48" s="25">
        <f>IF(REGISTRY!G48="Male",REGISTRY!P48,"")</f>
        <v>0</v>
      </c>
      <c r="E48" s="25" t="str">
        <f>IF(REGISTRY!G48="Male",REGISTRY!L48,"")</f>
        <v>الابراهيم</v>
      </c>
    </row>
    <row r="49" ht="15.75" customHeight="1">
      <c r="A49" s="25" t="str">
        <f>IF(REGISTRY!G49="Male",REGISTRY!A49,"")</f>
        <v>P048</v>
      </c>
      <c r="B49" s="25" t="str">
        <f>IF(REGISTRY!G49="Male",REGISTRY!M49,"")</f>
        <v>محمد بن عبدالله بن عبدالرحمن ابراهيم</v>
      </c>
      <c r="C49" s="25">
        <f>IF(REGISTRY!G49="Male",REGISTRY!K49,"")</f>
        <v>7</v>
      </c>
      <c r="D49" s="25">
        <f>IF(REGISTRY!G49="Male",REGISTRY!P49,"")</f>
        <v>0</v>
      </c>
      <c r="E49" s="25" t="str">
        <f>IF(REGISTRY!G49="Male",REGISTRY!L49,"")</f>
        <v>الابراهيم</v>
      </c>
    </row>
    <row r="50" ht="15.75" customHeight="1">
      <c r="A50" s="25" t="str">
        <f>IF(REGISTRY!G50="Male",REGISTRY!A50,"")</f>
        <v>P049</v>
      </c>
      <c r="B50" s="25" t="str">
        <f>IF(REGISTRY!G50="Male",REGISTRY!M50,"")</f>
        <v>مساعد بن عبدالله بن عبدالرحمن ابراهيم</v>
      </c>
      <c r="C50" s="25">
        <f>IF(REGISTRY!G50="Male",REGISTRY!K50,"")</f>
        <v>7</v>
      </c>
      <c r="D50" s="25">
        <f>IF(REGISTRY!G50="Male",REGISTRY!P50,"")</f>
        <v>0</v>
      </c>
      <c r="E50" s="25" t="str">
        <f>IF(REGISTRY!G50="Male",REGISTRY!L50,"")</f>
        <v>الابراهيم</v>
      </c>
    </row>
    <row r="51" ht="15.75" customHeight="1">
      <c r="A51" s="25" t="str">
        <f>IF(REGISTRY!G51="Male",REGISTRY!A51,"")</f>
        <v/>
      </c>
      <c r="B51" s="25" t="str">
        <f>IF(REGISTRY!G51="Male",REGISTRY!M51,"")</f>
        <v/>
      </c>
      <c r="C51" s="25" t="str">
        <f>IF(REGISTRY!G51="Male",REGISTRY!K51,"")</f>
        <v/>
      </c>
      <c r="D51" s="25" t="str">
        <f>IF(REGISTRY!G51="Male",REGISTRY!P51,"")</f>
        <v/>
      </c>
      <c r="E51" s="25" t="str">
        <f>IF(REGISTRY!G51="Male",REGISTRY!L51,"")</f>
        <v/>
      </c>
    </row>
    <row r="52" ht="15.75" customHeight="1">
      <c r="A52" s="25" t="str">
        <f>IF(REGISTRY!G52="Male",REGISTRY!A52,"")</f>
        <v/>
      </c>
      <c r="B52" s="25" t="str">
        <f>IF(REGISTRY!G52="Male",REGISTRY!M52,"")</f>
        <v/>
      </c>
      <c r="C52" s="25" t="str">
        <f>IF(REGISTRY!G52="Male",REGISTRY!K52,"")</f>
        <v/>
      </c>
      <c r="D52" s="25" t="str">
        <f>IF(REGISTRY!G52="Male",REGISTRY!P52,"")</f>
        <v/>
      </c>
      <c r="E52" s="25" t="str">
        <f>IF(REGISTRY!G52="Male",REGISTRY!L52,"")</f>
        <v/>
      </c>
    </row>
    <row r="53" ht="15.75" customHeight="1">
      <c r="A53" s="25" t="str">
        <f>IF(REGISTRY!G53="Male",REGISTRY!A53,"")</f>
        <v>P052</v>
      </c>
      <c r="B53" s="25" t="str">
        <f>IF(REGISTRY!G53="Male",REGISTRY!M53,"")</f>
        <v>أنس بن محمد بن عبدالرحمن ابراهيم</v>
      </c>
      <c r="C53" s="25">
        <f>IF(REGISTRY!G53="Male",REGISTRY!K53,"")</f>
        <v>7</v>
      </c>
      <c r="D53" s="25">
        <f>IF(REGISTRY!G53="Male",REGISTRY!P53,"")</f>
        <v>0</v>
      </c>
      <c r="E53" s="25" t="str">
        <f>IF(REGISTRY!G53="Male",REGISTRY!L53,"")</f>
        <v>الابراهيم</v>
      </c>
    </row>
    <row r="54" ht="15.75" customHeight="1">
      <c r="A54" s="25" t="str">
        <f>IF(REGISTRY!G54="Male",REGISTRY!A54,"")</f>
        <v>P053</v>
      </c>
      <c r="B54" s="25" t="str">
        <f>IF(REGISTRY!G54="Male",REGISTRY!M54,"")</f>
        <v>عبدالمجيد بن محمد بن عبدالرحمن ابراهيم</v>
      </c>
      <c r="C54" s="25">
        <f>IF(REGISTRY!G54="Male",REGISTRY!K54,"")</f>
        <v>7</v>
      </c>
      <c r="D54" s="25">
        <f>IF(REGISTRY!G54="Male",REGISTRY!P54,"")</f>
        <v>0</v>
      </c>
      <c r="E54" s="25" t="str">
        <f>IF(REGISTRY!G54="Male",REGISTRY!L54,"")</f>
        <v>الابراهيم</v>
      </c>
    </row>
    <row r="55" ht="15.75" customHeight="1">
      <c r="A55" s="25" t="str">
        <f>IF(REGISTRY!G55="Male",REGISTRY!A55,"")</f>
        <v>P054</v>
      </c>
      <c r="B55" s="25" t="str">
        <f>IF(REGISTRY!G55="Male",REGISTRY!M55,"")</f>
        <v>معاذ بن محمد بن عبدالرحمن ابراهيم</v>
      </c>
      <c r="C55" s="25">
        <f>IF(REGISTRY!G55="Male",REGISTRY!K55,"")</f>
        <v>7</v>
      </c>
      <c r="D55" s="25">
        <f>IF(REGISTRY!G55="Male",REGISTRY!P55,"")</f>
        <v>0</v>
      </c>
      <c r="E55" s="25" t="str">
        <f>IF(REGISTRY!G55="Male",REGISTRY!L55,"")</f>
        <v>الابراهيم</v>
      </c>
    </row>
    <row r="56" ht="15.75" customHeight="1">
      <c r="A56" s="25" t="str">
        <f>IF(REGISTRY!G56="Male",REGISTRY!A56,"")</f>
        <v>P055</v>
      </c>
      <c r="B56" s="25" t="str">
        <f>IF(REGISTRY!G56="Male",REGISTRY!M56,"")</f>
        <v>تميم بن محمد بن عبدالرحمن ابراهيم</v>
      </c>
      <c r="C56" s="25">
        <f>IF(REGISTRY!G56="Male",REGISTRY!K56,"")</f>
        <v>7</v>
      </c>
      <c r="D56" s="25">
        <f>IF(REGISTRY!G56="Male",REGISTRY!P56,"")</f>
        <v>0</v>
      </c>
      <c r="E56" s="25" t="str">
        <f>IF(REGISTRY!G56="Male",REGISTRY!L56,"")</f>
        <v>الابراهيم</v>
      </c>
    </row>
    <row r="57" ht="15.75" customHeight="1">
      <c r="A57" s="25" t="str">
        <f>IF(REGISTRY!G57="Male",REGISTRY!A57,"")</f>
        <v/>
      </c>
      <c r="B57" s="25" t="str">
        <f>IF(REGISTRY!G57="Male",REGISTRY!M57,"")</f>
        <v/>
      </c>
      <c r="C57" s="25" t="str">
        <f>IF(REGISTRY!G57="Male",REGISTRY!K57,"")</f>
        <v/>
      </c>
      <c r="D57" s="25" t="str">
        <f>IF(REGISTRY!G57="Male",REGISTRY!P57,"")</f>
        <v/>
      </c>
      <c r="E57" s="25" t="str">
        <f>IF(REGISTRY!G57="Male",REGISTRY!L57,"")</f>
        <v/>
      </c>
    </row>
    <row r="58" ht="15.75" customHeight="1">
      <c r="A58" s="25" t="str">
        <f>IF(REGISTRY!G58="Male",REGISTRY!A58,"")</f>
        <v/>
      </c>
      <c r="B58" s="25" t="str">
        <f>IF(REGISTRY!G58="Male",REGISTRY!M58,"")</f>
        <v/>
      </c>
      <c r="C58" s="25" t="str">
        <f>IF(REGISTRY!G58="Male",REGISTRY!K58,"")</f>
        <v/>
      </c>
      <c r="D58" s="25" t="str">
        <f>IF(REGISTRY!G58="Male",REGISTRY!P58,"")</f>
        <v/>
      </c>
      <c r="E58" s="25" t="str">
        <f>IF(REGISTRY!G58="Male",REGISTRY!L58,"")</f>
        <v/>
      </c>
    </row>
    <row r="59" ht="15.75" customHeight="1">
      <c r="A59" s="25" t="str">
        <f>IF(REGISTRY!G59="Male",REGISTRY!A59,"")</f>
        <v/>
      </c>
      <c r="B59" s="25" t="str">
        <f>IF(REGISTRY!G59="Male",REGISTRY!M59,"")</f>
        <v/>
      </c>
      <c r="C59" s="25" t="str">
        <f>IF(REGISTRY!G59="Male",REGISTRY!K59,"")</f>
        <v/>
      </c>
      <c r="D59" s="25" t="str">
        <f>IF(REGISTRY!G59="Male",REGISTRY!P59,"")</f>
        <v/>
      </c>
      <c r="E59" s="25" t="str">
        <f>IF(REGISTRY!G59="Male",REGISTRY!L59,"")</f>
        <v/>
      </c>
    </row>
    <row r="60" ht="15.75" customHeight="1">
      <c r="A60" s="25" t="str">
        <f>IF(REGISTRY!G60="Male",REGISTRY!A60,"")</f>
        <v>P059</v>
      </c>
      <c r="B60" s="25" t="str">
        <f>IF(REGISTRY!G60="Male",REGISTRY!M60,"")</f>
        <v>بدر بن أحمد بن عبدالرحمن ابراهيم</v>
      </c>
      <c r="C60" s="25">
        <f>IF(REGISTRY!G60="Male",REGISTRY!K60,"")</f>
        <v>7</v>
      </c>
      <c r="D60" s="25">
        <f>IF(REGISTRY!G60="Male",REGISTRY!P60,"")</f>
        <v>0</v>
      </c>
      <c r="E60" s="25" t="str">
        <f>IF(REGISTRY!G60="Male",REGISTRY!L60,"")</f>
        <v>الابراهيم</v>
      </c>
    </row>
    <row r="61" ht="15.75" customHeight="1">
      <c r="A61" s="25" t="str">
        <f>IF(REGISTRY!G61="Male",REGISTRY!A61,"")</f>
        <v>P060</v>
      </c>
      <c r="B61" s="25" t="str">
        <f>IF(REGISTRY!G61="Male",REGISTRY!M61,"")</f>
        <v>زياد بن أحمد بن عبدالرحمن ابراهيم</v>
      </c>
      <c r="C61" s="25">
        <f>IF(REGISTRY!G61="Male",REGISTRY!K61,"")</f>
        <v>7</v>
      </c>
      <c r="D61" s="25">
        <f>IF(REGISTRY!G61="Male",REGISTRY!P61,"")</f>
        <v>0</v>
      </c>
      <c r="E61" s="25" t="str">
        <f>IF(REGISTRY!G61="Male",REGISTRY!L61,"")</f>
        <v>الابراهيم</v>
      </c>
    </row>
    <row r="62" ht="15.75" customHeight="1">
      <c r="A62" s="25" t="str">
        <f>IF(REGISTRY!G62="Male",REGISTRY!A62,"")</f>
        <v>P061</v>
      </c>
      <c r="B62" s="25" t="str">
        <f>IF(REGISTRY!G62="Male",REGISTRY!M62,"")</f>
        <v>ريان بن أحمد بن عبدالرحمن ابراهيم</v>
      </c>
      <c r="C62" s="25">
        <f>IF(REGISTRY!G62="Male",REGISTRY!K62,"")</f>
        <v>7</v>
      </c>
      <c r="D62" s="25">
        <f>IF(REGISTRY!G62="Male",REGISTRY!P62,"")</f>
        <v>0</v>
      </c>
      <c r="E62" s="25" t="str">
        <f>IF(REGISTRY!G62="Male",REGISTRY!L62,"")</f>
        <v>الابراهيم</v>
      </c>
    </row>
    <row r="63" ht="15.75" customHeight="1">
      <c r="A63" s="25" t="str">
        <f>IF(REGISTRY!G63="Male",REGISTRY!A63,"")</f>
        <v>P062</v>
      </c>
      <c r="B63" s="25" t="str">
        <f>IF(REGISTRY!G63="Male",REGISTRY!M63,"")</f>
        <v>مؤيد بن أحمد بن عبدالرحمن ابراهيم</v>
      </c>
      <c r="C63" s="25">
        <f>IF(REGISTRY!G63="Male",REGISTRY!K63,"")</f>
        <v>7</v>
      </c>
      <c r="D63" s="25">
        <f>IF(REGISTRY!G63="Male",REGISTRY!P63,"")</f>
        <v>0</v>
      </c>
      <c r="E63" s="25" t="str">
        <f>IF(REGISTRY!G63="Male",REGISTRY!L63,"")</f>
        <v>الابراهيم</v>
      </c>
    </row>
    <row r="64" ht="15.75" customHeight="1">
      <c r="A64" s="25" t="str">
        <f>IF(REGISTRY!G64="Male",REGISTRY!A64,"")</f>
        <v>P063</v>
      </c>
      <c r="B64" s="25" t="str">
        <f>IF(REGISTRY!G64="Male",REGISTRY!M64,"")</f>
        <v>عزام بن أحمد بن عبدالرحمن ابراهيم</v>
      </c>
      <c r="C64" s="25">
        <f>IF(REGISTRY!G64="Male",REGISTRY!K64,"")</f>
        <v>7</v>
      </c>
      <c r="D64" s="25">
        <f>IF(REGISTRY!G64="Male",REGISTRY!P64,"")</f>
        <v>0</v>
      </c>
      <c r="E64" s="25" t="str">
        <f>IF(REGISTRY!G64="Male",REGISTRY!L64,"")</f>
        <v>الابراهيم</v>
      </c>
    </row>
    <row r="65" ht="15.75" customHeight="1">
      <c r="A65" s="25" t="str">
        <f>IF(REGISTRY!G65="Male",REGISTRY!A65,"")</f>
        <v>P064</v>
      </c>
      <c r="B65" s="25" t="str">
        <f>IF(REGISTRY!G65="Male",REGISTRY!M65,"")</f>
        <v>بتال بن أحمد بن عبدالرحمن ابراهيم</v>
      </c>
      <c r="C65" s="25">
        <f>IF(REGISTRY!G65="Male",REGISTRY!K65,"")</f>
        <v>7</v>
      </c>
      <c r="D65" s="25">
        <f>IF(REGISTRY!G65="Male",REGISTRY!P65,"")</f>
        <v>0</v>
      </c>
      <c r="E65" s="25" t="str">
        <f>IF(REGISTRY!G65="Male",REGISTRY!L65,"")</f>
        <v>الابراهيم</v>
      </c>
    </row>
    <row r="66" ht="15.75" customHeight="1">
      <c r="A66" s="25" t="str">
        <f>IF(REGISTRY!G66="Male",REGISTRY!A66,"")</f>
        <v/>
      </c>
      <c r="B66" s="25" t="str">
        <f>IF(REGISTRY!G66="Male",REGISTRY!M66,"")</f>
        <v/>
      </c>
      <c r="C66" s="25" t="str">
        <f>IF(REGISTRY!G66="Male",REGISTRY!K66,"")</f>
        <v/>
      </c>
      <c r="D66" s="25" t="str">
        <f>IF(REGISTRY!G66="Male",REGISTRY!P66,"")</f>
        <v/>
      </c>
      <c r="E66" s="25" t="str">
        <f>IF(REGISTRY!G66="Male",REGISTRY!L66,"")</f>
        <v/>
      </c>
    </row>
    <row r="67" ht="15.75" customHeight="1">
      <c r="A67" s="25" t="str">
        <f>IF(REGISTRY!G67="Male",REGISTRY!A67,"")</f>
        <v/>
      </c>
      <c r="B67" s="25" t="str">
        <f>IF(REGISTRY!G67="Male",REGISTRY!M67,"")</f>
        <v/>
      </c>
      <c r="C67" s="25" t="str">
        <f>IF(REGISTRY!G67="Male",REGISTRY!K67,"")</f>
        <v/>
      </c>
      <c r="D67" s="25" t="str">
        <f>IF(REGISTRY!G67="Male",REGISTRY!P67,"")</f>
        <v/>
      </c>
      <c r="E67" s="25" t="str">
        <f>IF(REGISTRY!G67="Male",REGISTRY!L67,"")</f>
        <v/>
      </c>
    </row>
    <row r="68" ht="15.75" customHeight="1">
      <c r="A68" s="25" t="str">
        <f t="shared" ref="A68:E68" si="1">IF(#REF!="Male",#REF!,"")</f>
        <v>#REF!</v>
      </c>
      <c r="B68" s="25" t="str">
        <f t="shared" si="1"/>
        <v>#REF!</v>
      </c>
      <c r="C68" s="25" t="str">
        <f t="shared" si="1"/>
        <v>#REF!</v>
      </c>
      <c r="D68" s="25" t="str">
        <f t="shared" si="1"/>
        <v>#REF!</v>
      </c>
      <c r="E68" s="25" t="str">
        <f t="shared" si="1"/>
        <v>#REF!</v>
      </c>
    </row>
    <row r="69" ht="15.75" customHeight="1">
      <c r="A69" s="25" t="str">
        <f t="shared" ref="A69:E69" si="2">IF(#REF!="Male",#REF!,"")</f>
        <v>#REF!</v>
      </c>
      <c r="B69" s="25" t="str">
        <f t="shared" si="2"/>
        <v>#REF!</v>
      </c>
      <c r="C69" s="25" t="str">
        <f t="shared" si="2"/>
        <v>#REF!</v>
      </c>
      <c r="D69" s="25" t="str">
        <f t="shared" si="2"/>
        <v>#REF!</v>
      </c>
      <c r="E69" s="25" t="str">
        <f t="shared" si="2"/>
        <v>#REF!</v>
      </c>
    </row>
    <row r="70" ht="15.75" customHeight="1">
      <c r="A70" s="25" t="str">
        <f>IF(REGISTRY!G68="Male",REGISTRY!A68,"")</f>
        <v/>
      </c>
      <c r="B70" s="25" t="str">
        <f>IF(REGISTRY!G68="Male",REGISTRY!M68,"")</f>
        <v/>
      </c>
      <c r="C70" s="25" t="str">
        <f>IF(REGISTRY!G68="Male",REGISTRY!K68,"")</f>
        <v/>
      </c>
      <c r="D70" s="25" t="str">
        <f>IF(REGISTRY!G68="Male",REGISTRY!P68,"")</f>
        <v/>
      </c>
      <c r="E70" s="25" t="str">
        <f>IF(REGISTRY!G68="Male",REGISTRY!L68,"")</f>
        <v/>
      </c>
    </row>
    <row r="71" ht="15.75" customHeight="1">
      <c r="A71" s="25" t="str">
        <f>IF(REGISTRY!G69="Male",REGISTRY!A69,"")</f>
        <v/>
      </c>
      <c r="B71" s="25" t="str">
        <f>IF(REGISTRY!G69="Male",REGISTRY!M69,"")</f>
        <v/>
      </c>
      <c r="C71" s="25" t="str">
        <f>IF(REGISTRY!G69="Male",REGISTRY!K69,"")</f>
        <v/>
      </c>
      <c r="D71" s="25" t="str">
        <f>IF(REGISTRY!G69="Male",REGISTRY!P69,"")</f>
        <v/>
      </c>
      <c r="E71" s="25" t="str">
        <f>IF(REGISTRY!G69="Male",REGISTRY!L69,"")</f>
        <v/>
      </c>
    </row>
    <row r="72" ht="15.75" customHeight="1">
      <c r="A72" s="25" t="str">
        <f>IF(REGISTRY!G70="Male",REGISTRY!A70,"")</f>
        <v/>
      </c>
      <c r="B72" s="25" t="str">
        <f>IF(REGISTRY!G70="Male",REGISTRY!M70,"")</f>
        <v/>
      </c>
      <c r="C72" s="25" t="str">
        <f>IF(REGISTRY!G70="Male",REGISTRY!K70,"")</f>
        <v/>
      </c>
      <c r="D72" s="25" t="str">
        <f>IF(REGISTRY!G70="Male",REGISTRY!P70,"")</f>
        <v/>
      </c>
      <c r="E72" s="25" t="str">
        <f>IF(REGISTRY!G70="Male",REGISTRY!L70,"")</f>
        <v/>
      </c>
    </row>
    <row r="73" ht="15.75" customHeight="1">
      <c r="A73" s="25" t="str">
        <f>IF(REGISTRY!G71="Male",REGISTRY!A71,"")</f>
        <v/>
      </c>
      <c r="B73" s="25" t="str">
        <f>IF(REGISTRY!G71="Male",REGISTRY!M71,"")</f>
        <v/>
      </c>
      <c r="C73" s="25" t="str">
        <f>IF(REGISTRY!G71="Male",REGISTRY!K71,"")</f>
        <v/>
      </c>
      <c r="D73" s="25" t="str">
        <f>IF(REGISTRY!G71="Male",REGISTRY!P71,"")</f>
        <v/>
      </c>
      <c r="E73" s="25" t="str">
        <f>IF(REGISTRY!G71="Male",REGISTRY!L71,"")</f>
        <v/>
      </c>
    </row>
    <row r="74" ht="15.75" customHeight="1">
      <c r="A74" s="25" t="str">
        <f>IF(REGISTRY!G72="Male",REGISTRY!A72,"")</f>
        <v/>
      </c>
      <c r="B74" s="25" t="str">
        <f>IF(REGISTRY!G72="Male",REGISTRY!M72,"")</f>
        <v/>
      </c>
      <c r="C74" s="25" t="str">
        <f>IF(REGISTRY!G72="Male",REGISTRY!K72,"")</f>
        <v/>
      </c>
      <c r="D74" s="25" t="str">
        <f>IF(REGISTRY!G72="Male",REGISTRY!P72,"")</f>
        <v/>
      </c>
      <c r="E74" s="25" t="str">
        <f>IF(REGISTRY!G72="Male",REGISTRY!L72,"")</f>
        <v/>
      </c>
    </row>
    <row r="75" ht="15.75" customHeight="1">
      <c r="A75" s="25" t="str">
        <f t="shared" ref="A75:E75" si="3">IF(#REF!="Male",#REF!,"")</f>
        <v>#REF!</v>
      </c>
      <c r="B75" s="25" t="str">
        <f t="shared" si="3"/>
        <v>#REF!</v>
      </c>
      <c r="C75" s="25" t="str">
        <f t="shared" si="3"/>
        <v>#REF!</v>
      </c>
      <c r="D75" s="25" t="str">
        <f t="shared" si="3"/>
        <v>#REF!</v>
      </c>
      <c r="E75" s="25" t="str">
        <f t="shared" si="3"/>
        <v>#REF!</v>
      </c>
    </row>
    <row r="76" ht="15.75" customHeight="1">
      <c r="A76" s="25" t="str">
        <f t="shared" ref="A76:E76" si="4">IF(#REF!="Male",#REF!,"")</f>
        <v>#REF!</v>
      </c>
      <c r="B76" s="25" t="str">
        <f t="shared" si="4"/>
        <v>#REF!</v>
      </c>
      <c r="C76" s="25" t="str">
        <f t="shared" si="4"/>
        <v>#REF!</v>
      </c>
      <c r="D76" s="25" t="str">
        <f t="shared" si="4"/>
        <v>#REF!</v>
      </c>
      <c r="E76" s="25" t="str">
        <f t="shared" si="4"/>
        <v>#REF!</v>
      </c>
    </row>
    <row r="77" ht="15.75" customHeight="1">
      <c r="A77" s="25" t="str">
        <f>IF(REGISTRY!G73="Male",REGISTRY!A73,"")</f>
        <v/>
      </c>
      <c r="B77" s="25" t="str">
        <f>IF(REGISTRY!G73="Male",REGISTRY!M73,"")</f>
        <v/>
      </c>
      <c r="C77" s="25" t="str">
        <f>IF(REGISTRY!G73="Male",REGISTRY!K73,"")</f>
        <v/>
      </c>
      <c r="D77" s="25" t="str">
        <f>IF(REGISTRY!G73="Male",REGISTRY!P73,"")</f>
        <v/>
      </c>
      <c r="E77" s="25" t="str">
        <f>IF(REGISTRY!G73="Male",REGISTRY!L73,"")</f>
        <v/>
      </c>
    </row>
    <row r="78" ht="15.75" customHeight="1">
      <c r="A78" s="25" t="str">
        <f t="shared" ref="A78:E78" si="5">IF(#REF!="Male",#REF!,"")</f>
        <v>#REF!</v>
      </c>
      <c r="B78" s="25" t="str">
        <f t="shared" si="5"/>
        <v>#REF!</v>
      </c>
      <c r="C78" s="25" t="str">
        <f t="shared" si="5"/>
        <v>#REF!</v>
      </c>
      <c r="D78" s="25" t="str">
        <f t="shared" si="5"/>
        <v>#REF!</v>
      </c>
      <c r="E78" s="25" t="str">
        <f t="shared" si="5"/>
        <v>#REF!</v>
      </c>
    </row>
    <row r="79" ht="15.75" customHeight="1">
      <c r="A79" s="25" t="str">
        <f t="shared" ref="A79:E79" si="6">IF(#REF!="Male",#REF!,"")</f>
        <v>#REF!</v>
      </c>
      <c r="B79" s="25" t="str">
        <f t="shared" si="6"/>
        <v>#REF!</v>
      </c>
      <c r="C79" s="25" t="str">
        <f t="shared" si="6"/>
        <v>#REF!</v>
      </c>
      <c r="D79" s="25" t="str">
        <f t="shared" si="6"/>
        <v>#REF!</v>
      </c>
      <c r="E79" s="25" t="str">
        <f t="shared" si="6"/>
        <v>#REF!</v>
      </c>
    </row>
    <row r="80" ht="15.75" customHeight="1">
      <c r="A80" s="25" t="str">
        <f t="shared" ref="A80:E80" si="7">IF(#REF!="Male",#REF!,"")</f>
        <v>#REF!</v>
      </c>
      <c r="B80" s="25" t="str">
        <f t="shared" si="7"/>
        <v>#REF!</v>
      </c>
      <c r="C80" s="25" t="str">
        <f t="shared" si="7"/>
        <v>#REF!</v>
      </c>
      <c r="D80" s="25" t="str">
        <f t="shared" si="7"/>
        <v>#REF!</v>
      </c>
      <c r="E80" s="25" t="str">
        <f t="shared" si="7"/>
        <v>#REF!</v>
      </c>
    </row>
    <row r="81" ht="15.75" customHeight="1">
      <c r="A81" s="25" t="str">
        <f t="shared" ref="A81:E81" si="8">IF(#REF!="Male",#REF!,"")</f>
        <v>#REF!</v>
      </c>
      <c r="B81" s="25" t="str">
        <f t="shared" si="8"/>
        <v>#REF!</v>
      </c>
      <c r="C81" s="25" t="str">
        <f t="shared" si="8"/>
        <v>#REF!</v>
      </c>
      <c r="D81" s="25" t="str">
        <f t="shared" si="8"/>
        <v>#REF!</v>
      </c>
      <c r="E81" s="25" t="str">
        <f t="shared" si="8"/>
        <v>#REF!</v>
      </c>
    </row>
    <row r="82" ht="15.75" customHeight="1">
      <c r="A82" s="25" t="str">
        <f>IF(REGISTRY!G74="Male",REGISTRY!A74,"")</f>
        <v/>
      </c>
      <c r="B82" s="25" t="str">
        <f>IF(REGISTRY!G74="Male",REGISTRY!M74,"")</f>
        <v/>
      </c>
      <c r="C82" s="25" t="str">
        <f>IF(REGISTRY!G74="Male",REGISTRY!K74,"")</f>
        <v/>
      </c>
      <c r="D82" s="25" t="str">
        <f>IF(REGISTRY!G74="Male",REGISTRY!P74,"")</f>
        <v/>
      </c>
      <c r="E82" s="25" t="str">
        <f>IF(REGISTRY!G74="Male",REGISTRY!L74,"")</f>
        <v/>
      </c>
    </row>
    <row r="83" ht="15.75" customHeight="1">
      <c r="A83" s="25" t="str">
        <f>IF(REGISTRY!G75="Male",REGISTRY!A75,"")</f>
        <v/>
      </c>
      <c r="B83" s="25" t="str">
        <f>IF(REGISTRY!G75="Male",REGISTRY!M75,"")</f>
        <v/>
      </c>
      <c r="C83" s="25" t="str">
        <f>IF(REGISTRY!G75="Male",REGISTRY!K75,"")</f>
        <v/>
      </c>
      <c r="D83" s="25" t="str">
        <f>IF(REGISTRY!G75="Male",REGISTRY!P75,"")</f>
        <v/>
      </c>
      <c r="E83" s="25" t="str">
        <f>IF(REGISTRY!G75="Male",REGISTRY!L75,"")</f>
        <v/>
      </c>
    </row>
    <row r="84" ht="15.75" customHeight="1">
      <c r="A84" s="25" t="str">
        <f>IF(REGISTRY!G76="Male",REGISTRY!A76,"")</f>
        <v/>
      </c>
      <c r="B84" s="25" t="str">
        <f>IF(REGISTRY!G76="Male",REGISTRY!M76,"")</f>
        <v/>
      </c>
      <c r="C84" s="25" t="str">
        <f>IF(REGISTRY!G76="Male",REGISTRY!K76,"")</f>
        <v/>
      </c>
      <c r="D84" s="25" t="str">
        <f>IF(REGISTRY!G76="Male",REGISTRY!P76,"")</f>
        <v/>
      </c>
      <c r="E84" s="25" t="str">
        <f>IF(REGISTRY!G76="Male",REGISTRY!L76,"")</f>
        <v/>
      </c>
    </row>
    <row r="85" ht="15.75" customHeight="1">
      <c r="A85" s="25" t="str">
        <f>IF(REGISTRY!G77="Male",REGISTRY!A77,"")</f>
        <v/>
      </c>
      <c r="B85" s="25" t="str">
        <f>IF(REGISTRY!G77="Male",REGISTRY!M77,"")</f>
        <v/>
      </c>
      <c r="C85" s="25" t="str">
        <f>IF(REGISTRY!G77="Male",REGISTRY!K77,"")</f>
        <v/>
      </c>
      <c r="D85" s="25" t="str">
        <f>IF(REGISTRY!G77="Male",REGISTRY!P77,"")</f>
        <v/>
      </c>
      <c r="E85" s="25" t="str">
        <f>IF(REGISTRY!G77="Male",REGISTRY!L77,"")</f>
        <v/>
      </c>
    </row>
    <row r="86" ht="15.75" customHeight="1">
      <c r="A86" s="25" t="str">
        <f>IF(REGISTRY!G78="Male",REGISTRY!A78,"")</f>
        <v/>
      </c>
      <c r="B86" s="25" t="str">
        <f>IF(REGISTRY!G78="Male",REGISTRY!M78,"")</f>
        <v/>
      </c>
      <c r="C86" s="25" t="str">
        <f>IF(REGISTRY!G78="Male",REGISTRY!K78,"")</f>
        <v/>
      </c>
      <c r="D86" s="25" t="str">
        <f>IF(REGISTRY!G78="Male",REGISTRY!P78,"")</f>
        <v/>
      </c>
      <c r="E86" s="25" t="str">
        <f>IF(REGISTRY!G78="Male",REGISTRY!L78,"")</f>
        <v/>
      </c>
    </row>
    <row r="87" ht="15.75" customHeight="1">
      <c r="A87" s="25" t="str">
        <f>IF(REGISTRY!G79="Male",REGISTRY!A79,"")</f>
        <v/>
      </c>
      <c r="B87" s="25" t="str">
        <f>IF(REGISTRY!G79="Male",REGISTRY!M79,"")</f>
        <v/>
      </c>
      <c r="C87" s="25" t="str">
        <f>IF(REGISTRY!G79="Male",REGISTRY!K79,"")</f>
        <v/>
      </c>
      <c r="D87" s="25" t="str">
        <f>IF(REGISTRY!G79="Male",REGISTRY!P79,"")</f>
        <v/>
      </c>
      <c r="E87" s="25" t="str">
        <f>IF(REGISTRY!G79="Male",REGISTRY!L79,"")</f>
        <v/>
      </c>
    </row>
    <row r="88" ht="15.75" customHeight="1">
      <c r="A88" s="25" t="str">
        <f t="shared" ref="A88:E88" si="9">IF(#REF!="Male",#REF!,"")</f>
        <v>#REF!</v>
      </c>
      <c r="B88" s="25" t="str">
        <f t="shared" si="9"/>
        <v>#REF!</v>
      </c>
      <c r="C88" s="25" t="str">
        <f t="shared" si="9"/>
        <v>#REF!</v>
      </c>
      <c r="D88" s="25" t="str">
        <f t="shared" si="9"/>
        <v>#REF!</v>
      </c>
      <c r="E88" s="25" t="str">
        <f t="shared" si="9"/>
        <v>#REF!</v>
      </c>
    </row>
    <row r="89" ht="15.75" customHeight="1">
      <c r="A89" s="25" t="str">
        <f>IF(REGISTRY!G80="Male",REGISTRY!A80,"")</f>
        <v/>
      </c>
      <c r="B89" s="25" t="str">
        <f>IF(REGISTRY!G80="Male",REGISTRY!M80,"")</f>
        <v/>
      </c>
      <c r="C89" s="25" t="str">
        <f>IF(REGISTRY!G80="Male",REGISTRY!K80,"")</f>
        <v/>
      </c>
      <c r="D89" s="25" t="str">
        <f>IF(REGISTRY!G80="Male",REGISTRY!P80,"")</f>
        <v/>
      </c>
      <c r="E89" s="25" t="str">
        <f>IF(REGISTRY!G80="Male",REGISTRY!L80,"")</f>
        <v/>
      </c>
    </row>
    <row r="90" ht="15.75" customHeight="1">
      <c r="A90" s="25" t="str">
        <f>IF(REGISTRY!G81="Male",REGISTRY!A81,"")</f>
        <v/>
      </c>
      <c r="B90" s="25" t="str">
        <f>IF(REGISTRY!G81="Male",REGISTRY!M81,"")</f>
        <v/>
      </c>
      <c r="C90" s="25" t="str">
        <f>IF(REGISTRY!G81="Male",REGISTRY!K81,"")</f>
        <v/>
      </c>
      <c r="D90" s="25" t="str">
        <f>IF(REGISTRY!G81="Male",REGISTRY!P81,"")</f>
        <v/>
      </c>
      <c r="E90" s="25" t="str">
        <f>IF(REGISTRY!G81="Male",REGISTRY!L81,"")</f>
        <v/>
      </c>
    </row>
    <row r="91" ht="15.75" customHeight="1">
      <c r="A91" s="25" t="str">
        <f>IF(REGISTRY!G82="Male",REGISTRY!A82,"")</f>
        <v/>
      </c>
      <c r="B91" s="25" t="str">
        <f>IF(REGISTRY!G82="Male",REGISTRY!M82,"")</f>
        <v/>
      </c>
      <c r="C91" s="25" t="str">
        <f>IF(REGISTRY!G82="Male",REGISTRY!K82,"")</f>
        <v/>
      </c>
      <c r="D91" s="25" t="str">
        <f>IF(REGISTRY!G82="Male",REGISTRY!P82,"")</f>
        <v/>
      </c>
      <c r="E91" s="25" t="str">
        <f>IF(REGISTRY!G82="Male",REGISTRY!L82,"")</f>
        <v/>
      </c>
    </row>
    <row r="92" ht="15.75" customHeight="1">
      <c r="A92" s="25" t="str">
        <f t="shared" ref="A92:E92" si="10">IF(#REF!="Male",#REF!,"")</f>
        <v>#REF!</v>
      </c>
      <c r="B92" s="25" t="str">
        <f t="shared" si="10"/>
        <v>#REF!</v>
      </c>
      <c r="C92" s="25" t="str">
        <f t="shared" si="10"/>
        <v>#REF!</v>
      </c>
      <c r="D92" s="25" t="str">
        <f t="shared" si="10"/>
        <v>#REF!</v>
      </c>
      <c r="E92" s="25" t="str">
        <f t="shared" si="10"/>
        <v>#REF!</v>
      </c>
    </row>
    <row r="93" ht="15.75" customHeight="1">
      <c r="A93" s="25" t="str">
        <f t="shared" ref="A93:E93" si="11">IF(#REF!="Male",#REF!,"")</f>
        <v>#REF!</v>
      </c>
      <c r="B93" s="25" t="str">
        <f t="shared" si="11"/>
        <v>#REF!</v>
      </c>
      <c r="C93" s="25" t="str">
        <f t="shared" si="11"/>
        <v>#REF!</v>
      </c>
      <c r="D93" s="25" t="str">
        <f t="shared" si="11"/>
        <v>#REF!</v>
      </c>
      <c r="E93" s="25" t="str">
        <f t="shared" si="11"/>
        <v>#REF!</v>
      </c>
    </row>
    <row r="94" ht="15.75" customHeight="1">
      <c r="A94" s="25" t="str">
        <f>IF(REGISTRY!G83="Male",REGISTRY!A83,"")</f>
        <v/>
      </c>
      <c r="B94" s="25" t="str">
        <f>IF(REGISTRY!G83="Male",REGISTRY!M83,"")</f>
        <v/>
      </c>
      <c r="C94" s="25" t="str">
        <f>IF(REGISTRY!G83="Male",REGISTRY!K83,"")</f>
        <v/>
      </c>
      <c r="D94" s="25" t="str">
        <f>IF(REGISTRY!G83="Male",REGISTRY!P83,"")</f>
        <v/>
      </c>
      <c r="E94" s="25" t="str">
        <f>IF(REGISTRY!G83="Male",REGISTRY!L83,"")</f>
        <v/>
      </c>
    </row>
    <row r="95" ht="15.75" customHeight="1">
      <c r="A95" s="25" t="str">
        <f>IF(REGISTRY!G84="Male",REGISTRY!A84,"")</f>
        <v/>
      </c>
      <c r="B95" s="25" t="str">
        <f>IF(REGISTRY!G84="Male",REGISTRY!M84,"")</f>
        <v/>
      </c>
      <c r="C95" s="25" t="str">
        <f>IF(REGISTRY!G84="Male",REGISTRY!K84,"")</f>
        <v/>
      </c>
      <c r="D95" s="25" t="str">
        <f>IF(REGISTRY!G84="Male",REGISTRY!P84,"")</f>
        <v/>
      </c>
      <c r="E95" s="25" t="str">
        <f>IF(REGISTRY!G84="Male",REGISTRY!L84,"")</f>
        <v/>
      </c>
    </row>
    <row r="96" ht="15.75" customHeight="1">
      <c r="A96" s="25" t="str">
        <f t="shared" ref="A96:E96" si="12">IF(#REF!="Male",#REF!,"")</f>
        <v>#REF!</v>
      </c>
      <c r="B96" s="25" t="str">
        <f t="shared" si="12"/>
        <v>#REF!</v>
      </c>
      <c r="C96" s="25" t="str">
        <f t="shared" si="12"/>
        <v>#REF!</v>
      </c>
      <c r="D96" s="25" t="str">
        <f t="shared" si="12"/>
        <v>#REF!</v>
      </c>
      <c r="E96" s="25" t="str">
        <f t="shared" si="12"/>
        <v>#REF!</v>
      </c>
    </row>
    <row r="97" ht="15.75" customHeight="1">
      <c r="A97" s="25" t="str">
        <f t="shared" ref="A97:E97" si="13">IF(#REF!="Male",#REF!,"")</f>
        <v>#REF!</v>
      </c>
      <c r="B97" s="25" t="str">
        <f t="shared" si="13"/>
        <v>#REF!</v>
      </c>
      <c r="C97" s="25" t="str">
        <f t="shared" si="13"/>
        <v>#REF!</v>
      </c>
      <c r="D97" s="25" t="str">
        <f t="shared" si="13"/>
        <v>#REF!</v>
      </c>
      <c r="E97" s="25" t="str">
        <f t="shared" si="13"/>
        <v>#REF!</v>
      </c>
    </row>
    <row r="98" ht="15.75" customHeight="1">
      <c r="A98" s="25" t="str">
        <f t="shared" ref="A98:E98" si="14">IF(#REF!="Male",#REF!,"")</f>
        <v>#REF!</v>
      </c>
      <c r="B98" s="25" t="str">
        <f t="shared" si="14"/>
        <v>#REF!</v>
      </c>
      <c r="C98" s="25" t="str">
        <f t="shared" si="14"/>
        <v>#REF!</v>
      </c>
      <c r="D98" s="25" t="str">
        <f t="shared" si="14"/>
        <v>#REF!</v>
      </c>
      <c r="E98" s="25" t="str">
        <f t="shared" si="14"/>
        <v>#REF!</v>
      </c>
    </row>
    <row r="99" ht="15.75" customHeight="1">
      <c r="A99" s="25" t="str">
        <f>IF(REGISTRY!G85="Male",REGISTRY!A85,"")</f>
        <v/>
      </c>
      <c r="B99" s="25" t="str">
        <f>IF(REGISTRY!G85="Male",REGISTRY!M85,"")</f>
        <v/>
      </c>
      <c r="C99" s="25" t="str">
        <f>IF(REGISTRY!G85="Male",REGISTRY!K85,"")</f>
        <v/>
      </c>
      <c r="D99" s="25" t="str">
        <f>IF(REGISTRY!G85="Male",REGISTRY!P85,"")</f>
        <v/>
      </c>
      <c r="E99" s="25" t="str">
        <f>IF(REGISTRY!G85="Male",REGISTRY!L85,"")</f>
        <v/>
      </c>
    </row>
    <row r="100" ht="15.75" customHeight="1">
      <c r="A100" s="25" t="str">
        <f t="shared" ref="A100:E100" si="15">IF(#REF!="Male",#REF!,"")</f>
        <v>#REF!</v>
      </c>
      <c r="B100" s="25" t="str">
        <f t="shared" si="15"/>
        <v>#REF!</v>
      </c>
      <c r="C100" s="25" t="str">
        <f t="shared" si="15"/>
        <v>#REF!</v>
      </c>
      <c r="D100" s="25" t="str">
        <f t="shared" si="15"/>
        <v>#REF!</v>
      </c>
      <c r="E100" s="25" t="str">
        <f t="shared" si="15"/>
        <v>#REF!</v>
      </c>
    </row>
    <row r="101" ht="15.75" customHeight="1">
      <c r="A101" s="25" t="str">
        <f>IF(REGISTRY!G86="Male",REGISTRY!A86,"")</f>
        <v/>
      </c>
      <c r="B101" s="25" t="str">
        <f>IF(REGISTRY!G86="Male",REGISTRY!M86,"")</f>
        <v/>
      </c>
      <c r="C101" s="25" t="str">
        <f>IF(REGISTRY!G86="Male",REGISTRY!K86,"")</f>
        <v/>
      </c>
      <c r="D101" s="25" t="str">
        <f>IF(REGISTRY!G86="Male",REGISTRY!P86,"")</f>
        <v/>
      </c>
      <c r="E101" s="25" t="str">
        <f>IF(REGISTRY!G86="Male",REGISTRY!L86,"")</f>
        <v/>
      </c>
    </row>
    <row r="102" ht="15.75" customHeight="1">
      <c r="A102" s="25" t="str">
        <f>IF(REGISTRY!G87="Male",REGISTRY!A87,"")</f>
        <v/>
      </c>
      <c r="B102" s="25" t="str">
        <f>IF(REGISTRY!G87="Male",REGISTRY!M87,"")</f>
        <v/>
      </c>
      <c r="C102" s="25" t="str">
        <f>IF(REGISTRY!G87="Male",REGISTRY!K87,"")</f>
        <v/>
      </c>
      <c r="D102" s="25" t="str">
        <f>IF(REGISTRY!G87="Male",REGISTRY!P87,"")</f>
        <v/>
      </c>
      <c r="E102" s="25" t="str">
        <f>IF(REGISTRY!G87="Male",REGISTRY!L87,"")</f>
        <v/>
      </c>
    </row>
    <row r="103" ht="15.75" customHeight="1">
      <c r="A103" s="25" t="str">
        <f>IF(REGISTRY!G88="Male",REGISTRY!A88,"")</f>
        <v/>
      </c>
      <c r="B103" s="25" t="str">
        <f>IF(REGISTRY!G88="Male",REGISTRY!M88,"")</f>
        <v/>
      </c>
      <c r="C103" s="25" t="str">
        <f>IF(REGISTRY!G88="Male",REGISTRY!K88,"")</f>
        <v/>
      </c>
      <c r="D103" s="25" t="str">
        <f>IF(REGISTRY!G88="Male",REGISTRY!P88,"")</f>
        <v/>
      </c>
      <c r="E103" s="25" t="str">
        <f>IF(REGISTRY!G88="Male",REGISTRY!L88,"")</f>
        <v/>
      </c>
    </row>
    <row r="104" ht="15.75" customHeight="1">
      <c r="A104" s="25" t="str">
        <f>IF(REGISTRY!G89="Male",REGISTRY!A89,"")</f>
        <v/>
      </c>
      <c r="B104" s="25" t="str">
        <f>IF(REGISTRY!G89="Male",REGISTRY!M89,"")</f>
        <v/>
      </c>
      <c r="C104" s="25" t="str">
        <f>IF(REGISTRY!G89="Male",REGISTRY!K89,"")</f>
        <v/>
      </c>
      <c r="D104" s="25" t="str">
        <f>IF(REGISTRY!G89="Male",REGISTRY!P89,"")</f>
        <v/>
      </c>
      <c r="E104" s="25" t="str">
        <f>IF(REGISTRY!G89="Male",REGISTRY!L89,"")</f>
        <v/>
      </c>
    </row>
    <row r="105" ht="15.75" customHeight="1">
      <c r="A105" s="25" t="str">
        <f>IF(REGISTRY!G90="Male",REGISTRY!A90,"")</f>
        <v/>
      </c>
      <c r="B105" s="25" t="str">
        <f>IF(REGISTRY!G90="Male",REGISTRY!M90,"")</f>
        <v/>
      </c>
      <c r="C105" s="25" t="str">
        <f>IF(REGISTRY!G90="Male",REGISTRY!K90,"")</f>
        <v/>
      </c>
      <c r="D105" s="25" t="str">
        <f>IF(REGISTRY!G90="Male",REGISTRY!P90,"")</f>
        <v/>
      </c>
      <c r="E105" s="25" t="str">
        <f>IF(REGISTRY!G90="Male",REGISTRY!L90,"")</f>
        <v/>
      </c>
    </row>
    <row r="106" ht="15.75" customHeight="1">
      <c r="A106" s="25" t="str">
        <f>IF(REGISTRY!G91="Male",REGISTRY!A91,"")</f>
        <v/>
      </c>
      <c r="B106" s="25" t="str">
        <f>IF(REGISTRY!G91="Male",REGISTRY!M91,"")</f>
        <v/>
      </c>
      <c r="C106" s="25" t="str">
        <f>IF(REGISTRY!G91="Male",REGISTRY!K91,"")</f>
        <v/>
      </c>
      <c r="D106" s="25" t="str">
        <f>IF(REGISTRY!G91="Male",REGISTRY!P91,"")</f>
        <v/>
      </c>
      <c r="E106" s="25" t="str">
        <f>IF(REGISTRY!G91="Male",REGISTRY!L91,"")</f>
        <v/>
      </c>
    </row>
    <row r="107" ht="15.75" customHeight="1">
      <c r="A107" s="25" t="str">
        <f>IF(REGISTRY!G92="Male",REGISTRY!A92,"")</f>
        <v/>
      </c>
      <c r="B107" s="25" t="str">
        <f>IF(REGISTRY!G92="Male",REGISTRY!M92,"")</f>
        <v/>
      </c>
      <c r="C107" s="25" t="str">
        <f>IF(REGISTRY!G92="Male",REGISTRY!K92,"")</f>
        <v/>
      </c>
      <c r="D107" s="25" t="str">
        <f>IF(REGISTRY!G92="Male",REGISTRY!P92,"")</f>
        <v/>
      </c>
      <c r="E107" s="25" t="str">
        <f>IF(REGISTRY!G92="Male",REGISTRY!L92,"")</f>
        <v/>
      </c>
    </row>
    <row r="108" ht="15.75" customHeight="1">
      <c r="A108" s="25" t="str">
        <f>IF(REGISTRY!G93="Male",REGISTRY!A93,"")</f>
        <v/>
      </c>
      <c r="B108" s="25" t="str">
        <f>IF(REGISTRY!G93="Male",REGISTRY!M93,"")</f>
        <v/>
      </c>
      <c r="C108" s="25" t="str">
        <f>IF(REGISTRY!G93="Male",REGISTRY!K93,"")</f>
        <v/>
      </c>
      <c r="D108" s="25" t="str">
        <f>IF(REGISTRY!G93="Male",REGISTRY!P93,"")</f>
        <v/>
      </c>
      <c r="E108" s="25" t="str">
        <f>IF(REGISTRY!G93="Male",REGISTRY!L93,"")</f>
        <v/>
      </c>
    </row>
    <row r="109" ht="15.75" customHeight="1">
      <c r="A109" s="25" t="str">
        <f>IF(REGISTRY!G94="Male",REGISTRY!A94,"")</f>
        <v/>
      </c>
      <c r="B109" s="25" t="str">
        <f>IF(REGISTRY!G94="Male",REGISTRY!M94,"")</f>
        <v/>
      </c>
      <c r="C109" s="25" t="str">
        <f>IF(REGISTRY!G94="Male",REGISTRY!K94,"")</f>
        <v/>
      </c>
      <c r="D109" s="25" t="str">
        <f>IF(REGISTRY!G94="Male",REGISTRY!P94,"")</f>
        <v/>
      </c>
      <c r="E109" s="25" t="str">
        <f>IF(REGISTRY!G94="Male",REGISTRY!L94,"")</f>
        <v/>
      </c>
    </row>
    <row r="110" ht="15.75" customHeight="1">
      <c r="A110" s="25" t="str">
        <f>IF(REGISTRY!G95="Male",REGISTRY!A95,"")</f>
        <v/>
      </c>
      <c r="B110" s="25" t="str">
        <f>IF(REGISTRY!G95="Male",REGISTRY!M95,"")</f>
        <v/>
      </c>
      <c r="C110" s="25" t="str">
        <f>IF(REGISTRY!G95="Male",REGISTRY!K95,"")</f>
        <v/>
      </c>
      <c r="D110" s="25" t="str">
        <f>IF(REGISTRY!G95="Male",REGISTRY!P95,"")</f>
        <v/>
      </c>
      <c r="E110" s="25" t="str">
        <f>IF(REGISTRY!G95="Male",REGISTRY!L95,"")</f>
        <v/>
      </c>
    </row>
    <row r="111" ht="15.75" customHeight="1">
      <c r="A111" s="25" t="str">
        <f>IF(REGISTRY!G96="Male",REGISTRY!A96,"")</f>
        <v/>
      </c>
      <c r="B111" s="25" t="str">
        <f>IF(REGISTRY!G96="Male",REGISTRY!M96,"")</f>
        <v/>
      </c>
      <c r="C111" s="25" t="str">
        <f>IF(REGISTRY!G96="Male",REGISTRY!K96,"")</f>
        <v/>
      </c>
      <c r="D111" s="25" t="str">
        <f>IF(REGISTRY!G96="Male",REGISTRY!P96,"")</f>
        <v/>
      </c>
      <c r="E111" s="25" t="str">
        <f>IF(REGISTRY!G96="Male",REGISTRY!L96,"")</f>
        <v/>
      </c>
    </row>
    <row r="112" ht="15.75" customHeight="1">
      <c r="A112" s="25" t="str">
        <f>IF(REGISTRY!G97="Male",REGISTRY!A97,"")</f>
        <v/>
      </c>
      <c r="B112" s="25" t="str">
        <f>IF(REGISTRY!G97="Male",REGISTRY!M97,"")</f>
        <v/>
      </c>
      <c r="C112" s="25" t="str">
        <f>IF(REGISTRY!G97="Male",REGISTRY!K97,"")</f>
        <v/>
      </c>
      <c r="D112" s="25" t="str">
        <f>IF(REGISTRY!G97="Male",REGISTRY!P97,"")</f>
        <v/>
      </c>
      <c r="E112" s="25" t="str">
        <f>IF(REGISTRY!G97="Male",REGISTRY!L97,"")</f>
        <v/>
      </c>
    </row>
    <row r="113" ht="15.75" customHeight="1">
      <c r="A113" s="25" t="str">
        <f>IF(REGISTRY!G98="Male",REGISTRY!A98,"")</f>
        <v/>
      </c>
      <c r="B113" s="25" t="str">
        <f>IF(REGISTRY!G98="Male",REGISTRY!M98,"")</f>
        <v/>
      </c>
      <c r="C113" s="25" t="str">
        <f>IF(REGISTRY!G98="Male",REGISTRY!K98,"")</f>
        <v/>
      </c>
      <c r="D113" s="25" t="str">
        <f>IF(REGISTRY!G98="Male",REGISTRY!P98,"")</f>
        <v/>
      </c>
      <c r="E113" s="25" t="str">
        <f>IF(REGISTRY!G98="Male",REGISTRY!L98,"")</f>
        <v/>
      </c>
    </row>
    <row r="114" ht="15.75" customHeight="1">
      <c r="A114" s="25" t="str">
        <f>IF(REGISTRY!G99="Male",REGISTRY!A99,"")</f>
        <v>P098</v>
      </c>
      <c r="B114" s="25" t="str">
        <f>IF(REGISTRY!G99="Male",REGISTRY!M99,"")</f>
        <v>ابراهيم بن يزيد بن ابراهيم ناصر</v>
      </c>
      <c r="C114" s="25">
        <f>IF(REGISTRY!G99="Male",REGISTRY!K99,"")</f>
        <v>8</v>
      </c>
      <c r="D114" s="25">
        <f>IF(REGISTRY!G99="Male",REGISTRY!P99,"")</f>
        <v>0</v>
      </c>
      <c r="E114" s="25" t="str">
        <f>IF(REGISTRY!G99="Male",REGISTRY!L99,"")</f>
        <v>الابراهيم</v>
      </c>
    </row>
    <row r="115" ht="15.75" customHeight="1">
      <c r="A115" s="25" t="str">
        <f>IF(REGISTRY!G100="Male",REGISTRY!A100,"")</f>
        <v>P099</v>
      </c>
      <c r="B115" s="25" t="str">
        <f>IF(REGISTRY!G100="Male",REGISTRY!M100,"")</f>
        <v>عبدالرحمن بن يزيد بن ابراهيم ناصر</v>
      </c>
      <c r="C115" s="25">
        <f>IF(REGISTRY!G100="Male",REGISTRY!K100,"")</f>
        <v>8</v>
      </c>
      <c r="D115" s="25">
        <f>IF(REGISTRY!G100="Male",REGISTRY!P100,"")</f>
        <v>0</v>
      </c>
      <c r="E115" s="25" t="str">
        <f>IF(REGISTRY!G100="Male",REGISTRY!L100,"")</f>
        <v>الابراهيم</v>
      </c>
    </row>
    <row r="116" ht="15.75" customHeight="1">
      <c r="A116" s="25" t="str">
        <f>IF(REGISTRY!G101="Male",REGISTRY!A101,"")</f>
        <v/>
      </c>
      <c r="B116" s="25" t="str">
        <f>IF(REGISTRY!G101="Male",REGISTRY!M101,"")</f>
        <v/>
      </c>
      <c r="C116" s="25" t="str">
        <f>IF(REGISTRY!G101="Male",REGISTRY!K101,"")</f>
        <v/>
      </c>
      <c r="D116" s="25" t="str">
        <f>IF(REGISTRY!G101="Male",REGISTRY!P101,"")</f>
        <v/>
      </c>
      <c r="E116" s="25" t="str">
        <f>IF(REGISTRY!G101="Male",REGISTRY!L101,"")</f>
        <v/>
      </c>
    </row>
    <row r="117" ht="15.75" customHeight="1">
      <c r="A117" s="25" t="str">
        <f t="shared" ref="A117:E117" si="16">IF(#REF!="Male",#REF!,"")</f>
        <v>#REF!</v>
      </c>
      <c r="B117" s="25" t="str">
        <f t="shared" si="16"/>
        <v>#REF!</v>
      </c>
      <c r="C117" s="25" t="str">
        <f t="shared" si="16"/>
        <v>#REF!</v>
      </c>
      <c r="D117" s="25" t="str">
        <f t="shared" si="16"/>
        <v>#REF!</v>
      </c>
      <c r="E117" s="25" t="str">
        <f t="shared" si="16"/>
        <v>#REF!</v>
      </c>
    </row>
    <row r="118" ht="15.75" customHeight="1">
      <c r="A118" s="25" t="str">
        <f>IF(REGISTRY!G102="Male",REGISTRY!A102,"")</f>
        <v/>
      </c>
      <c r="B118" s="25" t="str">
        <f>IF(REGISTRY!G102="Male",REGISTRY!M102,"")</f>
        <v/>
      </c>
      <c r="C118" s="25" t="str">
        <f>IF(REGISTRY!G102="Male",REGISTRY!K102,"")</f>
        <v/>
      </c>
      <c r="D118" s="25" t="str">
        <f>IF(REGISTRY!G102="Male",REGISTRY!P102,"")</f>
        <v/>
      </c>
      <c r="E118" s="25" t="str">
        <f>IF(REGISTRY!G102="Male",REGISTRY!L102,"")</f>
        <v/>
      </c>
    </row>
    <row r="119" ht="15.75" customHeight="1">
      <c r="A119" s="25" t="str">
        <f>IF(REGISTRY!G103="Male",REGISTRY!A103,"")</f>
        <v>P102</v>
      </c>
      <c r="B119" s="25" t="str">
        <f>IF(REGISTRY!G103="Male",REGISTRY!M103,"")</f>
        <v>ابراهيم بن ناصر بن ابراهيم ناصر</v>
      </c>
      <c r="C119" s="25">
        <f>IF(REGISTRY!G103="Male",REGISTRY!K103,"")</f>
        <v>8</v>
      </c>
      <c r="D119" s="25">
        <f>IF(REGISTRY!G103="Male",REGISTRY!P103,"")</f>
        <v>0</v>
      </c>
      <c r="E119" s="25" t="str">
        <f>IF(REGISTRY!G103="Male",REGISTRY!L103,"")</f>
        <v>الابراهيم</v>
      </c>
    </row>
    <row r="120" ht="15.75" customHeight="1">
      <c r="A120" s="25" t="str">
        <f>IF(REGISTRY!G104="Male",REGISTRY!A104,"")</f>
        <v/>
      </c>
      <c r="B120" s="25" t="str">
        <f>IF(REGISTRY!G104="Male",REGISTRY!M104,"")</f>
        <v/>
      </c>
      <c r="C120" s="25" t="str">
        <f>IF(REGISTRY!G104="Male",REGISTRY!K104,"")</f>
        <v/>
      </c>
      <c r="D120" s="25" t="str">
        <f>IF(REGISTRY!G104="Male",REGISTRY!P104,"")</f>
        <v/>
      </c>
      <c r="E120" s="25" t="str">
        <f>IF(REGISTRY!G104="Male",REGISTRY!L104,"")</f>
        <v/>
      </c>
    </row>
    <row r="121" ht="15.75" customHeight="1">
      <c r="A121" s="25" t="str">
        <f>IF(REGISTRY!G105="Male",REGISTRY!A105,"")</f>
        <v>P104</v>
      </c>
      <c r="B121" s="25" t="str">
        <f>IF(REGISTRY!G105="Male",REGISTRY!M105,"")</f>
        <v>ابراهيم بن عبدالعزيز بن ابراهيم ناصر</v>
      </c>
      <c r="C121" s="25">
        <f>IF(REGISTRY!G105="Male",REGISTRY!K105,"")</f>
        <v>8</v>
      </c>
      <c r="D121" s="25">
        <f>IF(REGISTRY!G105="Male",REGISTRY!P105,"")</f>
        <v>0</v>
      </c>
      <c r="E121" s="25" t="str">
        <f>IF(REGISTRY!G105="Male",REGISTRY!L105,"")</f>
        <v>الابراهيم</v>
      </c>
    </row>
    <row r="122" ht="15.75" customHeight="1">
      <c r="A122" s="25" t="str">
        <f>IF(REGISTRY!G106="Male",REGISTRY!A106,"")</f>
        <v/>
      </c>
      <c r="B122" s="25" t="str">
        <f>IF(REGISTRY!G106="Male",REGISTRY!M106,"")</f>
        <v/>
      </c>
      <c r="C122" s="25" t="str">
        <f>IF(REGISTRY!G106="Male",REGISTRY!K106,"")</f>
        <v/>
      </c>
      <c r="D122" s="25" t="str">
        <f>IF(REGISTRY!G106="Male",REGISTRY!P106,"")</f>
        <v/>
      </c>
      <c r="E122" s="25" t="str">
        <f>IF(REGISTRY!G106="Male",REGISTRY!L106,"")</f>
        <v/>
      </c>
    </row>
    <row r="123" ht="15.75" customHeight="1">
      <c r="A123" s="25" t="str">
        <f>IF(REGISTRY!G107="Male",REGISTRY!A107,"")</f>
        <v>P106</v>
      </c>
      <c r="B123" s="25" t="str">
        <f>IF(REGISTRY!G107="Male",REGISTRY!M107,"")</f>
        <v>عبدالله بن خالد بن محمد ناصر</v>
      </c>
      <c r="C123" s="25">
        <f>IF(REGISTRY!G107="Male",REGISTRY!K107,"")</f>
        <v>8</v>
      </c>
      <c r="D123" s="25">
        <f>IF(REGISTRY!G107="Male",REGISTRY!P107,"")</f>
        <v>0</v>
      </c>
      <c r="E123" s="25" t="str">
        <f>IF(REGISTRY!G107="Male",REGISTRY!L107,"")</f>
        <v>الابراهيم</v>
      </c>
    </row>
    <row r="124" ht="15.75" customHeight="1">
      <c r="A124" s="25" t="str">
        <f>IF(REGISTRY!G108="Male",REGISTRY!A108,"")</f>
        <v/>
      </c>
      <c r="B124" s="25" t="str">
        <f>IF(REGISTRY!G108="Male",REGISTRY!M108,"")</f>
        <v/>
      </c>
      <c r="C124" s="25" t="str">
        <f>IF(REGISTRY!G108="Male",REGISTRY!K108,"")</f>
        <v/>
      </c>
      <c r="D124" s="25" t="str">
        <f>IF(REGISTRY!G108="Male",REGISTRY!P108,"")</f>
        <v/>
      </c>
      <c r="E124" s="25" t="str">
        <f>IF(REGISTRY!G108="Male",REGISTRY!L108,"")</f>
        <v/>
      </c>
    </row>
    <row r="125" ht="15.75" customHeight="1">
      <c r="A125" s="25" t="str">
        <f t="shared" ref="A125:E125" si="17">IF(#REF!="Male",#REF!,"")</f>
        <v>#REF!</v>
      </c>
      <c r="B125" s="25" t="str">
        <f t="shared" si="17"/>
        <v>#REF!</v>
      </c>
      <c r="C125" s="25" t="str">
        <f t="shared" si="17"/>
        <v>#REF!</v>
      </c>
      <c r="D125" s="25" t="str">
        <f t="shared" si="17"/>
        <v>#REF!</v>
      </c>
      <c r="E125" s="25" t="str">
        <f t="shared" si="17"/>
        <v>#REF!</v>
      </c>
    </row>
    <row r="126" ht="15.75" customHeight="1">
      <c r="A126" s="25" t="str">
        <f>IF(REGISTRY!G109="Male",REGISTRY!A109,"")</f>
        <v>P108</v>
      </c>
      <c r="B126" s="25" t="str">
        <f>IF(REGISTRY!G109="Male",REGISTRY!M109,"")</f>
        <v>محمد بن خالد بن محمد ناصر</v>
      </c>
      <c r="C126" s="25">
        <f>IF(REGISTRY!G109="Male",REGISTRY!K109,"")</f>
        <v>8</v>
      </c>
      <c r="D126" s="25">
        <f>IF(REGISTRY!G109="Male",REGISTRY!P109,"")</f>
        <v>0</v>
      </c>
      <c r="E126" s="25" t="str">
        <f>IF(REGISTRY!G109="Male",REGISTRY!L109,"")</f>
        <v>الابراهيم</v>
      </c>
    </row>
    <row r="127" ht="15.75" customHeight="1">
      <c r="A127" s="25" t="str">
        <f t="shared" ref="A127:E127" si="18">IF(#REF!="Male",#REF!,"")</f>
        <v>#REF!</v>
      </c>
      <c r="B127" s="25" t="str">
        <f t="shared" si="18"/>
        <v>#REF!</v>
      </c>
      <c r="C127" s="25" t="str">
        <f t="shared" si="18"/>
        <v>#REF!</v>
      </c>
      <c r="D127" s="25" t="str">
        <f t="shared" si="18"/>
        <v>#REF!</v>
      </c>
      <c r="E127" s="25" t="str">
        <f t="shared" si="18"/>
        <v>#REF!</v>
      </c>
    </row>
    <row r="128" ht="15.75" customHeight="1">
      <c r="A128" s="25" t="str">
        <f>IF(REGISTRY!G110="Male",REGISTRY!A110,"")</f>
        <v>P109</v>
      </c>
      <c r="B128" s="25" t="str">
        <f>IF(REGISTRY!G110="Male",REGISTRY!M110,"")</f>
        <v>سعد بن ناصر بن سعد ناصر</v>
      </c>
      <c r="C128" s="25">
        <f>IF(REGISTRY!G110="Male",REGISTRY!K110,"")</f>
        <v>8</v>
      </c>
      <c r="D128" s="25">
        <f>IF(REGISTRY!G110="Male",REGISTRY!P110,"")</f>
        <v>0</v>
      </c>
      <c r="E128" s="25" t="str">
        <f>IF(REGISTRY!G110="Male",REGISTRY!L110,"")</f>
        <v>الابراهيم</v>
      </c>
    </row>
    <row r="129" ht="15.75" customHeight="1">
      <c r="A129" s="25" t="str">
        <f>IF(REGISTRY!G111="Male",REGISTRY!A111,"")</f>
        <v>P110</v>
      </c>
      <c r="B129" s="25" t="str">
        <f>IF(REGISTRY!G111="Male",REGISTRY!M111,"")</f>
        <v>سلطان بن ناصر بن سعد ناصر</v>
      </c>
      <c r="C129" s="25">
        <f>IF(REGISTRY!G111="Male",REGISTRY!K111,"")</f>
        <v>8</v>
      </c>
      <c r="D129" s="25">
        <f>IF(REGISTRY!G111="Male",REGISTRY!P111,"")</f>
        <v>0</v>
      </c>
      <c r="E129" s="25" t="str">
        <f>IF(REGISTRY!G111="Male",REGISTRY!L111,"")</f>
        <v>الابراهيم</v>
      </c>
    </row>
    <row r="130" ht="15.75" customHeight="1">
      <c r="A130" s="25" t="str">
        <f>IF(REGISTRY!G112="Male",REGISTRY!A112,"")</f>
        <v/>
      </c>
      <c r="B130" s="25" t="str">
        <f>IF(REGISTRY!G112="Male",REGISTRY!M112,"")</f>
        <v/>
      </c>
      <c r="C130" s="25" t="str">
        <f>IF(REGISTRY!G112="Male",REGISTRY!K112,"")</f>
        <v/>
      </c>
      <c r="D130" s="25" t="str">
        <f>IF(REGISTRY!G112="Male",REGISTRY!P112,"")</f>
        <v/>
      </c>
      <c r="E130" s="25" t="str">
        <f>IF(REGISTRY!G112="Male",REGISTRY!L112,"")</f>
        <v/>
      </c>
    </row>
    <row r="131" ht="15.75" customHeight="1">
      <c r="A131" s="25" t="str">
        <f>IF(REGISTRY!G113="Male",REGISTRY!A113,"")</f>
        <v>P112</v>
      </c>
      <c r="B131" s="25" t="str">
        <f>IF(REGISTRY!G113="Male",REGISTRY!M113,"")</f>
        <v>ابراهيم بن عبدالكريم بن ابراهيم ناصر</v>
      </c>
      <c r="C131" s="25">
        <f>IF(REGISTRY!G113="Male",REGISTRY!K113,"")</f>
        <v>6</v>
      </c>
      <c r="D131" s="25">
        <f>IF(REGISTRY!G113="Male",REGISTRY!P113,"")</f>
        <v>0</v>
      </c>
      <c r="E131" s="25" t="str">
        <f>IF(REGISTRY!G113="Male",REGISTRY!L113,"")</f>
        <v>الابراهيم</v>
      </c>
    </row>
    <row r="132" ht="15.75" customHeight="1">
      <c r="A132" s="25" t="str">
        <f>IF(REGISTRY!G114="Male",REGISTRY!A114,"")</f>
        <v>P113</v>
      </c>
      <c r="B132" s="25" t="str">
        <f>IF(REGISTRY!G114="Male",REGISTRY!M114,"")</f>
        <v>خالد بن عبدالكريم بن ابراهيم ناصر</v>
      </c>
      <c r="C132" s="25">
        <f>IF(REGISTRY!G114="Male",REGISTRY!K114,"")</f>
        <v>6</v>
      </c>
      <c r="D132" s="25">
        <f>IF(REGISTRY!G114="Male",REGISTRY!P114,"")</f>
        <v>0</v>
      </c>
      <c r="E132" s="25" t="str">
        <f>IF(REGISTRY!G114="Male",REGISTRY!L114,"")</f>
        <v>الابراهيم</v>
      </c>
    </row>
    <row r="133" ht="15.75" customHeight="1">
      <c r="A133" s="25" t="str">
        <f>IF(REGISTRY!G115="Male",REGISTRY!A115,"")</f>
        <v>P114</v>
      </c>
      <c r="B133" s="25" t="str">
        <f>IF(REGISTRY!G115="Male",REGISTRY!M115,"")</f>
        <v>محمد بن عبدالكريم بن ابراهيم ناصر</v>
      </c>
      <c r="C133" s="25">
        <f>IF(REGISTRY!G115="Male",REGISTRY!K115,"")</f>
        <v>6</v>
      </c>
      <c r="D133" s="25">
        <f>IF(REGISTRY!G115="Male",REGISTRY!P115,"")</f>
        <v>0</v>
      </c>
      <c r="E133" s="25" t="str">
        <f>IF(REGISTRY!G115="Male",REGISTRY!L115,"")</f>
        <v>الابراهيم</v>
      </c>
    </row>
    <row r="134" ht="15.75" customHeight="1">
      <c r="A134" s="25" t="str">
        <f>IF(REGISTRY!G116="Male",REGISTRY!A116,"")</f>
        <v>P115</v>
      </c>
      <c r="B134" s="25" t="str">
        <f>IF(REGISTRY!G116="Male",REGISTRY!M116,"")</f>
        <v>عبدالرحمن بن عبدالكريم بن ابراهيم ناصر</v>
      </c>
      <c r="C134" s="25">
        <f>IF(REGISTRY!G116="Male",REGISTRY!K116,"")</f>
        <v>6</v>
      </c>
      <c r="D134" s="25">
        <f>IF(REGISTRY!G116="Male",REGISTRY!P116,"")</f>
        <v>0</v>
      </c>
      <c r="E134" s="25" t="str">
        <f>IF(REGISTRY!G116="Male",REGISTRY!L116,"")</f>
        <v>الابراهيم</v>
      </c>
    </row>
    <row r="135" ht="15.75" customHeight="1">
      <c r="A135" s="25" t="str">
        <f>IF(REGISTRY!G117="Male",REGISTRY!A117,"")</f>
        <v>P116</v>
      </c>
      <c r="B135" s="25" t="str">
        <f>IF(REGISTRY!G117="Male",REGISTRY!M117,"")</f>
        <v>عبدالله بن عبدالكريم بن ابراهيم ناصر</v>
      </c>
      <c r="C135" s="25">
        <f>IF(REGISTRY!G117="Male",REGISTRY!K117,"")</f>
        <v>6</v>
      </c>
      <c r="D135" s="25">
        <f>IF(REGISTRY!G117="Male",REGISTRY!P117,"")</f>
        <v>0</v>
      </c>
      <c r="E135" s="25" t="str">
        <f>IF(REGISTRY!G117="Male",REGISTRY!L117,"")</f>
        <v>الابراهيم</v>
      </c>
    </row>
    <row r="136" ht="15.75" customHeight="1">
      <c r="A136" s="25" t="str">
        <f>IF(REGISTRY!G118="Male",REGISTRY!A118,"")</f>
        <v>P117</v>
      </c>
      <c r="B136" s="25" t="str">
        <f>IF(REGISTRY!G118="Male",REGISTRY!M118,"")</f>
        <v>عبدالعزيز بن عبدالكريم بن ابراهيم ناصر</v>
      </c>
      <c r="C136" s="25">
        <f>IF(REGISTRY!G118="Male",REGISTRY!K118,"")</f>
        <v>6</v>
      </c>
      <c r="D136" s="25">
        <f>IF(REGISTRY!G118="Male",REGISTRY!P118,"")</f>
        <v>0</v>
      </c>
      <c r="E136" s="25" t="str">
        <f>IF(REGISTRY!G118="Male",REGISTRY!L118,"")</f>
        <v>الابراهيم</v>
      </c>
    </row>
    <row r="137" ht="15.75" customHeight="1">
      <c r="A137" s="25" t="str">
        <f>IF(REGISTRY!G119="Male",REGISTRY!A119,"")</f>
        <v>P118</v>
      </c>
      <c r="B137" s="25" t="str">
        <f>IF(REGISTRY!G119="Male",REGISTRY!M119,"")</f>
        <v>خالد بن ابراهيم بن عبدالكريم ابراهيم</v>
      </c>
      <c r="C137" s="25">
        <f>IF(REGISTRY!G119="Male",REGISTRY!K119,"")</f>
        <v>7</v>
      </c>
      <c r="D137" s="25">
        <f>IF(REGISTRY!G119="Male",REGISTRY!P119,"")</f>
        <v>0</v>
      </c>
      <c r="E137" s="25" t="str">
        <f>IF(REGISTRY!G119="Male",REGISTRY!L119,"")</f>
        <v>الابراهيم</v>
      </c>
    </row>
    <row r="138" ht="15.75" customHeight="1">
      <c r="A138" s="25" t="str">
        <f>IF(REGISTRY!G120="Male",REGISTRY!A120,"")</f>
        <v>P119</v>
      </c>
      <c r="B138" s="25" t="str">
        <f>IF(REGISTRY!G120="Male",REGISTRY!M120,"")</f>
        <v>عبدالملك بن ابراهيم بن عبدالكريم ابراهيم</v>
      </c>
      <c r="C138" s="25">
        <f>IF(REGISTRY!G120="Male",REGISTRY!K120,"")</f>
        <v>7</v>
      </c>
      <c r="D138" s="25">
        <f>IF(REGISTRY!G120="Male",REGISTRY!P120,"")</f>
        <v>0</v>
      </c>
      <c r="E138" s="25" t="str">
        <f>IF(REGISTRY!G120="Male",REGISTRY!L120,"")</f>
        <v>الابراهيم</v>
      </c>
    </row>
    <row r="139" ht="15.75" customHeight="1">
      <c r="A139" s="25" t="str">
        <f>IF(REGISTRY!G121="Male",REGISTRY!A121,"")</f>
        <v>P120</v>
      </c>
      <c r="B139" s="25" t="str">
        <f>IF(REGISTRY!G121="Male",REGISTRY!M121,"")</f>
        <v>عبدالكريم بن ابراهيم بن عبدالكريم ابراهيم</v>
      </c>
      <c r="C139" s="25">
        <f>IF(REGISTRY!G121="Male",REGISTRY!K121,"")</f>
        <v>7</v>
      </c>
      <c r="D139" s="25">
        <f>IF(REGISTRY!G121="Male",REGISTRY!P121,"")</f>
        <v>0</v>
      </c>
      <c r="E139" s="25" t="str">
        <f>IF(REGISTRY!G121="Male",REGISTRY!L121,"")</f>
        <v>الابراهيم</v>
      </c>
    </row>
    <row r="140" ht="15.75" customHeight="1">
      <c r="A140" s="25" t="str">
        <f>IF(REGISTRY!G122="Male",REGISTRY!A122,"")</f>
        <v/>
      </c>
      <c r="B140" s="25" t="str">
        <f>IF(REGISTRY!G122="Male",REGISTRY!M122,"")</f>
        <v/>
      </c>
      <c r="C140" s="25" t="str">
        <f>IF(REGISTRY!G122="Male",REGISTRY!K122,"")</f>
        <v/>
      </c>
      <c r="D140" s="25" t="str">
        <f>IF(REGISTRY!G122="Male",REGISTRY!P122,"")</f>
        <v/>
      </c>
      <c r="E140" s="25" t="str">
        <f>IF(REGISTRY!G122="Male",REGISTRY!L122,"")</f>
        <v/>
      </c>
    </row>
    <row r="141" ht="15.75" customHeight="1">
      <c r="A141" s="25" t="str">
        <f>IF(REGISTRY!G123="Male",REGISTRY!A123,"")</f>
        <v/>
      </c>
      <c r="B141" s="25" t="str">
        <f>IF(REGISTRY!G123="Male",REGISTRY!M123,"")</f>
        <v/>
      </c>
      <c r="C141" s="25" t="str">
        <f>IF(REGISTRY!G123="Male",REGISTRY!K123,"")</f>
        <v/>
      </c>
      <c r="D141" s="25" t="str">
        <f>IF(REGISTRY!G123="Male",REGISTRY!P123,"")</f>
        <v/>
      </c>
      <c r="E141" s="25" t="str">
        <f>IF(REGISTRY!G123="Male",REGISTRY!L123,"")</f>
        <v/>
      </c>
    </row>
    <row r="142" ht="15.75" customHeight="1">
      <c r="A142" s="25" t="str">
        <f>IF(REGISTRY!G124="Male",REGISTRY!A124,"")</f>
        <v/>
      </c>
      <c r="B142" s="25" t="str">
        <f>IF(REGISTRY!G124="Male",REGISTRY!M124,"")</f>
        <v/>
      </c>
      <c r="C142" s="25" t="str">
        <f>IF(REGISTRY!G124="Male",REGISTRY!K124,"")</f>
        <v/>
      </c>
      <c r="D142" s="25" t="str">
        <f>IF(REGISTRY!G124="Male",REGISTRY!P124,"")</f>
        <v/>
      </c>
      <c r="E142" s="25" t="str">
        <f>IF(REGISTRY!G124="Male",REGISTRY!L124,"")</f>
        <v/>
      </c>
    </row>
    <row r="143" ht="15.75" customHeight="1">
      <c r="A143" s="25" t="str">
        <f>IF(REGISTRY!G125="Male",REGISTRY!A125,"")</f>
        <v/>
      </c>
      <c r="B143" s="25" t="str">
        <f>IF(REGISTRY!G125="Male",REGISTRY!M125,"")</f>
        <v/>
      </c>
      <c r="C143" s="25" t="str">
        <f>IF(REGISTRY!G125="Male",REGISTRY!K125,"")</f>
        <v/>
      </c>
      <c r="D143" s="25" t="str">
        <f>IF(REGISTRY!G125="Male",REGISTRY!P125,"")</f>
        <v/>
      </c>
      <c r="E143" s="25" t="str">
        <f>IF(REGISTRY!G125="Male",REGISTRY!L125,"")</f>
        <v/>
      </c>
    </row>
    <row r="144" ht="15.75" customHeight="1">
      <c r="A144" s="25" t="str">
        <f>IF(REGISTRY!G126="Male",REGISTRY!A126,"")</f>
        <v>P125</v>
      </c>
      <c r="B144" s="25" t="str">
        <f>IF(REGISTRY!G126="Male",REGISTRY!M126,"")</f>
        <v>ريان بن خالد بن ابراهيم عبدالكريم</v>
      </c>
      <c r="C144" s="25">
        <f>IF(REGISTRY!G126="Male",REGISTRY!K126,"")</f>
        <v>8</v>
      </c>
      <c r="D144" s="25">
        <f>IF(REGISTRY!G126="Male",REGISTRY!P126,"")</f>
        <v>0</v>
      </c>
      <c r="E144" s="25" t="str">
        <f>IF(REGISTRY!G126="Male",REGISTRY!L126,"")</f>
        <v>الابراهيم</v>
      </c>
    </row>
    <row r="145" ht="15.75" customHeight="1">
      <c r="A145" s="25" t="str">
        <f>IF(REGISTRY!G127="Male",REGISTRY!A127,"")</f>
        <v>P126</v>
      </c>
      <c r="B145" s="25" t="str">
        <f>IF(REGISTRY!G127="Male",REGISTRY!M127,"")</f>
        <v>عبدالكريم بن خالد بن ابراهيم عبدالكريم</v>
      </c>
      <c r="C145" s="25">
        <f>IF(REGISTRY!G127="Male",REGISTRY!K127,"")</f>
        <v>8</v>
      </c>
      <c r="D145" s="25">
        <f>IF(REGISTRY!G127="Male",REGISTRY!P127,"")</f>
        <v>0</v>
      </c>
      <c r="E145" s="25" t="str">
        <f>IF(REGISTRY!G127="Male",REGISTRY!L127,"")</f>
        <v>الابراهيم</v>
      </c>
    </row>
    <row r="146" ht="15.75" customHeight="1">
      <c r="A146" s="25" t="str">
        <f>IF(REGISTRY!G128="Male",REGISTRY!A128,"")</f>
        <v>P127</v>
      </c>
      <c r="B146" s="25" t="str">
        <f>IF(REGISTRY!G128="Male",REGISTRY!M128,"")</f>
        <v>عبدالرحمن بن خالد بن ابراهيم عبدالكريم</v>
      </c>
      <c r="C146" s="25">
        <f>IF(REGISTRY!G128="Male",REGISTRY!K128,"")</f>
        <v>8</v>
      </c>
      <c r="D146" s="25">
        <f>IF(REGISTRY!G128="Male",REGISTRY!P128,"")</f>
        <v>0</v>
      </c>
      <c r="E146" s="25" t="str">
        <f>IF(REGISTRY!G128="Male",REGISTRY!L128,"")</f>
        <v>الابراهيم</v>
      </c>
    </row>
    <row r="147" ht="15.75" customHeight="1">
      <c r="A147" s="25" t="str">
        <f>IF(REGISTRY!G129="Male",REGISTRY!A129,"")</f>
        <v/>
      </c>
      <c r="B147" s="25" t="str">
        <f>IF(REGISTRY!G129="Male",REGISTRY!M129,"")</f>
        <v/>
      </c>
      <c r="C147" s="25" t="str">
        <f>IF(REGISTRY!G129="Male",REGISTRY!K129,"")</f>
        <v/>
      </c>
      <c r="D147" s="25" t="str">
        <f>IF(REGISTRY!G129="Male",REGISTRY!P129,"")</f>
        <v/>
      </c>
      <c r="E147" s="25" t="str">
        <f>IF(REGISTRY!G129="Male",REGISTRY!L129,"")</f>
        <v/>
      </c>
    </row>
    <row r="148" ht="15.75" customHeight="1">
      <c r="A148" s="25" t="str">
        <f>IF(REGISTRY!G130="Male",REGISTRY!A130,"")</f>
        <v>P129</v>
      </c>
      <c r="B148" s="25" t="str">
        <f>IF(REGISTRY!G130="Male",REGISTRY!M130,"")</f>
        <v>معاذ بن محمد بن عبدالكريم ابراهيم</v>
      </c>
      <c r="C148" s="25">
        <f>IF(REGISTRY!G130="Male",REGISTRY!K130,"")</f>
        <v>7</v>
      </c>
      <c r="D148" s="25">
        <f>IF(REGISTRY!G130="Male",REGISTRY!P130,"")</f>
        <v>0</v>
      </c>
      <c r="E148" s="25" t="str">
        <f>IF(REGISTRY!G130="Male",REGISTRY!L130,"")</f>
        <v>الابراهيم</v>
      </c>
    </row>
    <row r="149" ht="15.75" customHeight="1">
      <c r="A149" s="25" t="str">
        <f>IF(REGISTRY!G131="Male",REGISTRY!A131,"")</f>
        <v>P130</v>
      </c>
      <c r="B149" s="25" t="str">
        <f>IF(REGISTRY!G131="Male",REGISTRY!M131,"")</f>
        <v>عبدالاله بن محمد بن عبدالكريم ابراهيم</v>
      </c>
      <c r="C149" s="25">
        <f>IF(REGISTRY!G131="Male",REGISTRY!K131,"")</f>
        <v>7</v>
      </c>
      <c r="D149" s="25">
        <f>IF(REGISTRY!G131="Male",REGISTRY!P131,"")</f>
        <v>0</v>
      </c>
      <c r="E149" s="25" t="str">
        <f>IF(REGISTRY!G131="Male",REGISTRY!L131,"")</f>
        <v>الابراهيم</v>
      </c>
    </row>
    <row r="150" ht="15.75" customHeight="1">
      <c r="A150" s="25" t="str">
        <f>IF(REGISTRY!G132="Male",REGISTRY!A132,"")</f>
        <v/>
      </c>
      <c r="B150" s="25" t="str">
        <f>IF(REGISTRY!G132="Male",REGISTRY!M132,"")</f>
        <v/>
      </c>
      <c r="C150" s="25" t="str">
        <f>IF(REGISTRY!G132="Male",REGISTRY!K132,"")</f>
        <v/>
      </c>
      <c r="D150" s="25" t="str">
        <f>IF(REGISTRY!G132="Male",REGISTRY!P132,"")</f>
        <v/>
      </c>
      <c r="E150" s="25" t="str">
        <f>IF(REGISTRY!G132="Male",REGISTRY!L132,"")</f>
        <v/>
      </c>
    </row>
    <row r="151" ht="15.75" customHeight="1">
      <c r="A151" s="25" t="str">
        <f>IF(REGISTRY!G133="Male",REGISTRY!A133,"")</f>
        <v/>
      </c>
      <c r="B151" s="25" t="str">
        <f>IF(REGISTRY!G133="Male",REGISTRY!M133,"")</f>
        <v/>
      </c>
      <c r="C151" s="25" t="str">
        <f>IF(REGISTRY!G133="Male",REGISTRY!K133,"")</f>
        <v/>
      </c>
      <c r="D151" s="25" t="str">
        <f>IF(REGISTRY!G133="Male",REGISTRY!P133,"")</f>
        <v/>
      </c>
      <c r="E151" s="25" t="str">
        <f>IF(REGISTRY!G133="Male",REGISTRY!L133,"")</f>
        <v/>
      </c>
    </row>
    <row r="152" ht="15.75" customHeight="1">
      <c r="A152" s="25" t="str">
        <f>IF(REGISTRY!G134="Male",REGISTRY!A134,"")</f>
        <v/>
      </c>
      <c r="B152" s="25" t="str">
        <f>IF(REGISTRY!G134="Male",REGISTRY!M134,"")</f>
        <v/>
      </c>
      <c r="C152" s="25" t="str">
        <f>IF(REGISTRY!G134="Male",REGISTRY!K134,"")</f>
        <v/>
      </c>
      <c r="D152" s="25" t="str">
        <f>IF(REGISTRY!G134="Male",REGISTRY!P134,"")</f>
        <v/>
      </c>
      <c r="E152" s="25" t="str">
        <f>IF(REGISTRY!G134="Male",REGISTRY!L134,"")</f>
        <v/>
      </c>
    </row>
    <row r="153" ht="15.75" customHeight="1">
      <c r="A153" s="25" t="str">
        <f>IF(REGISTRY!G135="Male",REGISTRY!A135,"")</f>
        <v/>
      </c>
      <c r="B153" s="25" t="str">
        <f>IF(REGISTRY!G135="Male",REGISTRY!M135,"")</f>
        <v/>
      </c>
      <c r="C153" s="25" t="str">
        <f>IF(REGISTRY!G135="Male",REGISTRY!K135,"")</f>
        <v/>
      </c>
      <c r="D153" s="25" t="str">
        <f>IF(REGISTRY!G135="Male",REGISTRY!P135,"")</f>
        <v/>
      </c>
      <c r="E153" s="25" t="str">
        <f>IF(REGISTRY!G135="Male",REGISTRY!L135,"")</f>
        <v/>
      </c>
    </row>
    <row r="154" ht="15.75" customHeight="1">
      <c r="A154" s="25" t="str">
        <f>IF(REGISTRY!G136="Male",REGISTRY!A136,"")</f>
        <v>P135</v>
      </c>
      <c r="B154" s="25" t="str">
        <f>IF(REGISTRY!G136="Male",REGISTRY!M136,"")</f>
        <v>عبدالمجيد بن عبدالرحمن بن عبدالكريم ابراهيم</v>
      </c>
      <c r="C154" s="25">
        <f>IF(REGISTRY!G136="Male",REGISTRY!K136,"")</f>
        <v>7</v>
      </c>
      <c r="D154" s="25">
        <f>IF(REGISTRY!G136="Male",REGISTRY!P136,"")</f>
        <v>0</v>
      </c>
      <c r="E154" s="25" t="str">
        <f>IF(REGISTRY!G136="Male",REGISTRY!L136,"")</f>
        <v>الابراهيم</v>
      </c>
    </row>
    <row r="155" ht="15.75" customHeight="1">
      <c r="A155" s="25" t="str">
        <f>IF(REGISTRY!G137="Male",REGISTRY!A137,"")</f>
        <v/>
      </c>
      <c r="B155" s="25" t="str">
        <f>IF(REGISTRY!G137="Male",REGISTRY!M137,"")</f>
        <v/>
      </c>
      <c r="C155" s="25" t="str">
        <f>IF(REGISTRY!G137="Male",REGISTRY!K137,"")</f>
        <v/>
      </c>
      <c r="D155" s="25" t="str">
        <f>IF(REGISTRY!G137="Male",REGISTRY!P137,"")</f>
        <v/>
      </c>
      <c r="E155" s="25" t="str">
        <f>IF(REGISTRY!G137="Male",REGISTRY!L137,"")</f>
        <v/>
      </c>
    </row>
    <row r="156" ht="15.75" customHeight="1">
      <c r="A156" s="25" t="str">
        <f>IF(REGISTRY!G138="Male",REGISTRY!A138,"")</f>
        <v/>
      </c>
      <c r="B156" s="25" t="str">
        <f>IF(REGISTRY!G138="Male",REGISTRY!M138,"")</f>
        <v/>
      </c>
      <c r="C156" s="25" t="str">
        <f>IF(REGISTRY!G138="Male",REGISTRY!K138,"")</f>
        <v/>
      </c>
      <c r="D156" s="25" t="str">
        <f>IF(REGISTRY!G138="Male",REGISTRY!P138,"")</f>
        <v/>
      </c>
      <c r="E156" s="25" t="str">
        <f>IF(REGISTRY!G138="Male",REGISTRY!L138,"")</f>
        <v/>
      </c>
    </row>
    <row r="157" ht="15.75" customHeight="1">
      <c r="A157" s="25" t="str">
        <f>IF(REGISTRY!G139="Male",REGISTRY!A139,"")</f>
        <v/>
      </c>
      <c r="B157" s="25" t="str">
        <f>IF(REGISTRY!G139="Male",REGISTRY!M139,"")</f>
        <v/>
      </c>
      <c r="C157" s="25" t="str">
        <f>IF(REGISTRY!G139="Male",REGISTRY!K139,"")</f>
        <v/>
      </c>
      <c r="D157" s="25" t="str">
        <f>IF(REGISTRY!G139="Male",REGISTRY!P139,"")</f>
        <v/>
      </c>
      <c r="E157" s="25" t="str">
        <f>IF(REGISTRY!G139="Male",REGISTRY!L139,"")</f>
        <v/>
      </c>
    </row>
    <row r="158" ht="15.75" customHeight="1">
      <c r="A158" s="25" t="str">
        <f>IF(REGISTRY!G140="Male",REGISTRY!A140,"")</f>
        <v>P139</v>
      </c>
      <c r="B158" s="25" t="str">
        <f>IF(REGISTRY!G140="Male",REGISTRY!M140,"")</f>
        <v>تميم بن عبدالله بن عبدالكريم ابراهيم</v>
      </c>
      <c r="C158" s="25">
        <f>IF(REGISTRY!G140="Male",REGISTRY!K140,"")</f>
        <v>8</v>
      </c>
      <c r="D158" s="25">
        <f>IF(REGISTRY!G140="Male",REGISTRY!P140,"")</f>
        <v>0</v>
      </c>
      <c r="E158" s="25" t="str">
        <f>IF(REGISTRY!G140="Male",REGISTRY!L140,"")</f>
        <v>الابراهيم</v>
      </c>
    </row>
    <row r="159" ht="15.75" customHeight="1">
      <c r="A159" s="25" t="str">
        <f>IF(REGISTRY!G141="Male",REGISTRY!A141,"")</f>
        <v>P140</v>
      </c>
      <c r="B159" s="25" t="str">
        <f>IF(REGISTRY!G141="Male",REGISTRY!M141,"")</f>
        <v>مهند بن عبدالله بن عبدالكريم ابراهيم</v>
      </c>
      <c r="C159" s="25">
        <f>IF(REGISTRY!G141="Male",REGISTRY!K141,"")</f>
        <v>8</v>
      </c>
      <c r="D159" s="25">
        <f>IF(REGISTRY!G141="Male",REGISTRY!P141,"")</f>
        <v>0</v>
      </c>
      <c r="E159" s="25" t="str">
        <f>IF(REGISTRY!G141="Male",REGISTRY!L141,"")</f>
        <v>الابراهيم</v>
      </c>
    </row>
    <row r="160" ht="15.75" customHeight="1">
      <c r="A160" s="25" t="str">
        <f>IF(REGISTRY!G142="Male",REGISTRY!A142,"")</f>
        <v/>
      </c>
      <c r="B160" s="25" t="str">
        <f>IF(REGISTRY!G142="Male",REGISTRY!M142,"")</f>
        <v/>
      </c>
      <c r="C160" s="25" t="str">
        <f>IF(REGISTRY!G142="Male",REGISTRY!K142,"")</f>
        <v/>
      </c>
      <c r="D160" s="25" t="str">
        <f>IF(REGISTRY!G142="Male",REGISTRY!P142,"")</f>
        <v/>
      </c>
      <c r="E160" s="25" t="str">
        <f>IF(REGISTRY!G142="Male",REGISTRY!L142,"")</f>
        <v/>
      </c>
    </row>
    <row r="161" ht="15.75" customHeight="1">
      <c r="A161" s="25" t="str">
        <f>IF(REGISTRY!G143="Male",REGISTRY!A143,"")</f>
        <v/>
      </c>
      <c r="B161" s="25" t="str">
        <f>IF(REGISTRY!G143="Male",REGISTRY!M143,"")</f>
        <v/>
      </c>
      <c r="C161" s="25" t="str">
        <f>IF(REGISTRY!G143="Male",REGISTRY!K143,"")</f>
        <v/>
      </c>
      <c r="D161" s="25" t="str">
        <f>IF(REGISTRY!G143="Male",REGISTRY!P143,"")</f>
        <v/>
      </c>
      <c r="E161" s="25" t="str">
        <f>IF(REGISTRY!G143="Male",REGISTRY!L143,"")</f>
        <v/>
      </c>
    </row>
    <row r="162" ht="15.75" customHeight="1">
      <c r="A162" s="25" t="str">
        <f>IF(REGISTRY!G144="Male",REGISTRY!A144,"")</f>
        <v/>
      </c>
      <c r="B162" s="25" t="str">
        <f>IF(REGISTRY!G144="Male",REGISTRY!M144,"")</f>
        <v/>
      </c>
      <c r="C162" s="25" t="str">
        <f>IF(REGISTRY!G144="Male",REGISTRY!K144,"")</f>
        <v/>
      </c>
      <c r="D162" s="25" t="str">
        <f>IF(REGISTRY!G144="Male",REGISTRY!P144,"")</f>
        <v/>
      </c>
      <c r="E162" s="25" t="str">
        <f>IF(REGISTRY!G144="Male",REGISTRY!L144,"")</f>
        <v/>
      </c>
    </row>
    <row r="163" ht="15.75" customHeight="1">
      <c r="A163" s="25" t="str">
        <f>IF(REGISTRY!G145="Male",REGISTRY!A145,"")</f>
        <v>P144</v>
      </c>
      <c r="B163" s="25" t="str">
        <f>IF(REGISTRY!G145="Male",REGISTRY!M145,"")</f>
        <v>عبدالله بن عبدالعزيز بن عبدالكريم ابراهيم</v>
      </c>
      <c r="C163" s="25">
        <f>IF(REGISTRY!G145="Male",REGISTRY!K145,"")</f>
        <v>8</v>
      </c>
      <c r="D163" s="25">
        <f>IF(REGISTRY!G145="Male",REGISTRY!P145,"")</f>
        <v>0</v>
      </c>
      <c r="E163" s="25" t="str">
        <f>IF(REGISTRY!G145="Male",REGISTRY!L145,"")</f>
        <v>الابراهيم</v>
      </c>
    </row>
    <row r="164" ht="15.75" customHeight="1">
      <c r="A164" s="25" t="str">
        <f>IF(REGISTRY!G146="Male",REGISTRY!A146,"")</f>
        <v/>
      </c>
      <c r="B164" s="25" t="str">
        <f>IF(REGISTRY!G146="Male",REGISTRY!M146,"")</f>
        <v/>
      </c>
      <c r="C164" s="25" t="str">
        <f>IF(REGISTRY!G146="Male",REGISTRY!K146,"")</f>
        <v/>
      </c>
      <c r="D164" s="25" t="str">
        <f>IF(REGISTRY!G146="Male",REGISTRY!P146,"")</f>
        <v/>
      </c>
      <c r="E164" s="25" t="str">
        <f>IF(REGISTRY!G146="Male",REGISTRY!L146,"")</f>
        <v/>
      </c>
    </row>
    <row r="165" ht="15.75" customHeight="1">
      <c r="A165" s="25" t="str">
        <f>IF(REGISTRY!G147="Male",REGISTRY!A147,"")</f>
        <v/>
      </c>
      <c r="B165" s="25" t="str">
        <f>IF(REGISTRY!G147="Male",REGISTRY!M147,"")</f>
        <v/>
      </c>
      <c r="C165" s="25" t="str">
        <f>IF(REGISTRY!G147="Male",REGISTRY!K147,"")</f>
        <v/>
      </c>
      <c r="D165" s="25" t="str">
        <f>IF(REGISTRY!G147="Male",REGISTRY!P147,"")</f>
        <v/>
      </c>
      <c r="E165" s="25" t="str">
        <f>IF(REGISTRY!G147="Male",REGISTRY!L147,"")</f>
        <v/>
      </c>
    </row>
    <row r="166" ht="15.75" customHeight="1">
      <c r="A166" s="25" t="str">
        <f>IF(REGISTRY!G148="Male",REGISTRY!A148,"")</f>
        <v/>
      </c>
      <c r="B166" s="25" t="str">
        <f>IF(REGISTRY!G148="Male",REGISTRY!M148,"")</f>
        <v/>
      </c>
      <c r="C166" s="25" t="str">
        <f>IF(REGISTRY!G148="Male",REGISTRY!K148,"")</f>
        <v/>
      </c>
      <c r="D166" s="25" t="str">
        <f>IF(REGISTRY!G148="Male",REGISTRY!P148,"")</f>
        <v/>
      </c>
      <c r="E166" s="25" t="str">
        <f>IF(REGISTRY!G148="Male",REGISTRY!L148,"")</f>
        <v/>
      </c>
    </row>
    <row r="167" ht="15.75" customHeight="1">
      <c r="A167" s="25" t="str">
        <f>IF(REGISTRY!G149="Male",REGISTRY!A149,"")</f>
        <v/>
      </c>
      <c r="B167" s="25" t="str">
        <f>IF(REGISTRY!G149="Male",REGISTRY!M149,"")</f>
        <v/>
      </c>
      <c r="C167" s="25" t="str">
        <f>IF(REGISTRY!G149="Male",REGISTRY!K149,"")</f>
        <v/>
      </c>
      <c r="D167" s="25" t="str">
        <f>IF(REGISTRY!G149="Male",REGISTRY!P149,"")</f>
        <v/>
      </c>
      <c r="E167" s="25" t="str">
        <f>IF(REGISTRY!G149="Male",REGISTRY!L149,"")</f>
        <v/>
      </c>
    </row>
    <row r="168" ht="15.75" customHeight="1">
      <c r="A168" s="25" t="str">
        <f>IF(REGISTRY!G150="Male",REGISTRY!A150,"")</f>
        <v/>
      </c>
      <c r="B168" s="25" t="str">
        <f>IF(REGISTRY!G150="Male",REGISTRY!M150,"")</f>
        <v/>
      </c>
      <c r="C168" s="25" t="str">
        <f>IF(REGISTRY!G150="Male",REGISTRY!K150,"")</f>
        <v/>
      </c>
      <c r="D168" s="25" t="str">
        <f>IF(REGISTRY!G150="Male",REGISTRY!P150,"")</f>
        <v/>
      </c>
      <c r="E168" s="25" t="str">
        <f>IF(REGISTRY!G150="Male",REGISTRY!L150,"")</f>
        <v/>
      </c>
    </row>
    <row r="169" ht="15.75" customHeight="1">
      <c r="A169" s="25" t="str">
        <f>IF(REGISTRY!G151="Male",REGISTRY!A151,"")</f>
        <v/>
      </c>
      <c r="B169" s="25" t="str">
        <f>IF(REGISTRY!G151="Male",REGISTRY!M151,"")</f>
        <v/>
      </c>
      <c r="C169" s="25" t="str">
        <f>IF(REGISTRY!G151="Male",REGISTRY!K151,"")</f>
        <v/>
      </c>
      <c r="D169" s="25" t="str">
        <f>IF(REGISTRY!G151="Male",REGISTRY!P151,"")</f>
        <v/>
      </c>
      <c r="E169" s="25" t="str">
        <f>IF(REGISTRY!G151="Male",REGISTRY!L151,"")</f>
        <v/>
      </c>
    </row>
    <row r="170" ht="15.75" customHeight="1">
      <c r="A170" s="25" t="str">
        <f>IF(REGISTRY!G152="Male",REGISTRY!A152,"")</f>
        <v/>
      </c>
      <c r="B170" s="25" t="str">
        <f>IF(REGISTRY!G152="Male",REGISTRY!M152,"")</f>
        <v/>
      </c>
      <c r="C170" s="25" t="str">
        <f>IF(REGISTRY!G152="Male",REGISTRY!K152,"")</f>
        <v/>
      </c>
      <c r="D170" s="25" t="str">
        <f>IF(REGISTRY!G152="Male",REGISTRY!P152,"")</f>
        <v/>
      </c>
      <c r="E170" s="25" t="str">
        <f>IF(REGISTRY!G152="Male",REGISTRY!L152,"")</f>
        <v/>
      </c>
    </row>
    <row r="171" ht="15.75" customHeight="1">
      <c r="A171" s="25" t="str">
        <f>IF(REGISTRY!G153="Male",REGISTRY!A153,"")</f>
        <v/>
      </c>
      <c r="B171" s="25" t="str">
        <f>IF(REGISTRY!G153="Male",REGISTRY!M153,"")</f>
        <v/>
      </c>
      <c r="C171" s="25" t="str">
        <f>IF(REGISTRY!G153="Male",REGISTRY!K153,"")</f>
        <v/>
      </c>
      <c r="D171" s="25" t="str">
        <f>IF(REGISTRY!G153="Male",REGISTRY!P153,"")</f>
        <v/>
      </c>
      <c r="E171" s="25" t="str">
        <f>IF(REGISTRY!G153="Male",REGISTRY!L153,"")</f>
        <v/>
      </c>
    </row>
    <row r="172" ht="15.75" customHeight="1">
      <c r="A172" s="25" t="str">
        <f>IF(REGISTRY!G154="Male",REGISTRY!A154,"")</f>
        <v>P153</v>
      </c>
      <c r="B172" s="25" t="str">
        <f>IF(REGISTRY!G154="Male",REGISTRY!M154,"")</f>
        <v>عبدالعزيز بن فوزان بن حمد -</v>
      </c>
      <c r="C172" s="25">
        <f>IF(REGISTRY!G154="Male",REGISTRY!K154,"")</f>
        <v>3</v>
      </c>
      <c r="D172" s="25">
        <f>IF(REGISTRY!G154="Male",REGISTRY!P154,"")</f>
        <v>0</v>
      </c>
      <c r="E172" s="25" t="str">
        <f>IF(REGISTRY!G154="Male",REGISTRY!L154,"")</f>
        <v>الفوزان</v>
      </c>
    </row>
    <row r="173" ht="15.75" customHeight="1">
      <c r="A173" s="25" t="str">
        <f>IF(REGISTRY!G155="Male",REGISTRY!A155,"")</f>
        <v>P154</v>
      </c>
      <c r="B173" s="25" t="str">
        <f>IF(REGISTRY!G155="Male",REGISTRY!M155,"")</f>
        <v>محمد بن فوزان بن حمد -</v>
      </c>
      <c r="C173" s="25">
        <f>IF(REGISTRY!G155="Male",REGISTRY!K155,"")</f>
        <v>3</v>
      </c>
      <c r="D173" s="25">
        <f>IF(REGISTRY!G155="Male",REGISTRY!P155,"")</f>
        <v>0</v>
      </c>
      <c r="E173" s="25" t="str">
        <f>IF(REGISTRY!G155="Male",REGISTRY!L155,"")</f>
        <v>الفوزان</v>
      </c>
    </row>
    <row r="174" ht="15.75" customHeight="1">
      <c r="A174" s="25" t="str">
        <f>IF(REGISTRY!G156="Male",REGISTRY!A156,"")</f>
        <v>P155</v>
      </c>
      <c r="B174" s="25" t="str">
        <f>IF(REGISTRY!G156="Male",REGISTRY!M156,"")</f>
        <v>عبدالله بن عبدالعزيز بن فوزان حمد</v>
      </c>
      <c r="C174" s="25">
        <f>IF(REGISTRY!G156="Male",REGISTRY!K156,"")</f>
        <v>4</v>
      </c>
      <c r="D174" s="25">
        <f>IF(REGISTRY!G156="Male",REGISTRY!P156,"")</f>
        <v>0</v>
      </c>
      <c r="E174" s="25" t="str">
        <f>IF(REGISTRY!G156="Male",REGISTRY!L156,"")</f>
        <v>الفوزان</v>
      </c>
    </row>
    <row r="175" ht="15.75" customHeight="1">
      <c r="A175" s="25" t="str">
        <f>IF(REGISTRY!G157="Male",REGISTRY!A157,"")</f>
        <v>P156</v>
      </c>
      <c r="B175" s="25" t="str">
        <f>IF(REGISTRY!G157="Male",REGISTRY!M157,"")</f>
        <v>عبدالعزيز بن عبدالله بن عبدالعزيز فوزان</v>
      </c>
      <c r="C175" s="25">
        <f>IF(REGISTRY!G157="Male",REGISTRY!K157,"")</f>
        <v>5</v>
      </c>
      <c r="D175" s="25">
        <f>IF(REGISTRY!G157="Male",REGISTRY!P157,"")</f>
        <v>0</v>
      </c>
      <c r="E175" s="25" t="str">
        <f>IF(REGISTRY!G157="Male",REGISTRY!L157,"")</f>
        <v>الفوزان</v>
      </c>
    </row>
    <row r="176" ht="15.75" customHeight="1">
      <c r="A176" s="25" t="str">
        <f>IF(REGISTRY!G158="Male",REGISTRY!A158,"")</f>
        <v>P157</v>
      </c>
      <c r="B176" s="25" t="str">
        <f>IF(REGISTRY!G158="Male",REGISTRY!M158,"")</f>
        <v>فوزان بن عبدالعزيز بن فوزان حمد</v>
      </c>
      <c r="C176" s="25">
        <f>IF(REGISTRY!G158="Male",REGISTRY!K158,"")</f>
        <v>4</v>
      </c>
      <c r="D176" s="25">
        <f>IF(REGISTRY!G158="Male",REGISTRY!P158,"")</f>
        <v>0</v>
      </c>
      <c r="E176" s="25" t="str">
        <f>IF(REGISTRY!G158="Male",REGISTRY!L158,"")</f>
        <v>الفوزان</v>
      </c>
    </row>
    <row r="177" ht="15.75" customHeight="1">
      <c r="A177" s="25" t="str">
        <f>IF(REGISTRY!G159="Male",REGISTRY!A159,"")</f>
        <v>P158</v>
      </c>
      <c r="B177" s="25" t="str">
        <f>IF(REGISTRY!G159="Male",REGISTRY!M159,"")</f>
        <v>محمد بن فوزان بن عبدالعزيز فوزان</v>
      </c>
      <c r="C177" s="25">
        <f>IF(REGISTRY!G159="Male",REGISTRY!K159,"")</f>
        <v>5</v>
      </c>
      <c r="D177" s="25">
        <f>IF(REGISTRY!G159="Male",REGISTRY!P159,"")</f>
        <v>0</v>
      </c>
      <c r="E177" s="25" t="str">
        <f>IF(REGISTRY!G159="Male",REGISTRY!L159,"")</f>
        <v>الفوزان</v>
      </c>
    </row>
    <row r="178" ht="15.75" customHeight="1">
      <c r="A178" s="25" t="str">
        <f>IF(REGISTRY!G160="Male",REGISTRY!A160,"")</f>
        <v>P159</v>
      </c>
      <c r="B178" s="25" t="str">
        <f>IF(REGISTRY!G160="Male",REGISTRY!M160,"")</f>
        <v>ابراهيم بن فوزان بن عبدالعزيز فوزان</v>
      </c>
      <c r="C178" s="25">
        <f>IF(REGISTRY!G160="Male",REGISTRY!K160,"")</f>
        <v>5</v>
      </c>
      <c r="D178" s="25">
        <f>IF(REGISTRY!G160="Male",REGISTRY!P160,"")</f>
        <v>0</v>
      </c>
      <c r="E178" s="25" t="str">
        <f>IF(REGISTRY!G160="Male",REGISTRY!L160,"")</f>
        <v>الفوزان</v>
      </c>
    </row>
    <row r="179" ht="15.75" customHeight="1">
      <c r="A179" s="25" t="str">
        <f>IF(REGISTRY!G161="Male",REGISTRY!A161,"")</f>
        <v>P160</v>
      </c>
      <c r="B179" s="25" t="str">
        <f>IF(REGISTRY!G161="Male",REGISTRY!M161,"")</f>
        <v>عبدالعزيز بن فوزان بن عبدالعزيز فوزان</v>
      </c>
      <c r="C179" s="25">
        <f>IF(REGISTRY!G161="Male",REGISTRY!K161,"")</f>
        <v>5</v>
      </c>
      <c r="D179" s="25">
        <f>IF(REGISTRY!G161="Male",REGISTRY!P161,"")</f>
        <v>0</v>
      </c>
      <c r="E179" s="25" t="str">
        <f>IF(REGISTRY!G161="Male",REGISTRY!L161,"")</f>
        <v>الفوزان</v>
      </c>
    </row>
    <row r="180" ht="15.75" customHeight="1">
      <c r="A180" s="25" t="str">
        <f>IF(REGISTRY!G162="Male",REGISTRY!A162,"")</f>
        <v>P161</v>
      </c>
      <c r="B180" s="25" t="str">
        <f>IF(REGISTRY!G162="Male",REGISTRY!M162,"")</f>
        <v>عبدالله بن ابراهيم بن فوزان عبدالعزيز</v>
      </c>
      <c r="C180" s="25">
        <f>IF(REGISTRY!G162="Male",REGISTRY!K162,"")</f>
        <v>6</v>
      </c>
      <c r="D180" s="25">
        <f>IF(REGISTRY!G162="Male",REGISTRY!P162,"")</f>
        <v>0</v>
      </c>
      <c r="E180" s="25" t="str">
        <f>IF(REGISTRY!G162="Male",REGISTRY!L162,"")</f>
        <v>الفوزان</v>
      </c>
    </row>
    <row r="181" ht="15.75" customHeight="1">
      <c r="A181" s="25" t="str">
        <f>IF(REGISTRY!G163="Male",REGISTRY!A163,"")</f>
        <v>P162</v>
      </c>
      <c r="B181" s="25" t="str">
        <f>IF(REGISTRY!G163="Male",REGISTRY!M163,"")</f>
        <v>فوزان بن ابراهيم بن فوزان عبدالعزيز</v>
      </c>
      <c r="C181" s="25">
        <f>IF(REGISTRY!G163="Male",REGISTRY!K163,"")</f>
        <v>6</v>
      </c>
      <c r="D181" s="25">
        <f>IF(REGISTRY!G163="Male",REGISTRY!P163,"")</f>
        <v>0</v>
      </c>
      <c r="E181" s="25" t="str">
        <f>IF(REGISTRY!G163="Male",REGISTRY!L163,"")</f>
        <v>الفوزان</v>
      </c>
    </row>
    <row r="182" ht="15.75" customHeight="1">
      <c r="A182" s="25" t="str">
        <f>IF(REGISTRY!G164="Male",REGISTRY!A164,"")</f>
        <v>P163</v>
      </c>
      <c r="B182" s="25" t="str">
        <f>IF(REGISTRY!G164="Male",REGISTRY!M164,"")</f>
        <v>محمد بن ابراهيم بن فوزان عبدالعزيز</v>
      </c>
      <c r="C182" s="25">
        <f>IF(REGISTRY!G164="Male",REGISTRY!K164,"")</f>
        <v>6</v>
      </c>
      <c r="D182" s="25">
        <f>IF(REGISTRY!G164="Male",REGISTRY!P164,"")</f>
        <v>0</v>
      </c>
      <c r="E182" s="25" t="str">
        <f>IF(REGISTRY!G164="Male",REGISTRY!L164,"")</f>
        <v>الفوزان</v>
      </c>
    </row>
    <row r="183" ht="15.75" customHeight="1">
      <c r="A183" s="25" t="str">
        <f>IF(REGISTRY!G165="Male",REGISTRY!A165,"")</f>
        <v>P164</v>
      </c>
      <c r="B183" s="25" t="str">
        <f>IF(REGISTRY!G165="Male",REGISTRY!M165,"")</f>
        <v>حمد بن ابراهيم بن فوزان عبدالعزيز</v>
      </c>
      <c r="C183" s="25">
        <f>IF(REGISTRY!G165="Male",REGISTRY!K165,"")</f>
        <v>6</v>
      </c>
      <c r="D183" s="25">
        <f>IF(REGISTRY!G165="Male",REGISTRY!P165,"")</f>
        <v>0</v>
      </c>
      <c r="E183" s="25" t="str">
        <f>IF(REGISTRY!G165="Male",REGISTRY!L165,"")</f>
        <v>الفوزان</v>
      </c>
    </row>
    <row r="184" ht="15.75" customHeight="1">
      <c r="A184" s="25" t="str">
        <f>IF(REGISTRY!G166="Male",REGISTRY!A166,"")</f>
        <v>P165</v>
      </c>
      <c r="B184" s="25" t="str">
        <f>IF(REGISTRY!G166="Male",REGISTRY!M166,"")</f>
        <v>ابراهيم بن عبدالله بن ابراهيم فوزان</v>
      </c>
      <c r="C184" s="25">
        <f>IF(REGISTRY!G166="Male",REGISTRY!K166,"")</f>
        <v>7</v>
      </c>
      <c r="D184" s="25">
        <f>IF(REGISTRY!G166="Male",REGISTRY!P166,"")</f>
        <v>0</v>
      </c>
      <c r="E184" s="25" t="str">
        <f>IF(REGISTRY!G166="Male",REGISTRY!L166,"")</f>
        <v>الفوزان</v>
      </c>
    </row>
    <row r="185" ht="15.75" customHeight="1">
      <c r="A185" s="25" t="str">
        <f>IF(REGISTRY!G167="Male",REGISTRY!A167,"")</f>
        <v>P166</v>
      </c>
      <c r="B185" s="25" t="str">
        <f>IF(REGISTRY!G167="Male",REGISTRY!M167,"")</f>
        <v>عبدالعزيز بن عبدالله بن ابراهيم فوزان</v>
      </c>
      <c r="C185" s="25">
        <f>IF(REGISTRY!G167="Male",REGISTRY!K167,"")</f>
        <v>7</v>
      </c>
      <c r="D185" s="25">
        <f>IF(REGISTRY!G167="Male",REGISTRY!P167,"")</f>
        <v>0</v>
      </c>
      <c r="E185" s="25" t="str">
        <f>IF(REGISTRY!G167="Male",REGISTRY!L167,"")</f>
        <v>الفوزان</v>
      </c>
    </row>
    <row r="186" ht="15.75" customHeight="1">
      <c r="A186" s="25" t="str">
        <f>IF(REGISTRY!G168="Male",REGISTRY!A168,"")</f>
        <v>P167</v>
      </c>
      <c r="B186" s="25" t="str">
        <f>IF(REGISTRY!G168="Male",REGISTRY!M168,"")</f>
        <v>عبدالملك بن عبدالله بن ابراهيم فوزان</v>
      </c>
      <c r="C186" s="25">
        <f>IF(REGISTRY!G168="Male",REGISTRY!K168,"")</f>
        <v>7</v>
      </c>
      <c r="D186" s="25">
        <f>IF(REGISTRY!G168="Male",REGISTRY!P168,"")</f>
        <v>0</v>
      </c>
      <c r="E186" s="25" t="str">
        <f>IF(REGISTRY!G168="Male",REGISTRY!L168,"")</f>
        <v>الفوزان</v>
      </c>
    </row>
    <row r="187" ht="15.75" customHeight="1">
      <c r="A187" s="25" t="str">
        <f>IF(REGISTRY!G169="Male",REGISTRY!A169,"")</f>
        <v>P168</v>
      </c>
      <c r="B187" s="25" t="str">
        <f>IF(REGISTRY!G169="Male",REGISTRY!M169,"")</f>
        <v>محمد بن عبدالله بن ابراهيم فوزان</v>
      </c>
      <c r="C187" s="25">
        <f>IF(REGISTRY!G169="Male",REGISTRY!K169,"")</f>
        <v>7</v>
      </c>
      <c r="D187" s="25">
        <f>IF(REGISTRY!G169="Male",REGISTRY!P169,"")</f>
        <v>0</v>
      </c>
      <c r="E187" s="25" t="str">
        <f>IF(REGISTRY!G169="Male",REGISTRY!L169,"")</f>
        <v>الفوزان</v>
      </c>
    </row>
    <row r="188" ht="15.75" customHeight="1">
      <c r="A188" s="25" t="str">
        <f>IF(REGISTRY!G170="Male",REGISTRY!A170,"")</f>
        <v>P169</v>
      </c>
      <c r="B188" s="25" t="str">
        <f>IF(REGISTRY!G170="Male",REGISTRY!M170,"")</f>
        <v>مازن بن فوزان بن ابراهيم فوزان</v>
      </c>
      <c r="C188" s="25">
        <f>IF(REGISTRY!G170="Male",REGISTRY!K170,"")</f>
        <v>7</v>
      </c>
      <c r="D188" s="25">
        <f>IF(REGISTRY!G170="Male",REGISTRY!P170,"")</f>
        <v>0</v>
      </c>
      <c r="E188" s="25" t="str">
        <f>IF(REGISTRY!G170="Male",REGISTRY!L170,"")</f>
        <v>الفوزان</v>
      </c>
    </row>
    <row r="189" ht="15.75" customHeight="1">
      <c r="A189" s="25" t="str">
        <f>IF(REGISTRY!G171="Male",REGISTRY!A171,"")</f>
        <v>P170</v>
      </c>
      <c r="B189" s="25" t="str">
        <f>IF(REGISTRY!G171="Male",REGISTRY!M171,"")</f>
        <v>عامر بن فوزان بن ابراهيم فوزان</v>
      </c>
      <c r="C189" s="25">
        <f>IF(REGISTRY!G171="Male",REGISTRY!K171,"")</f>
        <v>7</v>
      </c>
      <c r="D189" s="25">
        <f>IF(REGISTRY!G171="Male",REGISTRY!P171,"")</f>
        <v>0</v>
      </c>
      <c r="E189" s="25" t="str">
        <f>IF(REGISTRY!G171="Male",REGISTRY!L171,"")</f>
        <v>الفوزان</v>
      </c>
    </row>
    <row r="190" ht="15.75" customHeight="1">
      <c r="A190" s="25" t="str">
        <f>IF(REGISTRY!G172="Male",REGISTRY!A172,"")</f>
        <v>P171</v>
      </c>
      <c r="B190" s="25" t="str">
        <f>IF(REGISTRY!G172="Male",REGISTRY!M172,"")</f>
        <v>قتيبة بن فوزان بن ابراهيم فوزان</v>
      </c>
      <c r="C190" s="25">
        <f>IF(REGISTRY!G172="Male",REGISTRY!K172,"")</f>
        <v>7</v>
      </c>
      <c r="D190" s="25">
        <f>IF(REGISTRY!G172="Male",REGISTRY!P172,"")</f>
        <v>0</v>
      </c>
      <c r="E190" s="25" t="str">
        <f>IF(REGISTRY!G172="Male",REGISTRY!L172,"")</f>
        <v>الفوزان</v>
      </c>
    </row>
    <row r="191" ht="15.75" customHeight="1">
      <c r="A191" s="25" t="str">
        <f>IF(REGISTRY!G173="Male",REGISTRY!A173,"")</f>
        <v>P172</v>
      </c>
      <c r="B191" s="25" t="str">
        <f>IF(REGISTRY!G173="Male",REGISTRY!M173,"")</f>
        <v>خالد بن محمد بن ابراهيم فوزان</v>
      </c>
      <c r="C191" s="25">
        <f>IF(REGISTRY!G173="Male",REGISTRY!K173,"")</f>
        <v>7</v>
      </c>
      <c r="D191" s="25">
        <f>IF(REGISTRY!G173="Male",REGISTRY!P173,"")</f>
        <v>0</v>
      </c>
      <c r="E191" s="25" t="str">
        <f>IF(REGISTRY!G173="Male",REGISTRY!L173,"")</f>
        <v>الفوزان</v>
      </c>
    </row>
    <row r="192" ht="15.75" customHeight="1">
      <c r="A192" s="25" t="str">
        <f>IF(REGISTRY!G174="Male",REGISTRY!A174,"")</f>
        <v>P173</v>
      </c>
      <c r="B192" s="25" t="str">
        <f>IF(REGISTRY!G174="Male",REGISTRY!M174,"")</f>
        <v>ابراهيم بن حمد بن ابراهيم فوزان</v>
      </c>
      <c r="C192" s="25">
        <f>IF(REGISTRY!G174="Male",REGISTRY!K174,"")</f>
        <v>7</v>
      </c>
      <c r="D192" s="25">
        <f>IF(REGISTRY!G174="Male",REGISTRY!P174,"")</f>
        <v>0</v>
      </c>
      <c r="E192" s="25" t="str">
        <f>IF(REGISTRY!G174="Male",REGISTRY!L174,"")</f>
        <v>الفوزان</v>
      </c>
    </row>
    <row r="193" ht="15.75" customHeight="1">
      <c r="A193" s="25" t="str">
        <f>IF(REGISTRY!G175="Male",REGISTRY!A175,"")</f>
        <v>P174</v>
      </c>
      <c r="B193" s="25" t="str">
        <f>IF(REGISTRY!G175="Male",REGISTRY!M175,"")</f>
        <v>عبدالرحمن بن عبدالعزيز بن فوزان عبدالعزيز</v>
      </c>
      <c r="C193" s="25">
        <f>IF(REGISTRY!G175="Male",REGISTRY!K175,"")</f>
        <v>6</v>
      </c>
      <c r="D193" s="25">
        <f>IF(REGISTRY!G175="Male",REGISTRY!P175,"")</f>
        <v>0</v>
      </c>
      <c r="E193" s="25" t="str">
        <f>IF(REGISTRY!G175="Male",REGISTRY!L175,"")</f>
        <v>الفوزان</v>
      </c>
    </row>
    <row r="194" ht="15.75" customHeight="1">
      <c r="A194" s="25" t="str">
        <f>IF(REGISTRY!G176="Male",REGISTRY!A176,"")</f>
        <v>P175</v>
      </c>
      <c r="B194" s="25" t="str">
        <f>IF(REGISTRY!G176="Male",REGISTRY!M176,"")</f>
        <v>سعد بن عبدالعزيز بن فوزان عبدالعزيز</v>
      </c>
      <c r="C194" s="25">
        <f>IF(REGISTRY!G176="Male",REGISTRY!K176,"")</f>
        <v>6</v>
      </c>
      <c r="D194" s="25">
        <f>IF(REGISTRY!G176="Male",REGISTRY!P176,"")</f>
        <v>0</v>
      </c>
      <c r="E194" s="25" t="str">
        <f>IF(REGISTRY!G176="Male",REGISTRY!L176,"")</f>
        <v>الفوزان</v>
      </c>
    </row>
    <row r="195" ht="15.75" customHeight="1">
      <c r="A195" s="25" t="str">
        <f>IF(REGISTRY!G177="Male",REGISTRY!A177,"")</f>
        <v>P176</v>
      </c>
      <c r="B195" s="25" t="str">
        <f>IF(REGISTRY!G177="Male",REGISTRY!M177,"")</f>
        <v>فوزان بن عبدالعزيز بن فوزان عبدالعزيز</v>
      </c>
      <c r="C195" s="25">
        <f>IF(REGISTRY!G177="Male",REGISTRY!K177,"")</f>
        <v>6</v>
      </c>
      <c r="D195" s="25">
        <f>IF(REGISTRY!G177="Male",REGISTRY!P177,"")</f>
        <v>0</v>
      </c>
      <c r="E195" s="25" t="str">
        <f>IF(REGISTRY!G177="Male",REGISTRY!L177,"")</f>
        <v>الفوزان</v>
      </c>
    </row>
    <row r="196" ht="15.75" customHeight="1">
      <c r="A196" s="25" t="str">
        <f>IF(REGISTRY!G178="Male",REGISTRY!A178,"")</f>
        <v>P177</v>
      </c>
      <c r="B196" s="25" t="str">
        <f>IF(REGISTRY!G178="Male",REGISTRY!M178,"")</f>
        <v>عبدالله بن عبدالعزيز بن فوزان عبدالعزيز</v>
      </c>
      <c r="C196" s="25">
        <f>IF(REGISTRY!G178="Male",REGISTRY!K178,"")</f>
        <v>6</v>
      </c>
      <c r="D196" s="25">
        <f>IF(REGISTRY!G178="Male",REGISTRY!P178,"")</f>
        <v>0</v>
      </c>
      <c r="E196" s="25" t="str">
        <f>IF(REGISTRY!G178="Male",REGISTRY!L178,"")</f>
        <v>الفوزان</v>
      </c>
    </row>
    <row r="197" ht="15.75" customHeight="1">
      <c r="A197" s="25" t="str">
        <f>IF(REGISTRY!G179="Male",REGISTRY!A179,"")</f>
        <v>P178</v>
      </c>
      <c r="B197" s="25" t="str">
        <f>IF(REGISTRY!G179="Male",REGISTRY!M179,"")</f>
        <v>فهد بن عبدالعزيز بن فوزان عبدالعزيز</v>
      </c>
      <c r="C197" s="25">
        <f>IF(REGISTRY!G179="Male",REGISTRY!K179,"")</f>
        <v>6</v>
      </c>
      <c r="D197" s="25">
        <f>IF(REGISTRY!G179="Male",REGISTRY!P179,"")</f>
        <v>0</v>
      </c>
      <c r="E197" s="25" t="str">
        <f>IF(REGISTRY!G179="Male",REGISTRY!L179,"")</f>
        <v>الفوزان</v>
      </c>
    </row>
    <row r="198" ht="15.75" customHeight="1">
      <c r="A198" s="25" t="str">
        <f>IF(REGISTRY!G180="Male",REGISTRY!A180,"")</f>
        <v>P179</v>
      </c>
      <c r="B198" s="25" t="str">
        <f>IF(REGISTRY!G180="Male",REGISTRY!M180,"")</f>
        <v>خالد بن عبدالعزيز بن فوزان عبدالعزيز</v>
      </c>
      <c r="C198" s="25">
        <f>IF(REGISTRY!G180="Male",REGISTRY!K180,"")</f>
        <v>6</v>
      </c>
      <c r="D198" s="25">
        <f>IF(REGISTRY!G180="Male",REGISTRY!P180,"")</f>
        <v>0</v>
      </c>
      <c r="E198" s="25" t="str">
        <f>IF(REGISTRY!G180="Male",REGISTRY!L180,"")</f>
        <v>الفوزان</v>
      </c>
    </row>
    <row r="199" ht="15.75" customHeight="1">
      <c r="A199" s="25" t="str">
        <f>IF(REGISTRY!G181="Male",REGISTRY!A181,"")</f>
        <v>P180</v>
      </c>
      <c r="B199" s="25" t="str">
        <f>IF(REGISTRY!G181="Male",REGISTRY!M181,"")</f>
        <v>ناصر بن عبدالعزيز بن فوزان عبدالعزيز</v>
      </c>
      <c r="C199" s="25">
        <f>IF(REGISTRY!G181="Male",REGISTRY!K181,"")</f>
        <v>6</v>
      </c>
      <c r="D199" s="25">
        <f>IF(REGISTRY!G181="Male",REGISTRY!P181,"")</f>
        <v>0</v>
      </c>
      <c r="E199" s="25" t="str">
        <f>IF(REGISTRY!G181="Male",REGISTRY!L181,"")</f>
        <v>الفوزان</v>
      </c>
    </row>
    <row r="200" ht="15.75" customHeight="1">
      <c r="A200" s="25" t="str">
        <f>IF(REGISTRY!G182="Male",REGISTRY!A182,"")</f>
        <v>P181</v>
      </c>
      <c r="B200" s="25" t="str">
        <f>IF(REGISTRY!G182="Male",REGISTRY!M182,"")</f>
        <v>منصور بن عبدالعزيز بن فوزان عبدالعزيز</v>
      </c>
      <c r="C200" s="25">
        <f>IF(REGISTRY!G182="Male",REGISTRY!K182,"")</f>
        <v>6</v>
      </c>
      <c r="D200" s="25">
        <f>IF(REGISTRY!G182="Male",REGISTRY!P182,"")</f>
        <v>0</v>
      </c>
      <c r="E200" s="25" t="str">
        <f>IF(REGISTRY!G182="Male",REGISTRY!L182,"")</f>
        <v>الفوزان</v>
      </c>
    </row>
    <row r="201" ht="15.75" customHeight="1">
      <c r="A201" s="25" t="str">
        <f>IF(REGISTRY!G183="Male",REGISTRY!A183,"")</f>
        <v>P182</v>
      </c>
      <c r="B201" s="25" t="str">
        <f>IF(REGISTRY!G183="Male",REGISTRY!M183,"")</f>
        <v>فواز بن عبدالعزيز بن فوزان عبدالعزيز</v>
      </c>
      <c r="C201" s="25">
        <f>IF(REGISTRY!G183="Male",REGISTRY!K183,"")</f>
        <v>6</v>
      </c>
      <c r="D201" s="25">
        <f>IF(REGISTRY!G183="Male",REGISTRY!P183,"")</f>
        <v>0</v>
      </c>
      <c r="E201" s="25" t="str">
        <f>IF(REGISTRY!G183="Male",REGISTRY!L183,"")</f>
        <v>الفوزان</v>
      </c>
    </row>
    <row r="202" ht="15.75" customHeight="1">
      <c r="A202" s="25" t="str">
        <f>IF(REGISTRY!G184="Male",REGISTRY!A184,"")</f>
        <v>P183</v>
      </c>
      <c r="B202" s="25" t="str">
        <f>IF(REGISTRY!G184="Male",REGISTRY!M184,"")</f>
        <v>عبدالمحسن بن عبدالعزيز بن فوزان عبدالعزيز</v>
      </c>
      <c r="C202" s="25">
        <f>IF(REGISTRY!G184="Male",REGISTRY!K184,"")</f>
        <v>6</v>
      </c>
      <c r="D202" s="25">
        <f>IF(REGISTRY!G184="Male",REGISTRY!P184,"")</f>
        <v>0</v>
      </c>
      <c r="E202" s="25" t="str">
        <f>IF(REGISTRY!G184="Male",REGISTRY!L184,"")</f>
        <v>الفوزان</v>
      </c>
    </row>
    <row r="203" ht="15.75" customHeight="1">
      <c r="A203" s="25" t="str">
        <f>IF(REGISTRY!G185="Male",REGISTRY!A185,"")</f>
        <v>P184</v>
      </c>
      <c r="B203" s="25" t="str">
        <f>IF(REGISTRY!G185="Male",REGISTRY!M185,"")</f>
        <v>مشاري بن خالد بن عبدالعزيز فوزان</v>
      </c>
      <c r="C203" s="25">
        <f>IF(REGISTRY!G185="Male",REGISTRY!K185,"")</f>
        <v>7</v>
      </c>
      <c r="D203" s="25">
        <f>IF(REGISTRY!G185="Male",REGISTRY!P185,"")</f>
        <v>0</v>
      </c>
      <c r="E203" s="25" t="str">
        <f>IF(REGISTRY!G185="Male",REGISTRY!L185,"")</f>
        <v>الفوزان</v>
      </c>
    </row>
    <row r="204" ht="15.75" customHeight="1">
      <c r="A204" s="25" t="str">
        <f>IF(REGISTRY!G186="Male",REGISTRY!A186,"")</f>
        <v>P185</v>
      </c>
      <c r="B204" s="25" t="str">
        <f>IF(REGISTRY!G186="Male",REGISTRY!M186,"")</f>
        <v>مصعب بن خالد بن عبدالعزيز فوزان</v>
      </c>
      <c r="C204" s="25">
        <f>IF(REGISTRY!G186="Male",REGISTRY!K186,"")</f>
        <v>7</v>
      </c>
      <c r="D204" s="25">
        <f>IF(REGISTRY!G186="Male",REGISTRY!P186,"")</f>
        <v>0</v>
      </c>
      <c r="E204" s="25" t="str">
        <f>IF(REGISTRY!G186="Male",REGISTRY!L186,"")</f>
        <v>الفوزان</v>
      </c>
    </row>
    <row r="205" ht="15.75" customHeight="1">
      <c r="A205" s="25" t="str">
        <f>IF(REGISTRY!G187="Male",REGISTRY!A187,"")</f>
        <v>P186</v>
      </c>
      <c r="B205" s="25" t="str">
        <f>IF(REGISTRY!G187="Male",REGISTRY!M187,"")</f>
        <v>عبدالعزيز بن خالد بن عبدالعزيز فوزان</v>
      </c>
      <c r="C205" s="25">
        <f>IF(REGISTRY!G187="Male",REGISTRY!K187,"")</f>
        <v>7</v>
      </c>
      <c r="D205" s="25">
        <f>IF(REGISTRY!G187="Male",REGISTRY!P187,"")</f>
        <v>0</v>
      </c>
      <c r="E205" s="25" t="str">
        <f>IF(REGISTRY!G187="Male",REGISTRY!L187,"")</f>
        <v>الفوزان</v>
      </c>
    </row>
    <row r="206" ht="15.75" customHeight="1">
      <c r="A206" s="25" t="str">
        <f>IF(REGISTRY!G188="Male",REGISTRY!A188,"")</f>
        <v>P187</v>
      </c>
      <c r="B206" s="25" t="str">
        <f>IF(REGISTRY!G188="Male",REGISTRY!M188,"")</f>
        <v>عبدالعزيز بن فهد بن عبدالعزيز فوزان</v>
      </c>
      <c r="C206" s="25">
        <f>IF(REGISTRY!G188="Male",REGISTRY!K188,"")</f>
        <v>7</v>
      </c>
      <c r="D206" s="25">
        <f>IF(REGISTRY!G188="Male",REGISTRY!P188,"")</f>
        <v>0</v>
      </c>
      <c r="E206" s="25" t="str">
        <f>IF(REGISTRY!G188="Male",REGISTRY!L188,"")</f>
        <v>الفوزان</v>
      </c>
    </row>
    <row r="207" ht="15.75" customHeight="1">
      <c r="A207" s="25" t="str">
        <f>IF(REGISTRY!G189="Male",REGISTRY!A189,"")</f>
        <v>P188</v>
      </c>
      <c r="B207" s="25" t="str">
        <f>IF(REGISTRY!G189="Male",REGISTRY!M189,"")</f>
        <v>عمر بن فهد بن عبدالعزيز فوزان</v>
      </c>
      <c r="C207" s="25">
        <f>IF(REGISTRY!G189="Male",REGISTRY!K189,"")</f>
        <v>7</v>
      </c>
      <c r="D207" s="25">
        <f>IF(REGISTRY!G189="Male",REGISTRY!P189,"")</f>
        <v>0</v>
      </c>
      <c r="E207" s="25" t="str">
        <f>IF(REGISTRY!G189="Male",REGISTRY!L189,"")</f>
        <v>الفوزان</v>
      </c>
    </row>
    <row r="208" ht="15.75" customHeight="1">
      <c r="A208" s="25" t="str">
        <f>IF(REGISTRY!G190="Male",REGISTRY!A190,"")</f>
        <v>P189</v>
      </c>
      <c r="B208" s="25" t="str">
        <f>IF(REGISTRY!G190="Male",REGISTRY!M190,"")</f>
        <v>عاصم بن فهد بن عبدالعزيز فوزان</v>
      </c>
      <c r="C208" s="25">
        <f>IF(REGISTRY!G190="Male",REGISTRY!K190,"")</f>
        <v>7</v>
      </c>
      <c r="D208" s="25">
        <f>IF(REGISTRY!G190="Male",REGISTRY!P190,"")</f>
        <v>0</v>
      </c>
      <c r="E208" s="25" t="str">
        <f>IF(REGISTRY!G190="Male",REGISTRY!L190,"")</f>
        <v>الفوزان</v>
      </c>
    </row>
    <row r="209" ht="15.75" customHeight="1">
      <c r="A209" s="25" t="str">
        <f>IF(REGISTRY!G191="Male",REGISTRY!A191,"")</f>
        <v>P190</v>
      </c>
      <c r="B209" s="25" t="str">
        <f>IF(REGISTRY!G191="Male",REGISTRY!M191,"")</f>
        <v>ابراهيم بن عبدالله بن عبدالعزيز فوزان</v>
      </c>
      <c r="C209" s="25">
        <f>IF(REGISTRY!G191="Male",REGISTRY!K191,"")</f>
        <v>7</v>
      </c>
      <c r="D209" s="25">
        <f>IF(REGISTRY!G191="Male",REGISTRY!P191,"")</f>
        <v>0</v>
      </c>
      <c r="E209" s="25" t="str">
        <f>IF(REGISTRY!G191="Male",REGISTRY!L191,"")</f>
        <v>الفوزان</v>
      </c>
    </row>
    <row r="210" ht="15.75" customHeight="1">
      <c r="A210" s="25" t="str">
        <f>IF(REGISTRY!G192="Male",REGISTRY!A192,"")</f>
        <v>P191</v>
      </c>
      <c r="B210" s="25" t="str">
        <f>IF(REGISTRY!G192="Male",REGISTRY!M192,"")</f>
        <v>فهد بن فوزان بن عبدالعزيز فوزان</v>
      </c>
      <c r="C210" s="25">
        <f>IF(REGISTRY!G192="Male",REGISTRY!K192,"")</f>
        <v>7</v>
      </c>
      <c r="D210" s="25">
        <f>IF(REGISTRY!G192="Male",REGISTRY!P192,"")</f>
        <v>0</v>
      </c>
      <c r="E210" s="25" t="str">
        <f>IF(REGISTRY!G192="Male",REGISTRY!L192,"")</f>
        <v>الفوزان</v>
      </c>
    </row>
    <row r="211" ht="15.75" customHeight="1">
      <c r="A211" s="25" t="str">
        <f>IF(REGISTRY!G193="Male",REGISTRY!A193,"")</f>
        <v>P192</v>
      </c>
      <c r="B211" s="25" t="str">
        <f>IF(REGISTRY!G193="Male",REGISTRY!M193,"")</f>
        <v>محمد بن فوزان بن عبدالعزيز فوزان</v>
      </c>
      <c r="C211" s="25">
        <f>IF(REGISTRY!G193="Male",REGISTRY!K193,"")</f>
        <v>7</v>
      </c>
      <c r="D211" s="25">
        <f>IF(REGISTRY!G193="Male",REGISTRY!P193,"")</f>
        <v>0</v>
      </c>
      <c r="E211" s="25" t="str">
        <f>IF(REGISTRY!G193="Male",REGISTRY!L193,"")</f>
        <v>الفوزان</v>
      </c>
    </row>
    <row r="212" ht="15.75" customHeight="1">
      <c r="A212" s="25" t="str">
        <f>IF(REGISTRY!G194="Male",REGISTRY!A194,"")</f>
        <v>P193</v>
      </c>
      <c r="B212" s="25" t="str">
        <f>IF(REGISTRY!G194="Male",REGISTRY!M194,"")</f>
        <v>مشعل بن فوزان بن عبدالعزيز فوزان</v>
      </c>
      <c r="C212" s="25">
        <f>IF(REGISTRY!G194="Male",REGISTRY!K194,"")</f>
        <v>7</v>
      </c>
      <c r="D212" s="25">
        <f>IF(REGISTRY!G194="Male",REGISTRY!P194,"")</f>
        <v>0</v>
      </c>
      <c r="E212" s="25" t="str">
        <f>IF(REGISTRY!G194="Male",REGISTRY!L194,"")</f>
        <v>الفوزان</v>
      </c>
    </row>
    <row r="213" ht="15.75" customHeight="1">
      <c r="A213" s="25" t="str">
        <f>IF(REGISTRY!G195="Male",REGISTRY!A195,"")</f>
        <v>P194</v>
      </c>
      <c r="B213" s="25" t="str">
        <f>IF(REGISTRY!G195="Male",REGISTRY!M195,"")</f>
        <v>سعود بن سعد بن عبدالعزيز فوزان</v>
      </c>
      <c r="C213" s="25">
        <f>IF(REGISTRY!G195="Male",REGISTRY!K195,"")</f>
        <v>7</v>
      </c>
      <c r="D213" s="25">
        <f>IF(REGISTRY!G195="Male",REGISTRY!P195,"")</f>
        <v>0</v>
      </c>
      <c r="E213" s="25" t="str">
        <f>IF(REGISTRY!G195="Male",REGISTRY!L195,"")</f>
        <v>الفوزان</v>
      </c>
    </row>
    <row r="214" ht="15.75" customHeight="1">
      <c r="A214" s="25" t="str">
        <f>IF(REGISTRY!G196="Male",REGISTRY!A196,"")</f>
        <v>P195</v>
      </c>
      <c r="B214" s="25" t="str">
        <f>IF(REGISTRY!G196="Male",REGISTRY!M196,"")</f>
        <v>عبدالله بن سعود بن سعد عبدالعزيز</v>
      </c>
      <c r="C214" s="25">
        <f>IF(REGISTRY!G196="Male",REGISTRY!K196,"")</f>
        <v>8</v>
      </c>
      <c r="D214" s="25">
        <f>IF(REGISTRY!G196="Male",REGISTRY!P196,"")</f>
        <v>0</v>
      </c>
      <c r="E214" s="25" t="str">
        <f>IF(REGISTRY!G196="Male",REGISTRY!L196,"")</f>
        <v>الفوزان</v>
      </c>
    </row>
    <row r="215" ht="15.75" customHeight="1">
      <c r="A215" s="25" t="str">
        <f>IF(REGISTRY!G197="Male",REGISTRY!A197,"")</f>
        <v>P196</v>
      </c>
      <c r="B215" s="25" t="str">
        <f>IF(REGISTRY!G197="Male",REGISTRY!M197,"")</f>
        <v>اسامه بن سعود بن سعد عبدالعزيز</v>
      </c>
      <c r="C215" s="25">
        <f>IF(REGISTRY!G197="Male",REGISTRY!K197,"")</f>
        <v>8</v>
      </c>
      <c r="D215" s="25">
        <f>IF(REGISTRY!G197="Male",REGISTRY!P197,"")</f>
        <v>0</v>
      </c>
      <c r="E215" s="25" t="str">
        <f>IF(REGISTRY!G197="Male",REGISTRY!L197,"")</f>
        <v>الفوزان</v>
      </c>
    </row>
    <row r="216" ht="15.75" customHeight="1">
      <c r="A216" s="25" t="str">
        <f>IF(REGISTRY!G198="Male",REGISTRY!A198,"")</f>
        <v>P197</v>
      </c>
      <c r="B216" s="25" t="str">
        <f>IF(REGISTRY!G198="Male",REGISTRY!M198,"")</f>
        <v>عبدالله بن سعد بن عبدالعزيز فوزان</v>
      </c>
      <c r="C216" s="25">
        <f>IF(REGISTRY!G198="Male",REGISTRY!K198,"")</f>
        <v>7</v>
      </c>
      <c r="D216" s="25">
        <f>IF(REGISTRY!G198="Male",REGISTRY!P198,"")</f>
        <v>0</v>
      </c>
      <c r="E216" s="25" t="str">
        <f>IF(REGISTRY!G198="Male",REGISTRY!L198,"")</f>
        <v>الفوزان</v>
      </c>
    </row>
    <row r="217" ht="15.75" customHeight="1">
      <c r="A217" s="25" t="str">
        <f>IF(REGISTRY!G199="Male",REGISTRY!A199,"")</f>
        <v>P198</v>
      </c>
      <c r="B217" s="25" t="str">
        <f>IF(REGISTRY!G199="Male",REGISTRY!M199,"")</f>
        <v>سعد بن عبدالله بن سعد عبدالعزيز</v>
      </c>
      <c r="C217" s="25">
        <f>IF(REGISTRY!G199="Male",REGISTRY!K199,"")</f>
        <v>8</v>
      </c>
      <c r="D217" s="25">
        <f>IF(REGISTRY!G199="Male",REGISTRY!P199,"")</f>
        <v>0</v>
      </c>
      <c r="E217" s="25" t="str">
        <f>IF(REGISTRY!G199="Male",REGISTRY!L199,"")</f>
        <v>الفوزان</v>
      </c>
    </row>
    <row r="218" ht="15.75" customHeight="1">
      <c r="A218" s="25" t="str">
        <f>IF(REGISTRY!G200="Male",REGISTRY!A200,"")</f>
        <v>P199</v>
      </c>
      <c r="B218" s="25" t="str">
        <f>IF(REGISTRY!G200="Male",REGISTRY!M200,"")</f>
        <v>محمد بن سعد بن عبدالعزيز فوزان</v>
      </c>
      <c r="C218" s="25">
        <f>IF(REGISTRY!G200="Male",REGISTRY!K200,"")</f>
        <v>7</v>
      </c>
      <c r="D218" s="25">
        <f>IF(REGISTRY!G200="Male",REGISTRY!P200,"")</f>
        <v>0</v>
      </c>
      <c r="E218" s="25" t="str">
        <f>IF(REGISTRY!G200="Male",REGISTRY!L200,"")</f>
        <v>الفوزان</v>
      </c>
    </row>
    <row r="219" ht="15.75" customHeight="1">
      <c r="A219" s="25" t="str">
        <f>IF(REGISTRY!G201="Male",REGISTRY!A201,"")</f>
        <v>P200</v>
      </c>
      <c r="B219" s="25" t="str">
        <f>IF(REGISTRY!G201="Male",REGISTRY!M201,"")</f>
        <v>صالح بن سعد بن عبدالعزيز فوزان</v>
      </c>
      <c r="C219" s="25">
        <f>IF(REGISTRY!G201="Male",REGISTRY!K201,"")</f>
        <v>7</v>
      </c>
      <c r="D219" s="25">
        <f>IF(REGISTRY!G201="Male",REGISTRY!P201,"")</f>
        <v>0</v>
      </c>
      <c r="E219" s="25" t="str">
        <f>IF(REGISTRY!G201="Male",REGISTRY!L201,"")</f>
        <v>الفوزان</v>
      </c>
    </row>
    <row r="220" ht="15.75" customHeight="1">
      <c r="A220" s="25" t="str">
        <f>IF(REGISTRY!G202="Male",REGISTRY!A202,"")</f>
        <v>P201</v>
      </c>
      <c r="B220" s="25" t="str">
        <f>IF(REGISTRY!G202="Male",REGISTRY!M202,"")</f>
        <v>تميم بن سعد بن عبدالعزيز فوزان</v>
      </c>
      <c r="C220" s="25">
        <f>IF(REGISTRY!G202="Male",REGISTRY!K202,"")</f>
        <v>7</v>
      </c>
      <c r="D220" s="25">
        <f>IF(REGISTRY!G202="Male",REGISTRY!P202,"")</f>
        <v>0</v>
      </c>
      <c r="E220" s="25" t="str">
        <f>IF(REGISTRY!G202="Male",REGISTRY!L202,"")</f>
        <v>الفوزان</v>
      </c>
    </row>
    <row r="221" ht="15.75" customHeight="1">
      <c r="A221" s="25" t="str">
        <f>IF(REGISTRY!G203="Male",REGISTRY!A203,"")</f>
        <v>P202</v>
      </c>
      <c r="B221" s="25" t="str">
        <f>IF(REGISTRY!G203="Male",REGISTRY!M203,"")</f>
        <v>محمد بن عبدالرحمن بن عبدالعزيز فوزان</v>
      </c>
      <c r="C221" s="25">
        <f>IF(REGISTRY!G203="Male",REGISTRY!K203,"")</f>
        <v>7</v>
      </c>
      <c r="D221" s="25">
        <f>IF(REGISTRY!G203="Male",REGISTRY!P203,"")</f>
        <v>0</v>
      </c>
      <c r="E221" s="25" t="str">
        <f>IF(REGISTRY!G203="Male",REGISTRY!L203,"")</f>
        <v>الفوزان</v>
      </c>
    </row>
    <row r="222" ht="15.75" customHeight="1">
      <c r="A222" s="25" t="str">
        <f>IF(REGISTRY!G204="Male",REGISTRY!A204,"")</f>
        <v>P203</v>
      </c>
      <c r="B222" s="25" t="str">
        <f>IF(REGISTRY!G204="Male",REGISTRY!M204,"")</f>
        <v>عبدالله بن عبدالرحمن بن عبدالعزيز فوزان</v>
      </c>
      <c r="C222" s="25">
        <f>IF(REGISTRY!G204="Male",REGISTRY!K204,"")</f>
        <v>7</v>
      </c>
      <c r="D222" s="25">
        <f>IF(REGISTRY!G204="Male",REGISTRY!P204,"")</f>
        <v>0</v>
      </c>
      <c r="E222" s="25" t="str">
        <f>IF(REGISTRY!G204="Male",REGISTRY!L204,"")</f>
        <v>الفوزان</v>
      </c>
    </row>
    <row r="223" ht="15.75" customHeight="1">
      <c r="A223" s="25" t="str">
        <f>IF(REGISTRY!G205="Male",REGISTRY!A205,"")</f>
        <v>P204</v>
      </c>
      <c r="B223" s="25" t="str">
        <f>IF(REGISTRY!G205="Male",REGISTRY!M205,"")</f>
        <v>عبدالمجيد بن عبدالرحمن بن عبدالعزيز فوزان</v>
      </c>
      <c r="C223" s="25">
        <f>IF(REGISTRY!G205="Male",REGISTRY!K205,"")</f>
        <v>7</v>
      </c>
      <c r="D223" s="25">
        <f>IF(REGISTRY!G205="Male",REGISTRY!P205,"")</f>
        <v>0</v>
      </c>
      <c r="E223" s="25" t="str">
        <f>IF(REGISTRY!G205="Male",REGISTRY!L205,"")</f>
        <v>الفوزان</v>
      </c>
    </row>
    <row r="224" ht="15.75" customHeight="1">
      <c r="A224" s="25" t="str">
        <f>IF(REGISTRY!G206="Male",REGISTRY!A206,"")</f>
        <v>P205</v>
      </c>
      <c r="B224" s="25" t="str">
        <f>IF(REGISTRY!G206="Male",REGISTRY!M206,"")</f>
        <v>عبدالعزيز بن عبدالرحمن بن عبدالعزيز فوزان</v>
      </c>
      <c r="C224" s="25">
        <f>IF(REGISTRY!G206="Male",REGISTRY!K206,"")</f>
        <v>7</v>
      </c>
      <c r="D224" s="25">
        <f>IF(REGISTRY!G206="Male",REGISTRY!P206,"")</f>
        <v>0</v>
      </c>
      <c r="E224" s="25" t="str">
        <f>IF(REGISTRY!G206="Male",REGISTRY!L206,"")</f>
        <v>الفوزان</v>
      </c>
    </row>
    <row r="225" ht="15.75" customHeight="1">
      <c r="A225" s="25" t="str">
        <f>IF(REGISTRY!G207="Male",REGISTRY!A207,"")</f>
        <v>P206</v>
      </c>
      <c r="B225" s="25" t="str">
        <f>IF(REGISTRY!G207="Male",REGISTRY!M207,"")</f>
        <v>احمد بن عبدالرحمن بن عبدالعزيز فوزان</v>
      </c>
      <c r="C225" s="25">
        <f>IF(REGISTRY!G207="Male",REGISTRY!K207,"")</f>
        <v>7</v>
      </c>
      <c r="D225" s="25">
        <f>IF(REGISTRY!G207="Male",REGISTRY!P207,"")</f>
        <v>0</v>
      </c>
      <c r="E225" s="25" t="str">
        <f>IF(REGISTRY!G207="Male",REGISTRY!L207,"")</f>
        <v>الفوزان</v>
      </c>
    </row>
    <row r="226" ht="15.75" customHeight="1">
      <c r="A226" s="25" t="str">
        <f>IF(REGISTRY!G208="Male",REGISTRY!A208,"")</f>
        <v>P207</v>
      </c>
      <c r="B226" s="25" t="str">
        <f>IF(REGISTRY!G208="Male",REGISTRY!M208,"")</f>
        <v>يوسف بن عبدالرحمن بن عبدالعزيز فوزان</v>
      </c>
      <c r="C226" s="25">
        <f>IF(REGISTRY!G208="Male",REGISTRY!K208,"")</f>
        <v>7</v>
      </c>
      <c r="D226" s="25">
        <f>IF(REGISTRY!G208="Male",REGISTRY!P208,"")</f>
        <v>0</v>
      </c>
      <c r="E226" s="25" t="str">
        <f>IF(REGISTRY!G208="Male",REGISTRY!L208,"")</f>
        <v>الفوزان</v>
      </c>
    </row>
    <row r="227" ht="15.75" customHeight="1">
      <c r="A227" s="25" t="str">
        <f>IF(REGISTRY!G209="Male",REGISTRY!A209,"")</f>
        <v>P208</v>
      </c>
      <c r="B227" s="25" t="str">
        <f>IF(REGISTRY!G209="Male",REGISTRY!M209,"")</f>
        <v>عبدالاله بن عبدالرحمن بن عبدالعزيز فوزان</v>
      </c>
      <c r="C227" s="25">
        <f>IF(REGISTRY!G209="Male",REGISTRY!K209,"")</f>
        <v>7</v>
      </c>
      <c r="D227" s="25">
        <f>IF(REGISTRY!G209="Male",REGISTRY!P209,"")</f>
        <v>0</v>
      </c>
      <c r="E227" s="25" t="str">
        <f>IF(REGISTRY!G209="Male",REGISTRY!L209,"")</f>
        <v>الفوزان</v>
      </c>
    </row>
    <row r="228" ht="15.75" customHeight="1">
      <c r="A228" s="25" t="str">
        <f>IF(REGISTRY!G210="Male",REGISTRY!A210,"")</f>
        <v>P209</v>
      </c>
      <c r="B228" s="25" t="str">
        <f>IF(REGISTRY!G210="Male",REGISTRY!M210,"")</f>
        <v>عبدالرحمن بن محمد بن عبدالرحمن عبدالعزيز</v>
      </c>
      <c r="C228" s="25">
        <f>IF(REGISTRY!G210="Male",REGISTRY!K210,"")</f>
        <v>8</v>
      </c>
      <c r="D228" s="25">
        <f>IF(REGISTRY!G210="Male",REGISTRY!P210,"")</f>
        <v>0</v>
      </c>
      <c r="E228" s="25" t="str">
        <f>IF(REGISTRY!G210="Male",REGISTRY!L210,"")</f>
        <v>الفوزان</v>
      </c>
    </row>
    <row r="229" ht="15.75" customHeight="1">
      <c r="A229" s="25" t="str">
        <f>IF(REGISTRY!G211="Male",REGISTRY!A211,"")</f>
        <v>P210</v>
      </c>
      <c r="B229" s="25" t="str">
        <f>IF(REGISTRY!G211="Male",REGISTRY!M211,"")</f>
        <v>عبدالعزيز بن محمد بن عبدالرحمن عبدالعزيز</v>
      </c>
      <c r="C229" s="25">
        <f>IF(REGISTRY!G211="Male",REGISTRY!K211,"")</f>
        <v>8</v>
      </c>
      <c r="D229" s="25">
        <f>IF(REGISTRY!G211="Male",REGISTRY!P211,"")</f>
        <v>0</v>
      </c>
      <c r="E229" s="25" t="str">
        <f>IF(REGISTRY!G211="Male",REGISTRY!L211,"")</f>
        <v>الفوزان</v>
      </c>
    </row>
    <row r="230" ht="15.75" customHeight="1">
      <c r="A230" s="25" t="str">
        <f>IF(REGISTRY!G212="Male",REGISTRY!A212,"")</f>
        <v>P211</v>
      </c>
      <c r="B230" s="25" t="str">
        <f>IF(REGISTRY!G212="Male",REGISTRY!M212,"")</f>
        <v>نايف بن محمد بن عبدالرحمن عبدالعزيز</v>
      </c>
      <c r="C230" s="25">
        <f>IF(REGISTRY!G212="Male",REGISTRY!K212,"")</f>
        <v>8</v>
      </c>
      <c r="D230" s="25">
        <f>IF(REGISTRY!G212="Male",REGISTRY!P212,"")</f>
        <v>0</v>
      </c>
      <c r="E230" s="25" t="str">
        <f>IF(REGISTRY!G212="Male",REGISTRY!L212,"")</f>
        <v>الفوزان</v>
      </c>
    </row>
    <row r="231" ht="15.75" customHeight="1">
      <c r="A231" s="25" t="str">
        <f>IF(REGISTRY!G213="Male",REGISTRY!A213,"")</f>
        <v>P212</v>
      </c>
      <c r="B231" s="25" t="str">
        <f>IF(REGISTRY!G213="Male",REGISTRY!M213,"")</f>
        <v>عبدالله بن محمد بن عبدالرحمن عبدالعزيز</v>
      </c>
      <c r="C231" s="25">
        <f>IF(REGISTRY!G213="Male",REGISTRY!K213,"")</f>
        <v>8</v>
      </c>
      <c r="D231" s="25">
        <f>IF(REGISTRY!G213="Male",REGISTRY!P213,"")</f>
        <v>0</v>
      </c>
      <c r="E231" s="25" t="str">
        <f>IF(REGISTRY!G213="Male",REGISTRY!L213,"")</f>
        <v>الفوزان</v>
      </c>
    </row>
    <row r="232" ht="15.75" customHeight="1">
      <c r="A232" s="25" t="str">
        <f>IF(REGISTRY!G214="Male",REGISTRY!A214,"")</f>
        <v>P213</v>
      </c>
      <c r="B232" s="25" t="str">
        <f>IF(REGISTRY!G214="Male",REGISTRY!M214,"")</f>
        <v>عبدالله بن محمد بن فوزان عبدالعزيز</v>
      </c>
      <c r="C232" s="25">
        <f>IF(REGISTRY!G214="Male",REGISTRY!K214,"")</f>
        <v>6</v>
      </c>
      <c r="D232" s="25">
        <f>IF(REGISTRY!G214="Male",REGISTRY!P214,"")</f>
        <v>0</v>
      </c>
      <c r="E232" s="25" t="str">
        <f>IF(REGISTRY!G214="Male",REGISTRY!L214,"")</f>
        <v>الفوزان</v>
      </c>
    </row>
    <row r="233" ht="15.75" customHeight="1">
      <c r="A233" s="25" t="str">
        <f>IF(REGISTRY!G215="Male",REGISTRY!A215,"")</f>
        <v>P214</v>
      </c>
      <c r="B233" s="25" t="str">
        <f>IF(REGISTRY!G215="Male",REGISTRY!M215,"")</f>
        <v>فوزان بن محمد بن فوزان عبدالعزيز</v>
      </c>
      <c r="C233" s="25">
        <f>IF(REGISTRY!G215="Male",REGISTRY!K215,"")</f>
        <v>6</v>
      </c>
      <c r="D233" s="25">
        <f>IF(REGISTRY!G215="Male",REGISTRY!P215,"")</f>
        <v>0</v>
      </c>
      <c r="E233" s="25" t="str">
        <f>IF(REGISTRY!G215="Male",REGISTRY!L215,"")</f>
        <v>الفوزان</v>
      </c>
    </row>
    <row r="234" ht="15.75" customHeight="1">
      <c r="A234" s="25" t="str">
        <f>IF(REGISTRY!G216="Male",REGISTRY!A216,"")</f>
        <v>P215</v>
      </c>
      <c r="B234" s="25" t="str">
        <f>IF(REGISTRY!G216="Male",REGISTRY!M216,"")</f>
        <v>عبدالرحمن بن محمد بن فوزان عبدالعزيز</v>
      </c>
      <c r="C234" s="25">
        <f>IF(REGISTRY!G216="Male",REGISTRY!K216,"")</f>
        <v>6</v>
      </c>
      <c r="D234" s="25">
        <f>IF(REGISTRY!G216="Male",REGISTRY!P216,"")</f>
        <v>0</v>
      </c>
      <c r="E234" s="25" t="str">
        <f>IF(REGISTRY!G216="Male",REGISTRY!L216,"")</f>
        <v>الفوزان</v>
      </c>
    </row>
    <row r="235" ht="15.75" customHeight="1">
      <c r="A235" s="25" t="str">
        <f>IF(REGISTRY!G217="Male",REGISTRY!A217,"")</f>
        <v>P216</v>
      </c>
      <c r="B235" s="25" t="str">
        <f>IF(REGISTRY!G217="Male",REGISTRY!M217,"")</f>
        <v>محمد بن عبدالرحمن بن محمد فوزان</v>
      </c>
      <c r="C235" s="25">
        <f>IF(REGISTRY!G217="Male",REGISTRY!K217,"")</f>
        <v>7</v>
      </c>
      <c r="D235" s="25">
        <f>IF(REGISTRY!G217="Male",REGISTRY!P217,"")</f>
        <v>0</v>
      </c>
      <c r="E235" s="25" t="str">
        <f>IF(REGISTRY!G217="Male",REGISTRY!L217,"")</f>
        <v>الفوزان</v>
      </c>
    </row>
    <row r="236" ht="15.75" customHeight="1">
      <c r="A236" s="25" t="str">
        <f>IF(REGISTRY!G218="Male",REGISTRY!A218,"")</f>
        <v>P217</v>
      </c>
      <c r="B236" s="25" t="str">
        <f>IF(REGISTRY!G218="Male",REGISTRY!M218,"")</f>
        <v>عبدالله بن عبدالرحمن بن محمد فوزان</v>
      </c>
      <c r="C236" s="25">
        <f>IF(REGISTRY!G218="Male",REGISTRY!K218,"")</f>
        <v>7</v>
      </c>
      <c r="D236" s="25">
        <f>IF(REGISTRY!G218="Male",REGISTRY!P218,"")</f>
        <v>0</v>
      </c>
      <c r="E236" s="25" t="str">
        <f>IF(REGISTRY!G218="Male",REGISTRY!L218,"")</f>
        <v>الفوزان</v>
      </c>
    </row>
    <row r="237" ht="15.75" customHeight="1">
      <c r="A237" s="25" t="str">
        <f>IF(REGISTRY!G219="Male",REGISTRY!A219,"")</f>
        <v>P218</v>
      </c>
      <c r="B237" s="25" t="str">
        <f>IF(REGISTRY!G219="Male",REGISTRY!M219,"")</f>
        <v>محمد بن فوزان بن محمد فوزان</v>
      </c>
      <c r="C237" s="25">
        <f>IF(REGISTRY!G219="Male",REGISTRY!K219,"")</f>
        <v>7</v>
      </c>
      <c r="D237" s="25">
        <f>IF(REGISTRY!G219="Male",REGISTRY!P219,"")</f>
        <v>0</v>
      </c>
      <c r="E237" s="25" t="str">
        <f>IF(REGISTRY!G219="Male",REGISTRY!L219,"")</f>
        <v>الفوزان</v>
      </c>
    </row>
    <row r="238" ht="15.75" customHeight="1">
      <c r="A238" s="25" t="str">
        <f>IF(REGISTRY!G220="Male",REGISTRY!A220,"")</f>
        <v>P219</v>
      </c>
      <c r="B238" s="25" t="str">
        <f>IF(REGISTRY!G220="Male",REGISTRY!M220,"")</f>
        <v>اسامه بن فوزان بن محمد فوزان</v>
      </c>
      <c r="C238" s="25">
        <f>IF(REGISTRY!G220="Male",REGISTRY!K220,"")</f>
        <v>7</v>
      </c>
      <c r="D238" s="25">
        <f>IF(REGISTRY!G220="Male",REGISTRY!P220,"")</f>
        <v>0</v>
      </c>
      <c r="E238" s="25" t="str">
        <f>IF(REGISTRY!G220="Male",REGISTRY!L220,"")</f>
        <v>الفوزان</v>
      </c>
    </row>
    <row r="239" ht="15.75" customHeight="1">
      <c r="A239" s="25" t="str">
        <f>IF(REGISTRY!G221="Male",REGISTRY!A221,"")</f>
        <v>P220</v>
      </c>
      <c r="B239" s="25" t="str">
        <f>IF(REGISTRY!G221="Male",REGISTRY!M221,"")</f>
        <v>باسل بن فوزان بن محمد فوزان</v>
      </c>
      <c r="C239" s="25">
        <f>IF(REGISTRY!G221="Male",REGISTRY!K221,"")</f>
        <v>7</v>
      </c>
      <c r="D239" s="25">
        <f>IF(REGISTRY!G221="Male",REGISTRY!P221,"")</f>
        <v>0</v>
      </c>
      <c r="E239" s="25" t="str">
        <f>IF(REGISTRY!G221="Male",REGISTRY!L221,"")</f>
        <v>الفوزان</v>
      </c>
    </row>
    <row r="240" ht="15.75" customHeight="1">
      <c r="A240" s="25" t="str">
        <f>IF(REGISTRY!G222="Male",REGISTRY!A222,"")</f>
        <v>P221</v>
      </c>
      <c r="B240" s="25" t="str">
        <f>IF(REGISTRY!G222="Male",REGISTRY!M222,"")</f>
        <v>حسام بن فوزان بن محمد فوزان</v>
      </c>
      <c r="C240" s="25">
        <f>IF(REGISTRY!G222="Male",REGISTRY!K222,"")</f>
        <v>7</v>
      </c>
      <c r="D240" s="25">
        <f>IF(REGISTRY!G222="Male",REGISTRY!P222,"")</f>
        <v>0</v>
      </c>
      <c r="E240" s="25" t="str">
        <f>IF(REGISTRY!G222="Male",REGISTRY!L222,"")</f>
        <v>الفوزان</v>
      </c>
    </row>
    <row r="241" ht="15.75" customHeight="1">
      <c r="A241" s="25" t="str">
        <f>IF(REGISTRY!G223="Male",REGISTRY!A223,"")</f>
        <v>P222</v>
      </c>
      <c r="B241" s="25" t="str">
        <f>IF(REGISTRY!G223="Male",REGISTRY!M223,"")</f>
        <v>انس بن فوزان بن محمد فوزان</v>
      </c>
      <c r="C241" s="25">
        <f>IF(REGISTRY!G223="Male",REGISTRY!K223,"")</f>
        <v>7</v>
      </c>
      <c r="D241" s="25">
        <f>IF(REGISTRY!G223="Male",REGISTRY!P223,"")</f>
        <v>0</v>
      </c>
      <c r="E241" s="25" t="str">
        <f>IF(REGISTRY!G223="Male",REGISTRY!L223,"")</f>
        <v>الفوزان</v>
      </c>
    </row>
    <row r="242" ht="15.75" customHeight="1">
      <c r="A242" s="25" t="str">
        <f>IF(REGISTRY!G224="Male",REGISTRY!A224,"")</f>
        <v>P223</v>
      </c>
      <c r="B242" s="25" t="str">
        <f>IF(REGISTRY!G224="Male",REGISTRY!M224,"")</f>
        <v>عمر بن محمد بن عبدالرحمن محمد</v>
      </c>
      <c r="C242" s="25">
        <f>IF(REGISTRY!G224="Male",REGISTRY!K224,"")</f>
        <v>8</v>
      </c>
      <c r="D242" s="25">
        <f>IF(REGISTRY!G224="Male",REGISTRY!P224,"")</f>
        <v>0</v>
      </c>
      <c r="E242" s="25" t="str">
        <f>IF(REGISTRY!G224="Male",REGISTRY!L224,"")</f>
        <v>الفوزان</v>
      </c>
    </row>
    <row r="243" ht="15.75" customHeight="1">
      <c r="A243" s="25" t="str">
        <f>IF(REGISTRY!G225="Male",REGISTRY!A225,"")</f>
        <v>P224</v>
      </c>
      <c r="B243" s="25" t="str">
        <f>IF(REGISTRY!G225="Male",REGISTRY!M225,"")</f>
        <v>عبدالرحمن بن محمد بن عبدالرحمن محمد</v>
      </c>
      <c r="C243" s="25">
        <f>IF(REGISTRY!G225="Male",REGISTRY!K225,"")</f>
        <v>8</v>
      </c>
      <c r="D243" s="25">
        <f>IF(REGISTRY!G225="Male",REGISTRY!P225,"")</f>
        <v>0</v>
      </c>
      <c r="E243" s="25" t="str">
        <f>IF(REGISTRY!G225="Male",REGISTRY!L225,"")</f>
        <v>الفوزان</v>
      </c>
    </row>
    <row r="244" ht="15.75" customHeight="1">
      <c r="A244" s="25" t="str">
        <f>IF(REGISTRY!G226="Male",REGISTRY!A226,"")</f>
        <v>P225</v>
      </c>
      <c r="B244" s="25" t="str">
        <f>IF(REGISTRY!G226="Male",REGISTRY!M226,"")</f>
        <v>محمد بن عبدالله بن محمد فوزان</v>
      </c>
      <c r="C244" s="25">
        <f>IF(REGISTRY!G226="Male",REGISTRY!K226,"")</f>
        <v>7</v>
      </c>
      <c r="D244" s="25">
        <f>IF(REGISTRY!G226="Male",REGISTRY!P226,"")</f>
        <v>0</v>
      </c>
      <c r="E244" s="25" t="str">
        <f>IF(REGISTRY!G226="Male",REGISTRY!L226,"")</f>
        <v>الفوزان</v>
      </c>
    </row>
    <row r="245" ht="15.75" customHeight="1">
      <c r="A245" s="25" t="str">
        <f>IF(REGISTRY!G227="Male",REGISTRY!A227,"")</f>
        <v>P226</v>
      </c>
      <c r="B245" s="25" t="str">
        <f>IF(REGISTRY!G227="Male",REGISTRY!M227,"")</f>
        <v>عبدالله بن محمد بن عبدالله محمد</v>
      </c>
      <c r="C245" s="25">
        <f>IF(REGISTRY!G227="Male",REGISTRY!K227,"")</f>
        <v>8</v>
      </c>
      <c r="D245" s="25">
        <f>IF(REGISTRY!G227="Male",REGISTRY!P227,"")</f>
        <v>0</v>
      </c>
      <c r="E245" s="25" t="str">
        <f>IF(REGISTRY!G227="Male",REGISTRY!L227,"")</f>
        <v>الفوزان</v>
      </c>
    </row>
    <row r="246" ht="15.75" customHeight="1">
      <c r="A246" s="25" t="str">
        <f>IF(REGISTRY!G228="Male",REGISTRY!A228,"")</f>
        <v>P227</v>
      </c>
      <c r="B246" s="25" t="str">
        <f>IF(REGISTRY!G228="Male",REGISTRY!M228,"")</f>
        <v>فوزان بن محمد بن فوزان عبدالعزيز</v>
      </c>
      <c r="C246" s="25">
        <f>IF(REGISTRY!G228="Male",REGISTRY!K228,"")</f>
        <v>8</v>
      </c>
      <c r="D246" s="25">
        <f>IF(REGISTRY!G228="Male",REGISTRY!P228,"")</f>
        <v>0</v>
      </c>
      <c r="E246" s="25" t="str">
        <f>IF(REGISTRY!G228="Male",REGISTRY!L228,"")</f>
        <v>الفوزان</v>
      </c>
    </row>
    <row r="247" ht="15.75" customHeight="1">
      <c r="A247" s="25" t="str">
        <f>IF(REGISTRY!G229="Male",REGISTRY!A229,"")</f>
        <v>P228</v>
      </c>
      <c r="B247" s="25" t="str">
        <f>IF(REGISTRY!G229="Male",REGISTRY!M229,"")</f>
        <v>عبدالرحمن بن محمد بن فوزان عبدالعزيز</v>
      </c>
      <c r="C247" s="25">
        <f>IF(REGISTRY!G229="Male",REGISTRY!K229,"")</f>
        <v>8</v>
      </c>
      <c r="D247" s="25">
        <f>IF(REGISTRY!G229="Male",REGISTRY!P229,"")</f>
        <v>0</v>
      </c>
      <c r="E247" s="25" t="str">
        <f>IF(REGISTRY!G229="Male",REGISTRY!L229,"")</f>
        <v>الفوزان</v>
      </c>
    </row>
    <row r="248" ht="15.75" customHeight="1">
      <c r="A248" s="25" t="str">
        <f>IF(REGISTRY!G230="Male",REGISTRY!A230,"")</f>
        <v>P229</v>
      </c>
      <c r="B248" s="25" t="str">
        <f>IF(REGISTRY!G230="Male",REGISTRY!M230,"")</f>
        <v>محمد بن فوزان بن محمد فوزان</v>
      </c>
      <c r="C248" s="25">
        <f>IF(REGISTRY!G230="Male",REGISTRY!K230,"")</f>
        <v>9</v>
      </c>
      <c r="D248" s="25">
        <f>IF(REGISTRY!G230="Male",REGISTRY!P230,"")</f>
        <v>0</v>
      </c>
      <c r="E248" s="25" t="str">
        <f>IF(REGISTRY!G230="Male",REGISTRY!L230,"")</f>
        <v>الفوزان</v>
      </c>
    </row>
    <row r="249" ht="15.75" customHeight="1">
      <c r="A249" s="25" t="str">
        <f>IF(REGISTRY!G231="Male",REGISTRY!A231,"")</f>
        <v>P230</v>
      </c>
      <c r="B249" s="25" t="str">
        <f>IF(REGISTRY!G231="Male",REGISTRY!M231,"")</f>
        <v>عمر بن محمد بن فوزان محمد</v>
      </c>
      <c r="C249" s="25">
        <f>IF(REGISTRY!G231="Male",REGISTRY!K231,"")</f>
        <v>10</v>
      </c>
      <c r="D249" s="25">
        <f>IF(REGISTRY!G231="Male",REGISTRY!P231,"")</f>
        <v>0</v>
      </c>
      <c r="E249" s="25" t="str">
        <f>IF(REGISTRY!G231="Male",REGISTRY!L231,"")</f>
        <v>الفوزان</v>
      </c>
    </row>
    <row r="250" ht="15.75" customHeight="1">
      <c r="A250" s="25" t="str">
        <f>IF(REGISTRY!G232="Male",REGISTRY!A232,"")</f>
        <v>P231</v>
      </c>
      <c r="B250" s="25" t="str">
        <f>IF(REGISTRY!G232="Male",REGISTRY!M232,"")</f>
        <v>عبدالرحمن بن محمد بن فوزان محمد</v>
      </c>
      <c r="C250" s="25">
        <f>IF(REGISTRY!G232="Male",REGISTRY!K232,"")</f>
        <v>10</v>
      </c>
      <c r="D250" s="25">
        <f>IF(REGISTRY!G232="Male",REGISTRY!P232,"")</f>
        <v>0</v>
      </c>
      <c r="E250" s="25" t="str">
        <f>IF(REGISTRY!G232="Male",REGISTRY!L232,"")</f>
        <v>الفوزان</v>
      </c>
    </row>
    <row r="251" ht="15.75" customHeight="1">
      <c r="A251" s="25" t="str">
        <f>IF(REGISTRY!G233="Male",REGISTRY!A233,"")</f>
        <v>P232</v>
      </c>
      <c r="B251" s="25" t="str">
        <f>IF(REGISTRY!G233="Male",REGISTRY!M233,"")</f>
        <v>محمد بن عبدالرحمن بن محمد فوزان</v>
      </c>
      <c r="C251" s="25">
        <f>IF(REGISTRY!G233="Male",REGISTRY!K233,"")</f>
        <v>9</v>
      </c>
      <c r="D251" s="25">
        <f>IF(REGISTRY!G233="Male",REGISTRY!P233,"")</f>
        <v>0</v>
      </c>
      <c r="E251" s="25" t="str">
        <f>IF(REGISTRY!G233="Male",REGISTRY!L233,"")</f>
        <v>الفوزان</v>
      </c>
    </row>
    <row r="252" ht="15.75" customHeight="1">
      <c r="A252" s="25" t="str">
        <f>IF(REGISTRY!G234="Male",REGISTRY!A234,"")</f>
        <v>P233</v>
      </c>
      <c r="B252" s="25" t="str">
        <f>IF(REGISTRY!G234="Male",REGISTRY!M234,"")</f>
        <v>عبدالله بن عبدالرحمن بن محمد فوزان</v>
      </c>
      <c r="C252" s="25">
        <f>IF(REGISTRY!G234="Male",REGISTRY!K234,"")</f>
        <v>9</v>
      </c>
      <c r="D252" s="25">
        <f>IF(REGISTRY!G234="Male",REGISTRY!P234,"")</f>
        <v>0</v>
      </c>
      <c r="E252" s="25" t="str">
        <f>IF(REGISTRY!G234="Male",REGISTRY!L234,"")</f>
        <v>الفوزان</v>
      </c>
    </row>
    <row r="253" ht="15.75" customHeight="1">
      <c r="A253" s="25" t="str">
        <f>IF(REGISTRY!G235="Male",REGISTRY!A235,"")</f>
        <v>P234</v>
      </c>
      <c r="B253" s="25" t="str">
        <f>IF(REGISTRY!G235="Male",REGISTRY!M235,"")</f>
        <v>عبدالله بن عبدالكريم بن حمد </v>
      </c>
      <c r="C253" s="25">
        <f>IF(REGISTRY!G235="Male",REGISTRY!K235,"")</f>
        <v>3</v>
      </c>
      <c r="D253" s="25">
        <f>IF(REGISTRY!G235="Male",REGISTRY!P235,"")</f>
        <v>0</v>
      </c>
      <c r="E253" s="25" t="str">
        <f>IF(REGISTRY!G235="Male",REGISTRY!L235,"")</f>
        <v>العبدالكريم</v>
      </c>
    </row>
    <row r="254" ht="15.75" customHeight="1">
      <c r="A254" s="25" t="str">
        <f>IF(REGISTRY!G236="Male",REGISTRY!A236,"")</f>
        <v>P235</v>
      </c>
      <c r="B254" s="25" t="str">
        <f>IF(REGISTRY!G236="Male",REGISTRY!M236,"")</f>
        <v>عبدالكريم بن عبدالله بن عبدالكريم حمد</v>
      </c>
      <c r="C254" s="25">
        <f>IF(REGISTRY!G236="Male",REGISTRY!K236,"")</f>
        <v>4</v>
      </c>
      <c r="D254" s="25">
        <f>IF(REGISTRY!G236="Male",REGISTRY!P236,"")</f>
        <v>0</v>
      </c>
      <c r="E254" s="25" t="str">
        <f>IF(REGISTRY!G236="Male",REGISTRY!L236,"")</f>
        <v>العبدالكريم</v>
      </c>
    </row>
    <row r="255" ht="15.75" customHeight="1">
      <c r="A255" s="25" t="str">
        <f>IF(REGISTRY!G237="Male",REGISTRY!A237,"")</f>
        <v>P236</v>
      </c>
      <c r="B255" s="25" t="str">
        <f>IF(REGISTRY!G237="Male",REGISTRY!M237,"")</f>
        <v>محمد بن عبدالله بن عبدالكريم حمد</v>
      </c>
      <c r="C255" s="25">
        <f>IF(REGISTRY!G237="Male",REGISTRY!K237,"")</f>
        <v>4</v>
      </c>
      <c r="D255" s="25">
        <f>IF(REGISTRY!G237="Male",REGISTRY!P237,"")</f>
        <v>0</v>
      </c>
      <c r="E255" s="25" t="str">
        <f>IF(REGISTRY!G237="Male",REGISTRY!L237,"")</f>
        <v>العبدالكريم</v>
      </c>
    </row>
    <row r="256" ht="15.75" customHeight="1">
      <c r="A256" s="25" t="str">
        <f>IF(REGISTRY!G238="Male",REGISTRY!A238,"")</f>
        <v>P237</v>
      </c>
      <c r="B256" s="25" t="str">
        <f>IF(REGISTRY!G238="Male",REGISTRY!M238,"")</f>
        <v>عثمان بن محمد بن عبدالله عبدالكريم</v>
      </c>
      <c r="C256" s="25">
        <f>IF(REGISTRY!G238="Male",REGISTRY!K238,"")</f>
        <v>5</v>
      </c>
      <c r="D256" s="25">
        <f>IF(REGISTRY!G238="Male",REGISTRY!P238,"")</f>
        <v>0</v>
      </c>
      <c r="E256" s="25" t="str">
        <f>IF(REGISTRY!G238="Male",REGISTRY!L238,"")</f>
        <v>العبدالكريم</v>
      </c>
    </row>
    <row r="257" ht="15.75" customHeight="1">
      <c r="A257" s="25" t="str">
        <f>IF(REGISTRY!G239="Male",REGISTRY!A239,"")</f>
        <v>P238</v>
      </c>
      <c r="B257" s="25" t="str">
        <f>IF(REGISTRY!G239="Male",REGISTRY!M239,"")</f>
        <v>عبدالعزيز بن محمد بن عبدالله عبدالكريم</v>
      </c>
      <c r="C257" s="25">
        <f>IF(REGISTRY!G239="Male",REGISTRY!K239,"")</f>
        <v>5</v>
      </c>
      <c r="D257" s="25">
        <f>IF(REGISTRY!G239="Male",REGISTRY!P239,"")</f>
        <v>0</v>
      </c>
      <c r="E257" s="25" t="str">
        <f>IF(REGISTRY!G239="Male",REGISTRY!L239,"")</f>
        <v>العبدالكريم</v>
      </c>
    </row>
    <row r="258" ht="15.75" customHeight="1">
      <c r="A258" s="25" t="str">
        <f>IF(REGISTRY!G240="Male",REGISTRY!A240,"")</f>
        <v>P239</v>
      </c>
      <c r="B258" s="25" t="str">
        <f>IF(REGISTRY!G240="Male",REGISTRY!M240,"")</f>
        <v>عبدالله بن محمد بن عبدالله عبدالكريم</v>
      </c>
      <c r="C258" s="25">
        <f>IF(REGISTRY!G240="Male",REGISTRY!K240,"")</f>
        <v>5</v>
      </c>
      <c r="D258" s="25">
        <f>IF(REGISTRY!G240="Male",REGISTRY!P240,"")</f>
        <v>0</v>
      </c>
      <c r="E258" s="25" t="str">
        <f>IF(REGISTRY!G240="Male",REGISTRY!L240,"")</f>
        <v>العبدالكريم</v>
      </c>
    </row>
    <row r="259" ht="15.75" customHeight="1">
      <c r="A259" s="25" t="str">
        <f>IF(REGISTRY!G241="Male",REGISTRY!A241,"")</f>
        <v>P240</v>
      </c>
      <c r="B259" s="25" t="str">
        <f>IF(REGISTRY!G241="Male",REGISTRY!M241,"")</f>
        <v>محمد بن عبدالله بن محمد عبدالله</v>
      </c>
      <c r="C259" s="25">
        <f>IF(REGISTRY!G241="Male",REGISTRY!K241,"")</f>
        <v>6</v>
      </c>
      <c r="D259" s="25">
        <f>IF(REGISTRY!G241="Male",REGISTRY!P241,"")</f>
        <v>0</v>
      </c>
      <c r="E259" s="25" t="str">
        <f>IF(REGISTRY!G241="Male",REGISTRY!L241,"")</f>
        <v>العبدالكريم</v>
      </c>
    </row>
    <row r="260" ht="15.75" customHeight="1">
      <c r="A260" s="25" t="str">
        <f>IF(REGISTRY!G242="Male",REGISTRY!A242,"")</f>
        <v>P241</v>
      </c>
      <c r="B260" s="25" t="str">
        <f>IF(REGISTRY!G242="Male",REGISTRY!M242,"")</f>
        <v>عبدالعزيز بن عبدالله بن محمد عبدالله</v>
      </c>
      <c r="C260" s="25">
        <f>IF(REGISTRY!G242="Male",REGISTRY!K242,"")</f>
        <v>6</v>
      </c>
      <c r="D260" s="25">
        <f>IF(REGISTRY!G242="Male",REGISTRY!P242,"")</f>
        <v>0</v>
      </c>
      <c r="E260" s="25" t="str">
        <f>IF(REGISTRY!G242="Male",REGISTRY!L242,"")</f>
        <v>العبدالكريم</v>
      </c>
    </row>
    <row r="261" ht="15.75" customHeight="1">
      <c r="A261" s="25" t="str">
        <f>IF(REGISTRY!G243="Male",REGISTRY!A243,"")</f>
        <v>P242</v>
      </c>
      <c r="B261" s="25" t="str">
        <f>IF(REGISTRY!G243="Male",REGISTRY!M243,"")</f>
        <v>عبدالله بن محمد بن عبدالله محمد</v>
      </c>
      <c r="C261" s="25">
        <f>IF(REGISTRY!G243="Male",REGISTRY!K243,"")</f>
        <v>7</v>
      </c>
      <c r="D261" s="25">
        <f>IF(REGISTRY!G243="Male",REGISTRY!P243,"")</f>
        <v>0</v>
      </c>
      <c r="E261" s="25" t="str">
        <f>IF(REGISTRY!G243="Male",REGISTRY!L243,"")</f>
        <v>العبدالكريم</v>
      </c>
    </row>
    <row r="262" ht="15.75" customHeight="1">
      <c r="A262" s="25" t="str">
        <f>IF(REGISTRY!G244="Male",REGISTRY!A244,"")</f>
        <v>P243</v>
      </c>
      <c r="B262" s="25" t="str">
        <f>IF(REGISTRY!G244="Male",REGISTRY!M244,"")</f>
        <v>عبدالعزيز بن محمد بن عبدالله محمد</v>
      </c>
      <c r="C262" s="25">
        <f>IF(REGISTRY!G244="Male",REGISTRY!K244,"")</f>
        <v>7</v>
      </c>
      <c r="D262" s="25">
        <f>IF(REGISTRY!G244="Male",REGISTRY!P244,"")</f>
        <v>0</v>
      </c>
      <c r="E262" s="25" t="str">
        <f>IF(REGISTRY!G244="Male",REGISTRY!L244,"")</f>
        <v>العبدالكريم</v>
      </c>
    </row>
    <row r="263" ht="15.75" customHeight="1">
      <c r="A263" s="25" t="str">
        <f>IF(REGISTRY!G245="Male",REGISTRY!A245,"")</f>
        <v>P244</v>
      </c>
      <c r="B263" s="25" t="str">
        <f>IF(REGISTRY!G245="Male",REGISTRY!M245,"")</f>
        <v>يوسف بن محمد بن عبدالله محمد</v>
      </c>
      <c r="C263" s="25">
        <f>IF(REGISTRY!G245="Male",REGISTRY!K245,"")</f>
        <v>7</v>
      </c>
      <c r="D263" s="25">
        <f>IF(REGISTRY!G245="Male",REGISTRY!P245,"")</f>
        <v>0</v>
      </c>
      <c r="E263" s="25" t="str">
        <f>IF(REGISTRY!G245="Male",REGISTRY!L245,"")</f>
        <v>العبدالكريم</v>
      </c>
    </row>
    <row r="264" ht="15.75" customHeight="1">
      <c r="A264" s="25" t="str">
        <f>IF(REGISTRY!G246="Male",REGISTRY!A246,"")</f>
        <v/>
      </c>
      <c r="B264" s="25" t="str">
        <f>IF(REGISTRY!G246="Male",REGISTRY!M246,"")</f>
        <v/>
      </c>
      <c r="C264" s="25" t="str">
        <f>IF(REGISTRY!G246="Male",REGISTRY!K246,"")</f>
        <v/>
      </c>
      <c r="D264" s="25" t="str">
        <f>IF(REGISTRY!G246="Male",REGISTRY!P246,"")</f>
        <v/>
      </c>
      <c r="E264" s="25" t="str">
        <f>IF(REGISTRY!G246="Male",REGISTRY!L246,"")</f>
        <v/>
      </c>
    </row>
    <row r="265" ht="15.75" customHeight="1">
      <c r="A265" s="25" t="str">
        <f>IF(REGISTRY!G247="Male",REGISTRY!A247,"")</f>
        <v/>
      </c>
      <c r="B265" s="25" t="str">
        <f>IF(REGISTRY!G247="Male",REGISTRY!M247,"")</f>
        <v/>
      </c>
      <c r="C265" s="25" t="str">
        <f>IF(REGISTRY!G247="Male",REGISTRY!K247,"")</f>
        <v/>
      </c>
      <c r="D265" s="25" t="str">
        <f>IF(REGISTRY!G247="Male",REGISTRY!P247,"")</f>
        <v/>
      </c>
      <c r="E265" s="25" t="str">
        <f>IF(REGISTRY!G247="Male",REGISTRY!L247,"")</f>
        <v/>
      </c>
    </row>
    <row r="266" ht="15.75" customHeight="1">
      <c r="A266" s="25" t="str">
        <f>IF(REGISTRY!G248="Male",REGISTRY!A248,"")</f>
        <v/>
      </c>
      <c r="B266" s="25" t="str">
        <f>IF(REGISTRY!G248="Male",REGISTRY!M248,"")</f>
        <v/>
      </c>
      <c r="C266" s="25" t="str">
        <f>IF(REGISTRY!G248="Male",REGISTRY!K248,"")</f>
        <v/>
      </c>
      <c r="D266" s="25" t="str">
        <f>IF(REGISTRY!G248="Male",REGISTRY!P248,"")</f>
        <v/>
      </c>
      <c r="E266" s="25" t="str">
        <f>IF(REGISTRY!G248="Male",REGISTRY!L248,"")</f>
        <v/>
      </c>
    </row>
    <row r="267" ht="15.75" customHeight="1">
      <c r="A267" s="25" t="str">
        <f>IF(REGISTRY!G249="Male",REGISTRY!A249,"")</f>
        <v>P248</v>
      </c>
      <c r="B267" s="25" t="str">
        <f>IF(REGISTRY!G249="Male",REGISTRY!M249,"")</f>
        <v>عمر بن محمد بن عبدالله محمد</v>
      </c>
      <c r="C267" s="25">
        <f>IF(REGISTRY!G249="Male",REGISTRY!K249,"")</f>
        <v>7</v>
      </c>
      <c r="D267" s="25">
        <f>IF(REGISTRY!G249="Male",REGISTRY!P249,"")</f>
        <v>0</v>
      </c>
      <c r="E267" s="25" t="str">
        <f>IF(REGISTRY!G249="Male",REGISTRY!L249,"")</f>
        <v>العبدالكريم</v>
      </c>
    </row>
    <row r="268" ht="15.75" customHeight="1">
      <c r="A268" s="25" t="str">
        <f>IF(REGISTRY!G250="Male",REGISTRY!A250,"")</f>
        <v/>
      </c>
      <c r="B268" s="25" t="str">
        <f>IF(REGISTRY!G250="Male",REGISTRY!M250,"")</f>
        <v/>
      </c>
      <c r="C268" s="25" t="str">
        <f>IF(REGISTRY!G250="Male",REGISTRY!K250,"")</f>
        <v/>
      </c>
      <c r="D268" s="25" t="str">
        <f>IF(REGISTRY!G250="Male",REGISTRY!P250,"")</f>
        <v/>
      </c>
      <c r="E268" s="25" t="str">
        <f>IF(REGISTRY!G250="Male",REGISTRY!L250,"")</f>
        <v/>
      </c>
    </row>
    <row r="269" ht="15.75" customHeight="1">
      <c r="A269" s="25" t="str">
        <f>IF(REGISTRY!G251="Male",REGISTRY!A251,"")</f>
        <v/>
      </c>
      <c r="B269" s="25" t="str">
        <f>IF(REGISTRY!G251="Male",REGISTRY!M251,"")</f>
        <v/>
      </c>
      <c r="C269" s="25" t="str">
        <f>IF(REGISTRY!G251="Male",REGISTRY!K251,"")</f>
        <v/>
      </c>
      <c r="D269" s="25" t="str">
        <f>IF(REGISTRY!G251="Male",REGISTRY!P251,"")</f>
        <v/>
      </c>
      <c r="E269" s="25" t="str">
        <f>IF(REGISTRY!G251="Male",REGISTRY!L251,"")</f>
        <v/>
      </c>
    </row>
    <row r="270" ht="15.75" customHeight="1">
      <c r="A270" s="25" t="str">
        <f>IF(REGISTRY!G252="Male",REGISTRY!A252,"")</f>
        <v/>
      </c>
      <c r="B270" s="25" t="str">
        <f>IF(REGISTRY!G252="Male",REGISTRY!M252,"")</f>
        <v/>
      </c>
      <c r="C270" s="25" t="str">
        <f>IF(REGISTRY!G252="Male",REGISTRY!K252,"")</f>
        <v/>
      </c>
      <c r="D270" s="25" t="str">
        <f>IF(REGISTRY!G252="Male",REGISTRY!P252,"")</f>
        <v/>
      </c>
      <c r="E270" s="25" t="str">
        <f>IF(REGISTRY!G252="Male",REGISTRY!L252,"")</f>
        <v/>
      </c>
    </row>
    <row r="271" ht="15.75" customHeight="1">
      <c r="A271" s="25" t="str">
        <f>IF(REGISTRY!G253="Male",REGISTRY!A253,"")</f>
        <v/>
      </c>
      <c r="B271" s="25" t="str">
        <f>IF(REGISTRY!G253="Male",REGISTRY!M253,"")</f>
        <v/>
      </c>
      <c r="C271" s="25" t="str">
        <f>IF(REGISTRY!G253="Male",REGISTRY!K253,"")</f>
        <v/>
      </c>
      <c r="D271" s="25" t="str">
        <f>IF(REGISTRY!G253="Male",REGISTRY!P253,"")</f>
        <v/>
      </c>
      <c r="E271" s="25" t="str">
        <f>IF(REGISTRY!G253="Male",REGISTRY!L253,"")</f>
        <v/>
      </c>
    </row>
    <row r="272" ht="15.75" customHeight="1">
      <c r="A272" s="25" t="str">
        <f>IF(REGISTRY!G254="Male",REGISTRY!A254,"")</f>
        <v/>
      </c>
      <c r="B272" s="25" t="str">
        <f>IF(REGISTRY!G254="Male",REGISTRY!M254,"")</f>
        <v/>
      </c>
      <c r="C272" s="25" t="str">
        <f>IF(REGISTRY!G254="Male",REGISTRY!K254,"")</f>
        <v/>
      </c>
      <c r="D272" s="25" t="str">
        <f>IF(REGISTRY!G254="Male",REGISTRY!P254,"")</f>
        <v/>
      </c>
      <c r="E272" s="25" t="str">
        <f>IF(REGISTRY!G254="Male",REGISTRY!L254,"")</f>
        <v/>
      </c>
    </row>
    <row r="273" ht="15.75" customHeight="1">
      <c r="A273" s="25" t="str">
        <f>IF(REGISTRY!G255="Male",REGISTRY!A255,"")</f>
        <v>P254</v>
      </c>
      <c r="B273" s="25" t="str">
        <f>IF(REGISTRY!G255="Male",REGISTRY!M255,"")</f>
        <v>عبدالله  بن عبدالعزيز بن عبدالله محمد</v>
      </c>
      <c r="C273" s="25">
        <f>IF(REGISTRY!G255="Male",REGISTRY!K255,"")</f>
        <v>7</v>
      </c>
      <c r="D273" s="25">
        <f>IF(REGISTRY!G255="Male",REGISTRY!P255,"")</f>
        <v>0</v>
      </c>
      <c r="E273" s="25" t="str">
        <f>IF(REGISTRY!G255="Male",REGISTRY!L255,"")</f>
        <v>العبدالكريم</v>
      </c>
    </row>
    <row r="274" ht="15.75" customHeight="1">
      <c r="A274" s="25" t="str">
        <f>IF(REGISTRY!G256="Male",REGISTRY!A256,"")</f>
        <v>P255</v>
      </c>
      <c r="B274" s="25" t="str">
        <f>IF(REGISTRY!G256="Male",REGISTRY!M256,"")</f>
        <v>فهد بن عبدالعزيز بن عبدالله محمد</v>
      </c>
      <c r="C274" s="25">
        <f>IF(REGISTRY!G256="Male",REGISTRY!K256,"")</f>
        <v>7</v>
      </c>
      <c r="D274" s="25">
        <f>IF(REGISTRY!G256="Male",REGISTRY!P256,"")</f>
        <v>0</v>
      </c>
      <c r="E274" s="25" t="str">
        <f>IF(REGISTRY!G256="Male",REGISTRY!L256,"")</f>
        <v>العبدالكريم</v>
      </c>
    </row>
    <row r="275" ht="15.75" customHeight="1">
      <c r="A275" s="25" t="str">
        <f>IF(REGISTRY!G257="Male",REGISTRY!A257,"")</f>
        <v/>
      </c>
      <c r="B275" s="25" t="str">
        <f>IF(REGISTRY!G257="Male",REGISTRY!M257,"")</f>
        <v/>
      </c>
      <c r="C275" s="25" t="str">
        <f>IF(REGISTRY!G257="Male",REGISTRY!K257,"")</f>
        <v/>
      </c>
      <c r="D275" s="25" t="str">
        <f>IF(REGISTRY!G257="Male",REGISTRY!P257,"")</f>
        <v/>
      </c>
      <c r="E275" s="25" t="str">
        <f>IF(REGISTRY!G257="Male",REGISTRY!L257,"")</f>
        <v/>
      </c>
    </row>
    <row r="276" ht="15.75" customHeight="1">
      <c r="A276" s="25" t="str">
        <f>IF(REGISTRY!G258="Male",REGISTRY!A258,"")</f>
        <v/>
      </c>
      <c r="B276" s="25" t="str">
        <f>IF(REGISTRY!G258="Male",REGISTRY!M258,"")</f>
        <v/>
      </c>
      <c r="C276" s="25" t="str">
        <f>IF(REGISTRY!G258="Male",REGISTRY!K258,"")</f>
        <v/>
      </c>
      <c r="D276" s="25" t="str">
        <f>IF(REGISTRY!G258="Male",REGISTRY!P258,"")</f>
        <v/>
      </c>
      <c r="E276" s="25" t="str">
        <f>IF(REGISTRY!G258="Male",REGISTRY!L258,"")</f>
        <v/>
      </c>
    </row>
    <row r="277" ht="15.75" customHeight="1">
      <c r="A277" s="25" t="str">
        <f>IF(REGISTRY!G259="Male",REGISTRY!A259,"")</f>
        <v/>
      </c>
      <c r="B277" s="25" t="str">
        <f>IF(REGISTRY!G259="Male",REGISTRY!M259,"")</f>
        <v/>
      </c>
      <c r="C277" s="25" t="str">
        <f>IF(REGISTRY!G259="Male",REGISTRY!K259,"")</f>
        <v/>
      </c>
      <c r="D277" s="25" t="str">
        <f>IF(REGISTRY!G259="Male",REGISTRY!P259,"")</f>
        <v/>
      </c>
      <c r="E277" s="25" t="str">
        <f>IF(REGISTRY!G259="Male",REGISTRY!L259,"")</f>
        <v/>
      </c>
    </row>
    <row r="278" ht="15.75" customHeight="1">
      <c r="A278" s="25" t="str">
        <f>IF(REGISTRY!G260="Male",REGISTRY!A260,"")</f>
        <v/>
      </c>
      <c r="B278" s="25" t="str">
        <f>IF(REGISTRY!G260="Male",REGISTRY!M260,"")</f>
        <v/>
      </c>
      <c r="C278" s="25" t="str">
        <f>IF(REGISTRY!G260="Male",REGISTRY!K260,"")</f>
        <v/>
      </c>
      <c r="D278" s="25" t="str">
        <f>IF(REGISTRY!G260="Male",REGISTRY!P260,"")</f>
        <v/>
      </c>
      <c r="E278" s="25" t="str">
        <f>IF(REGISTRY!G260="Male",REGISTRY!L260,"")</f>
        <v/>
      </c>
    </row>
    <row r="279" ht="15.75" customHeight="1">
      <c r="A279" s="25" t="str">
        <f>IF(REGISTRY!G261="Male",REGISTRY!A261,"")</f>
        <v/>
      </c>
      <c r="B279" s="25" t="str">
        <f>IF(REGISTRY!G261="Male",REGISTRY!M261,"")</f>
        <v/>
      </c>
      <c r="C279" s="25" t="str">
        <f>IF(REGISTRY!G261="Male",REGISTRY!K261,"")</f>
        <v/>
      </c>
      <c r="D279" s="25" t="str">
        <f>IF(REGISTRY!G261="Male",REGISTRY!P261,"")</f>
        <v/>
      </c>
      <c r="E279" s="25" t="str">
        <f>IF(REGISTRY!G261="Male",REGISTRY!L261,"")</f>
        <v/>
      </c>
    </row>
    <row r="280" ht="15.75" customHeight="1">
      <c r="A280" s="25" t="str">
        <f>IF(REGISTRY!G262="Male",REGISTRY!A262,"")</f>
        <v/>
      </c>
      <c r="B280" s="25" t="str">
        <f>IF(REGISTRY!G262="Male",REGISTRY!M262,"")</f>
        <v/>
      </c>
      <c r="C280" s="25" t="str">
        <f>IF(REGISTRY!G262="Male",REGISTRY!K262,"")</f>
        <v/>
      </c>
      <c r="D280" s="25" t="str">
        <f>IF(REGISTRY!G262="Male",REGISTRY!P262,"")</f>
        <v/>
      </c>
      <c r="E280" s="25" t="str">
        <f>IF(REGISTRY!G262="Male",REGISTRY!L262,"")</f>
        <v/>
      </c>
    </row>
    <row r="281" ht="15.75" customHeight="1">
      <c r="A281" s="25" t="str">
        <f>IF(REGISTRY!G263="Male",REGISTRY!A263,"")</f>
        <v/>
      </c>
      <c r="B281" s="25" t="str">
        <f>IF(REGISTRY!G263="Male",REGISTRY!M263,"")</f>
        <v/>
      </c>
      <c r="C281" s="25" t="str">
        <f>IF(REGISTRY!G263="Male",REGISTRY!K263,"")</f>
        <v/>
      </c>
      <c r="D281" s="25" t="str">
        <f>IF(REGISTRY!G263="Male",REGISTRY!P263,"")</f>
        <v/>
      </c>
      <c r="E281" s="25" t="str">
        <f>IF(REGISTRY!G263="Male",REGISTRY!L263,"")</f>
        <v/>
      </c>
    </row>
    <row r="282" ht="15.75" customHeight="1">
      <c r="A282" s="25" t="str">
        <f>IF(REGISTRY!G264="Male",REGISTRY!A264,"")</f>
        <v>P263</v>
      </c>
      <c r="B282" s="25" t="str">
        <f>IF(REGISTRY!G264="Male",REGISTRY!M264,"")</f>
        <v>ابراهيم بن عبدالعزيز بن ابراهيم ناصر</v>
      </c>
      <c r="C282" s="25">
        <f>IF(REGISTRY!G264="Male",REGISTRY!K264,"")</f>
        <v>6</v>
      </c>
      <c r="D282" s="25">
        <f>IF(REGISTRY!G264="Male",REGISTRY!P264,"")</f>
        <v>0</v>
      </c>
      <c r="E282" s="25" t="str">
        <f>IF(REGISTRY!G264="Male",REGISTRY!L264,"")</f>
        <v>الابراهيم</v>
      </c>
    </row>
    <row r="283" ht="15.75" customHeight="1">
      <c r="A283" s="25" t="str">
        <f>IF(REGISTRY!G265="Male",REGISTRY!A265,"")</f>
        <v>P264</v>
      </c>
      <c r="B283" s="25" t="str">
        <f>IF(REGISTRY!G265="Male",REGISTRY!M265,"")</f>
        <v>خالد بن عبدالعزيز بن ابراهيم ناصر</v>
      </c>
      <c r="C283" s="25">
        <f>IF(REGISTRY!G265="Male",REGISTRY!K265,"")</f>
        <v>6</v>
      </c>
      <c r="D283" s="25">
        <f>IF(REGISTRY!G265="Male",REGISTRY!P265,"")</f>
        <v>0</v>
      </c>
      <c r="E283" s="25" t="str">
        <f>IF(REGISTRY!G265="Male",REGISTRY!L265,"")</f>
        <v>الابراهيم</v>
      </c>
    </row>
    <row r="284" ht="15.75" customHeight="1">
      <c r="A284" s="25" t="str">
        <f>IF(REGISTRY!G266="Male",REGISTRY!A266,"")</f>
        <v>P265</v>
      </c>
      <c r="B284" s="25" t="str">
        <f>IF(REGISTRY!G266="Male",REGISTRY!M266,"")</f>
        <v>عبدالله بن عبدالعزيز بن ابراهيم ناصر</v>
      </c>
      <c r="C284" s="25">
        <f>IF(REGISTRY!G266="Male",REGISTRY!K266,"")</f>
        <v>6</v>
      </c>
      <c r="D284" s="25">
        <f>IF(REGISTRY!G266="Male",REGISTRY!P266,"")</f>
        <v>0</v>
      </c>
      <c r="E284" s="25" t="str">
        <f>IF(REGISTRY!G266="Male",REGISTRY!L266,"")</f>
        <v>الابراهيم</v>
      </c>
    </row>
    <row r="285" ht="15.75" customHeight="1">
      <c r="A285" s="25" t="str">
        <f>IF(REGISTRY!G267="Male",REGISTRY!A267,"")</f>
        <v/>
      </c>
      <c r="B285" s="25" t="str">
        <f>IF(REGISTRY!G267="Male",REGISTRY!M267,"")</f>
        <v/>
      </c>
      <c r="C285" s="25" t="str">
        <f>IF(REGISTRY!G267="Male",REGISTRY!K267,"")</f>
        <v/>
      </c>
      <c r="D285" s="25" t="str">
        <f>IF(REGISTRY!G267="Male",REGISTRY!P267,"")</f>
        <v/>
      </c>
      <c r="E285" s="25" t="str">
        <f>IF(REGISTRY!G267="Male",REGISTRY!L267,"")</f>
        <v/>
      </c>
    </row>
    <row r="286" ht="15.75" customHeight="1">
      <c r="A286" s="25" t="str">
        <f>IF(REGISTRY!G268="Male",REGISTRY!A268,"")</f>
        <v/>
      </c>
      <c r="B286" s="25" t="str">
        <f>IF(REGISTRY!G268="Male",REGISTRY!M268,"")</f>
        <v/>
      </c>
      <c r="C286" s="25" t="str">
        <f>IF(REGISTRY!G268="Male",REGISTRY!K268,"")</f>
        <v/>
      </c>
      <c r="D286" s="25" t="str">
        <f>IF(REGISTRY!G268="Male",REGISTRY!P268,"")</f>
        <v/>
      </c>
      <c r="E286" s="25" t="str">
        <f>IF(REGISTRY!G268="Male",REGISTRY!L268,"")</f>
        <v/>
      </c>
    </row>
    <row r="287" ht="15.75" customHeight="1">
      <c r="A287" s="25" t="str">
        <f>IF(REGISTRY!G269="Male",REGISTRY!A269,"")</f>
        <v/>
      </c>
      <c r="B287" s="25" t="str">
        <f>IF(REGISTRY!G269="Male",REGISTRY!M269,"")</f>
        <v/>
      </c>
      <c r="C287" s="25" t="str">
        <f>IF(REGISTRY!G269="Male",REGISTRY!K269,"")</f>
        <v/>
      </c>
      <c r="D287" s="25" t="str">
        <f>IF(REGISTRY!G269="Male",REGISTRY!P269,"")</f>
        <v/>
      </c>
      <c r="E287" s="25" t="str">
        <f>IF(REGISTRY!G269="Male",REGISTRY!L269,"")</f>
        <v/>
      </c>
    </row>
    <row r="288" ht="15.75" customHeight="1">
      <c r="A288" s="25" t="str">
        <f>IF(REGISTRY!G270="Male",REGISTRY!A270,"")</f>
        <v>P269</v>
      </c>
      <c r="B288" s="25" t="str">
        <f>IF(REGISTRY!G270="Male",REGISTRY!M270,"")</f>
        <v>عثمان بن عبدالكريم بن حمد </v>
      </c>
      <c r="C288" s="25">
        <f>IF(REGISTRY!G270="Male",REGISTRY!K270,"")</f>
        <v>3</v>
      </c>
      <c r="D288" s="25">
        <f>IF(REGISTRY!G270="Male",REGISTRY!P270,"")</f>
        <v>0</v>
      </c>
      <c r="E288" s="25" t="str">
        <f>IF(REGISTRY!G270="Male",REGISTRY!L270,"")</f>
        <v>العبدالكريم</v>
      </c>
    </row>
    <row r="289" ht="15.75" customHeight="1">
      <c r="A289" s="25" t="str">
        <f>IF(REGISTRY!G271="Male",REGISTRY!A271,"")</f>
        <v>P270</v>
      </c>
      <c r="B289" s="25" t="str">
        <f>IF(REGISTRY!G271="Male",REGISTRY!M271,"")</f>
        <v>عبدالرحمن بن عثمان بن عبدالكريم حمد</v>
      </c>
      <c r="C289" s="25">
        <f>IF(REGISTRY!G271="Male",REGISTRY!K271,"")</f>
        <v>4</v>
      </c>
      <c r="D289" s="25">
        <f>IF(REGISTRY!G271="Male",REGISTRY!P271,"")</f>
        <v>0</v>
      </c>
      <c r="E289" s="25" t="str">
        <f>IF(REGISTRY!G271="Male",REGISTRY!L271,"")</f>
        <v>العبدالكريم</v>
      </c>
    </row>
    <row r="290" ht="15.75" customHeight="1">
      <c r="A290" s="25" t="str">
        <f>IF(REGISTRY!G272="Male",REGISTRY!A272,"")</f>
        <v>P271</v>
      </c>
      <c r="B290" s="25" t="str">
        <f>IF(REGISTRY!G272="Male",REGISTRY!M272,"")</f>
        <v>عبدالكريم بن عثمان بن عبدالكريم حمد</v>
      </c>
      <c r="C290" s="25">
        <f>IF(REGISTRY!G272="Male",REGISTRY!K272,"")</f>
        <v>4</v>
      </c>
      <c r="D290" s="25">
        <f>IF(REGISTRY!G272="Male",REGISTRY!P272,"")</f>
        <v>0</v>
      </c>
      <c r="E290" s="25" t="str">
        <f>IF(REGISTRY!G272="Male",REGISTRY!L272,"")</f>
        <v>العبدالكريم</v>
      </c>
    </row>
    <row r="291" ht="15.75" customHeight="1">
      <c r="A291" s="25" t="str">
        <f>IF(REGISTRY!G273="Male",REGISTRY!A273,"")</f>
        <v>P272</v>
      </c>
      <c r="B291" s="25" t="str">
        <f>IF(REGISTRY!G273="Male",REGISTRY!M273,"")</f>
        <v>دخيل بن عثمان بن عبدالكريم حمد</v>
      </c>
      <c r="C291" s="25">
        <f>IF(REGISTRY!G273="Male",REGISTRY!K273,"")</f>
        <v>4</v>
      </c>
      <c r="D291" s="25">
        <f>IF(REGISTRY!G273="Male",REGISTRY!P273,"")</f>
        <v>0</v>
      </c>
      <c r="E291" s="25" t="str">
        <f>IF(REGISTRY!G273="Male",REGISTRY!L273,"")</f>
        <v>العبدالكريم</v>
      </c>
    </row>
    <row r="292" ht="15.75" customHeight="1">
      <c r="A292" s="25" t="str">
        <f>IF(REGISTRY!G274="Male",REGISTRY!A274,"")</f>
        <v>P273</v>
      </c>
      <c r="B292" s="25" t="str">
        <f>IF(REGISTRY!G274="Male",REGISTRY!M274,"")</f>
        <v>عثمان بن عبدالكريم بن عثمان عبدالكريم</v>
      </c>
      <c r="C292" s="25">
        <f>IF(REGISTRY!G274="Male",REGISTRY!K274,"")</f>
        <v>5</v>
      </c>
      <c r="D292" s="25">
        <f>IF(REGISTRY!G274="Male",REGISTRY!P274,"")</f>
        <v>0</v>
      </c>
      <c r="E292" s="25" t="str">
        <f>IF(REGISTRY!G274="Male",REGISTRY!L274,"")</f>
        <v>العبدالكريم</v>
      </c>
    </row>
    <row r="293" ht="15.75" customHeight="1">
      <c r="A293" s="25" t="str">
        <f>IF(REGISTRY!G275="Male",REGISTRY!A275,"")</f>
        <v>P274</v>
      </c>
      <c r="B293" s="25" t="str">
        <f>IF(REGISTRY!G275="Male",REGISTRY!M275,"")</f>
        <v>عبدالرحمن بن عبدالكريم بن عثمان عبدالكريم</v>
      </c>
      <c r="C293" s="25">
        <f>IF(REGISTRY!G275="Male",REGISTRY!K275,"")</f>
        <v>5</v>
      </c>
      <c r="D293" s="25">
        <f>IF(REGISTRY!G275="Male",REGISTRY!P275,"")</f>
        <v>0</v>
      </c>
      <c r="E293" s="25" t="str">
        <f>IF(REGISTRY!G275="Male",REGISTRY!L275,"")</f>
        <v>العبدالكريم</v>
      </c>
    </row>
    <row r="294" ht="15.75" customHeight="1">
      <c r="A294" s="25" t="str">
        <f>IF(REGISTRY!G276="Male",REGISTRY!A276,"")</f>
        <v>P275</v>
      </c>
      <c r="B294" s="25" t="str">
        <f>IF(REGISTRY!G276="Male",REGISTRY!M276,"")</f>
        <v>محمد بن عثمان بن عبدالكريم عثمان</v>
      </c>
      <c r="C294" s="25">
        <f>IF(REGISTRY!G276="Male",REGISTRY!K276,"")</f>
        <v>6</v>
      </c>
      <c r="D294" s="25">
        <f>IF(REGISTRY!G276="Male",REGISTRY!P276,"")</f>
        <v>0</v>
      </c>
      <c r="E294" s="25" t="str">
        <f>IF(REGISTRY!G276="Male",REGISTRY!L276,"")</f>
        <v>العبدالكريم</v>
      </c>
    </row>
    <row r="295" ht="15.75" customHeight="1">
      <c r="A295" s="25" t="str">
        <f>IF(REGISTRY!G277="Male",REGISTRY!A277,"")</f>
        <v>P276</v>
      </c>
      <c r="B295" s="25" t="str">
        <f>IF(REGISTRY!G277="Male",REGISTRY!M277,"")</f>
        <v>عبدالكريم بن عثمان بن عبدالكريم عثمان</v>
      </c>
      <c r="C295" s="25">
        <f>IF(REGISTRY!G277="Male",REGISTRY!K277,"")</f>
        <v>6</v>
      </c>
      <c r="D295" s="25">
        <f>IF(REGISTRY!G277="Male",REGISTRY!P277,"")</f>
        <v>0</v>
      </c>
      <c r="E295" s="25" t="str">
        <f>IF(REGISTRY!G277="Male",REGISTRY!L277,"")</f>
        <v>العبدالكريم</v>
      </c>
    </row>
    <row r="296" ht="15.75" customHeight="1">
      <c r="A296" s="25" t="str">
        <f>IF(REGISTRY!G278="Male",REGISTRY!A278,"")</f>
        <v>P277</v>
      </c>
      <c r="B296" s="25" t="str">
        <f>IF(REGISTRY!G278="Male",REGISTRY!M278,"")</f>
        <v>شايع بن عثمان بن عبدالكريم عثمان</v>
      </c>
      <c r="C296" s="25">
        <f>IF(REGISTRY!G278="Male",REGISTRY!K278,"")</f>
        <v>6</v>
      </c>
      <c r="D296" s="25">
        <f>IF(REGISTRY!G278="Male",REGISTRY!P278,"")</f>
        <v>0</v>
      </c>
      <c r="E296" s="25" t="str">
        <f>IF(REGISTRY!G278="Male",REGISTRY!L278,"")</f>
        <v>العبدالكريم</v>
      </c>
    </row>
    <row r="297" ht="15.75" customHeight="1">
      <c r="A297" s="25" t="str">
        <f>IF(REGISTRY!G279="Male",REGISTRY!A279,"")</f>
        <v>P278</v>
      </c>
      <c r="B297" s="25" t="str">
        <f>IF(REGISTRY!G279="Male",REGISTRY!M279,"")</f>
        <v>خالد بن عثمان بن عبدالكريم عثمان</v>
      </c>
      <c r="C297" s="25">
        <f>IF(REGISTRY!G279="Male",REGISTRY!K279,"")</f>
        <v>6</v>
      </c>
      <c r="D297" s="25">
        <f>IF(REGISTRY!G279="Male",REGISTRY!P279,"")</f>
        <v>0</v>
      </c>
      <c r="E297" s="25" t="str">
        <f>IF(REGISTRY!G279="Male",REGISTRY!L279,"")</f>
        <v>العبدالكريم</v>
      </c>
    </row>
    <row r="298" ht="15.75" customHeight="1">
      <c r="A298" s="25" t="str">
        <f>IF(REGISTRY!G280="Male",REGISTRY!A280,"")</f>
        <v>P279</v>
      </c>
      <c r="B298" s="25" t="str">
        <f>IF(REGISTRY!G280="Male",REGISTRY!M280,"")</f>
        <v>تركي بن محمد بن عثمان عبدالكريم</v>
      </c>
      <c r="C298" s="25">
        <f>IF(REGISTRY!G280="Male",REGISTRY!K280,"")</f>
        <v>7</v>
      </c>
      <c r="D298" s="25">
        <f>IF(REGISTRY!G280="Male",REGISTRY!P280,"")</f>
        <v>0</v>
      </c>
      <c r="E298" s="25" t="str">
        <f>IF(REGISTRY!G280="Male",REGISTRY!L280,"")</f>
        <v>العبدالكريم</v>
      </c>
    </row>
    <row r="299" ht="15.75" customHeight="1">
      <c r="A299" s="25" t="str">
        <f>IF(REGISTRY!G281="Male",REGISTRY!A281,"")</f>
        <v>P280</v>
      </c>
      <c r="B299" s="25" t="str">
        <f>IF(REGISTRY!G281="Male",REGISTRY!M281,"")</f>
        <v>عبدالرحمن بن محمد بن عثمان عبدالكريم</v>
      </c>
      <c r="C299" s="25">
        <f>IF(REGISTRY!G281="Male",REGISTRY!K281,"")</f>
        <v>7</v>
      </c>
      <c r="D299" s="25">
        <f>IF(REGISTRY!G281="Male",REGISTRY!P281,"")</f>
        <v>0</v>
      </c>
      <c r="E299" s="25" t="str">
        <f>IF(REGISTRY!G281="Male",REGISTRY!L281,"")</f>
        <v>العبدالكريم</v>
      </c>
    </row>
    <row r="300" ht="15.75" customHeight="1">
      <c r="A300" s="25" t="str">
        <f>IF(REGISTRY!G282="Male",REGISTRY!A282,"")</f>
        <v>P281</v>
      </c>
      <c r="B300" s="25" t="str">
        <f>IF(REGISTRY!G282="Male",REGISTRY!M282,"")</f>
        <v>عبدالكريم بن شايع بن عثمان عبدالكريم</v>
      </c>
      <c r="C300" s="25">
        <f>IF(REGISTRY!G282="Male",REGISTRY!K282,"")</f>
        <v>7</v>
      </c>
      <c r="D300" s="25">
        <f>IF(REGISTRY!G282="Male",REGISTRY!P282,"")</f>
        <v>0</v>
      </c>
      <c r="E300" s="25" t="str">
        <f>IF(REGISTRY!G282="Male",REGISTRY!L282,"")</f>
        <v>العبدالكريم</v>
      </c>
    </row>
    <row r="301" ht="15.75" customHeight="1">
      <c r="A301" s="25" t="str">
        <f>IF(REGISTRY!G283="Male",REGISTRY!A283,"")</f>
        <v>P282</v>
      </c>
      <c r="B301" s="25" t="str">
        <f>IF(REGISTRY!G283="Male",REGISTRY!M283,"")</f>
        <v>عبدالعزيز بن عبدالرحمن بن عبدالكريم عثمان</v>
      </c>
      <c r="C301" s="25">
        <f>IF(REGISTRY!G283="Male",REGISTRY!K283,"")</f>
        <v>6</v>
      </c>
      <c r="D301" s="25">
        <f>IF(REGISTRY!G283="Male",REGISTRY!P283,"")</f>
        <v>0</v>
      </c>
      <c r="E301" s="25" t="str">
        <f>IF(REGISTRY!G283="Male",REGISTRY!L283,"")</f>
        <v>العبدالكريم</v>
      </c>
    </row>
    <row r="302" ht="15.75" customHeight="1">
      <c r="A302" s="25" t="str">
        <f>IF(REGISTRY!G284="Male",REGISTRY!A284,"")</f>
        <v>P283</v>
      </c>
      <c r="B302" s="25" t="str">
        <f>IF(REGISTRY!G284="Male",REGISTRY!M284,"")</f>
        <v>عبدالله بن عبدالرحمن بن عبدالكريم عثمان</v>
      </c>
      <c r="C302" s="25">
        <f>IF(REGISTRY!G284="Male",REGISTRY!K284,"")</f>
        <v>6</v>
      </c>
      <c r="D302" s="25">
        <f>IF(REGISTRY!G284="Male",REGISTRY!P284,"")</f>
        <v>0</v>
      </c>
      <c r="E302" s="25" t="str">
        <f>IF(REGISTRY!G284="Male",REGISTRY!L284,"")</f>
        <v>العبدالكريم</v>
      </c>
    </row>
    <row r="303" ht="15.75" customHeight="1">
      <c r="A303" s="25" t="str">
        <f>IF(REGISTRY!G285="Male",REGISTRY!A285,"")</f>
        <v>P284</v>
      </c>
      <c r="B303" s="25" t="str">
        <f>IF(REGISTRY!G285="Male",REGISTRY!M285,"")</f>
        <v>صالح بن عبدالرحمن بن عبدالكريم عثمان</v>
      </c>
      <c r="C303" s="25">
        <f>IF(REGISTRY!G285="Male",REGISTRY!K285,"")</f>
        <v>6</v>
      </c>
      <c r="D303" s="25">
        <f>IF(REGISTRY!G285="Male",REGISTRY!P285,"")</f>
        <v>0</v>
      </c>
      <c r="E303" s="25" t="str">
        <f>IF(REGISTRY!G285="Male",REGISTRY!L285,"")</f>
        <v>العبدالكريم</v>
      </c>
    </row>
    <row r="304" ht="15.75" customHeight="1">
      <c r="A304" s="25" t="str">
        <f>IF(REGISTRY!G286="Male",REGISTRY!A286,"")</f>
        <v>P285</v>
      </c>
      <c r="B304" s="25" t="str">
        <f>IF(REGISTRY!G286="Male",REGISTRY!M286,"")</f>
        <v>عبدالكريم بن عبدالرحمن بن عبدالكريم عثمان</v>
      </c>
      <c r="C304" s="25">
        <f>IF(REGISTRY!G286="Male",REGISTRY!K286,"")</f>
        <v>6</v>
      </c>
      <c r="D304" s="25">
        <f>IF(REGISTRY!G286="Male",REGISTRY!P286,"")</f>
        <v>0</v>
      </c>
      <c r="E304" s="25" t="str">
        <f>IF(REGISTRY!G286="Male",REGISTRY!L286,"")</f>
        <v>العبدالكريم</v>
      </c>
    </row>
    <row r="305" ht="15.75" customHeight="1">
      <c r="A305" s="25" t="str">
        <f>IF(REGISTRY!G287="Male",REGISTRY!A287,"")</f>
        <v>P286</v>
      </c>
      <c r="B305" s="25" t="str">
        <f>IF(REGISTRY!G287="Male",REGISTRY!M287,"")</f>
        <v>دخيل بن عبدالرحمن بن عبدالكريم عثمان</v>
      </c>
      <c r="C305" s="25">
        <f>IF(REGISTRY!G287="Male",REGISTRY!K287,"")</f>
        <v>6</v>
      </c>
      <c r="D305" s="25">
        <f>IF(REGISTRY!G287="Male",REGISTRY!P287,"")</f>
        <v>0</v>
      </c>
      <c r="E305" s="25" t="str">
        <f>IF(REGISTRY!G287="Male",REGISTRY!L287,"")</f>
        <v>العبدالكريم</v>
      </c>
    </row>
    <row r="306" ht="15.75" customHeight="1">
      <c r="A306" s="25" t="str">
        <f>IF(REGISTRY!G288="Male",REGISTRY!A288,"")</f>
        <v>P287</v>
      </c>
      <c r="B306" s="25" t="str">
        <f>IF(REGISTRY!G288="Male",REGISTRY!M288,"")</f>
        <v>سامي بن عبدالعزيز بن عبدالرحمن عبدالكريم</v>
      </c>
      <c r="C306" s="25">
        <f>IF(REGISTRY!G288="Male",REGISTRY!K288,"")</f>
        <v>7</v>
      </c>
      <c r="D306" s="25">
        <f>IF(REGISTRY!G288="Male",REGISTRY!P288,"")</f>
        <v>0</v>
      </c>
      <c r="E306" s="25" t="str">
        <f>IF(REGISTRY!G288="Male",REGISTRY!L288,"")</f>
        <v>العبدالكريم</v>
      </c>
    </row>
    <row r="307" ht="15.75" customHeight="1">
      <c r="A307" s="25" t="str">
        <f>IF(REGISTRY!G289="Male",REGISTRY!A289,"")</f>
        <v>P288</v>
      </c>
      <c r="B307" s="25" t="str">
        <f>IF(REGISTRY!G289="Male",REGISTRY!M289,"")</f>
        <v>عبدالله بن عبدالعزيز بن عبدالرحمن عبدالكريم</v>
      </c>
      <c r="C307" s="25">
        <f>IF(REGISTRY!G289="Male",REGISTRY!K289,"")</f>
        <v>7</v>
      </c>
      <c r="D307" s="25">
        <f>IF(REGISTRY!G289="Male",REGISTRY!P289,"")</f>
        <v>0</v>
      </c>
      <c r="E307" s="25" t="str">
        <f>IF(REGISTRY!G289="Male",REGISTRY!L289,"")</f>
        <v>العبدالكريم</v>
      </c>
    </row>
    <row r="308" ht="15.75" customHeight="1">
      <c r="A308" s="25" t="str">
        <f>IF(REGISTRY!G290="Male",REGISTRY!A290,"")</f>
        <v>P289</v>
      </c>
      <c r="B308" s="25" t="str">
        <f>IF(REGISTRY!G290="Male",REGISTRY!M290,"")</f>
        <v>عبدالرحمن بن عبدالعزيز بن عبدالرحمن عبدالكريم</v>
      </c>
      <c r="C308" s="25">
        <f>IF(REGISTRY!G290="Male",REGISTRY!K290,"")</f>
        <v>7</v>
      </c>
      <c r="D308" s="25">
        <f>IF(REGISTRY!G290="Male",REGISTRY!P290,"")</f>
        <v>0</v>
      </c>
      <c r="E308" s="25" t="str">
        <f>IF(REGISTRY!G290="Male",REGISTRY!L290,"")</f>
        <v>العبدالكريم</v>
      </c>
    </row>
    <row r="309" ht="15.75" customHeight="1">
      <c r="A309" s="25" t="str">
        <f>IF(REGISTRY!G291="Male",REGISTRY!A291,"")</f>
        <v>P290</v>
      </c>
      <c r="B309" s="25" t="str">
        <f>IF(REGISTRY!G291="Male",REGISTRY!M291,"")</f>
        <v>خالد بن عبدالعزيز بن عبدالرحمن عبدالكريم</v>
      </c>
      <c r="C309" s="25">
        <f>IF(REGISTRY!G291="Male",REGISTRY!K291,"")</f>
        <v>7</v>
      </c>
      <c r="D309" s="25">
        <f>IF(REGISTRY!G291="Male",REGISTRY!P291,"")</f>
        <v>0</v>
      </c>
      <c r="E309" s="25" t="str">
        <f>IF(REGISTRY!G291="Male",REGISTRY!L291,"")</f>
        <v>العبدالكريم</v>
      </c>
    </row>
    <row r="310" ht="15.75" customHeight="1">
      <c r="A310" s="25" t="str">
        <f>IF(REGISTRY!G292="Male",REGISTRY!A292,"")</f>
        <v>P291</v>
      </c>
      <c r="B310" s="25" t="str">
        <f>IF(REGISTRY!G292="Male",REGISTRY!M292,"")</f>
        <v>رياض بن عبدالعزيز بن عبدالرحمن عبدالكريم</v>
      </c>
      <c r="C310" s="25">
        <f>IF(REGISTRY!G292="Male",REGISTRY!K292,"")</f>
        <v>7</v>
      </c>
      <c r="D310" s="25">
        <f>IF(REGISTRY!G292="Male",REGISTRY!P292,"")</f>
        <v>0</v>
      </c>
      <c r="E310" s="25" t="str">
        <f>IF(REGISTRY!G292="Male",REGISTRY!L292,"")</f>
        <v>العبدالكريم</v>
      </c>
    </row>
    <row r="311" ht="15.75" customHeight="1">
      <c r="A311" s="25" t="str">
        <f>IF(REGISTRY!G293="Male",REGISTRY!A293,"")</f>
        <v>P292</v>
      </c>
      <c r="B311" s="25" t="str">
        <f>IF(REGISTRY!G293="Male",REGISTRY!M293,"")</f>
        <v>رائد بن عبدالعزيز بن عبدالرحمن عبدالكريم</v>
      </c>
      <c r="C311" s="25">
        <f>IF(REGISTRY!G293="Male",REGISTRY!K293,"")</f>
        <v>7</v>
      </c>
      <c r="D311" s="25">
        <f>IF(REGISTRY!G293="Male",REGISTRY!P293,"")</f>
        <v>0</v>
      </c>
      <c r="E311" s="25" t="str">
        <f>IF(REGISTRY!G293="Male",REGISTRY!L293,"")</f>
        <v>العبدالكريم</v>
      </c>
    </row>
    <row r="312" ht="15.75" customHeight="1">
      <c r="A312" s="25" t="str">
        <f>IF(REGISTRY!G294="Male",REGISTRY!A294,"")</f>
        <v>P293</v>
      </c>
      <c r="B312" s="25" t="str">
        <f>IF(REGISTRY!G294="Male",REGISTRY!M294,"")</f>
        <v>عمر بن صالح بن عبدالرحمن عبدالكريم</v>
      </c>
      <c r="C312" s="25">
        <f>IF(REGISTRY!G294="Male",REGISTRY!K294,"")</f>
        <v>7</v>
      </c>
      <c r="D312" s="25">
        <f>IF(REGISTRY!G294="Male",REGISTRY!P294,"")</f>
        <v>0</v>
      </c>
      <c r="E312" s="25" t="str">
        <f>IF(REGISTRY!G294="Male",REGISTRY!L294,"")</f>
        <v>العبدالكريم</v>
      </c>
    </row>
    <row r="313" ht="15.75" customHeight="1">
      <c r="A313" s="25" t="str">
        <f>IF(REGISTRY!G295="Male",REGISTRY!A295,"")</f>
        <v>P294</v>
      </c>
      <c r="B313" s="25" t="str">
        <f>IF(REGISTRY!G295="Male",REGISTRY!M295,"")</f>
        <v>عبدالله بن عبدالكريم بن عبدالرحمن عبدالكريم</v>
      </c>
      <c r="C313" s="25">
        <f>IF(REGISTRY!G295="Male",REGISTRY!K295,"")</f>
        <v>7</v>
      </c>
      <c r="D313" s="25">
        <f>IF(REGISTRY!G295="Male",REGISTRY!P295,"")</f>
        <v>0</v>
      </c>
      <c r="E313" s="25" t="str">
        <f>IF(REGISTRY!G295="Male",REGISTRY!L295,"")</f>
        <v>العبدالكريم</v>
      </c>
    </row>
    <row r="314" ht="15.75" customHeight="1">
      <c r="A314" s="25" t="str">
        <f>IF(REGISTRY!G296="Male",REGISTRY!A296,"")</f>
        <v>P295</v>
      </c>
      <c r="B314" s="25" t="str">
        <f>IF(REGISTRY!G296="Male",REGISTRY!M296,"")</f>
        <v>تميم بن عبدالكريم بن عبدالرحمن عبدالكريم</v>
      </c>
      <c r="C314" s="25">
        <f>IF(REGISTRY!G296="Male",REGISTRY!K296,"")</f>
        <v>7</v>
      </c>
      <c r="D314" s="25">
        <f>IF(REGISTRY!G296="Male",REGISTRY!P296,"")</f>
        <v>0</v>
      </c>
      <c r="E314" s="25" t="str">
        <f>IF(REGISTRY!G296="Male",REGISTRY!L296,"")</f>
        <v>العبدالكريم</v>
      </c>
    </row>
    <row r="315" ht="15.75" customHeight="1">
      <c r="A315" s="25" t="str">
        <f>IF(REGISTRY!G297="Male",REGISTRY!A297,"")</f>
        <v>P296</v>
      </c>
      <c r="B315" s="25" t="str">
        <f>IF(REGISTRY!G297="Male",REGISTRY!M297,"")</f>
        <v>يوسف بن عبدالكريم بن عبدالرحمن عبدالكريم</v>
      </c>
      <c r="C315" s="25">
        <f>IF(REGISTRY!G297="Male",REGISTRY!K297,"")</f>
        <v>7</v>
      </c>
      <c r="D315" s="25">
        <f>IF(REGISTRY!G297="Male",REGISTRY!P297,"")</f>
        <v>0</v>
      </c>
      <c r="E315" s="25" t="str">
        <f>IF(REGISTRY!G297="Male",REGISTRY!L297,"")</f>
        <v>العبدالكريم</v>
      </c>
    </row>
    <row r="316" ht="15.75" customHeight="1">
      <c r="A316" s="25" t="str">
        <f>IF(REGISTRY!G298="Male",REGISTRY!A298,"")</f>
        <v>P297</v>
      </c>
      <c r="B316" s="25" t="str">
        <f>IF(REGISTRY!G298="Male",REGISTRY!M298,"")</f>
        <v>فهد بن دخيل بن عبدالرحمن عبدالكريم</v>
      </c>
      <c r="C316" s="25">
        <f>IF(REGISTRY!G298="Male",REGISTRY!K298,"")</f>
        <v>7</v>
      </c>
      <c r="D316" s="25">
        <f>IF(REGISTRY!G298="Male",REGISTRY!P298,"")</f>
        <v>0</v>
      </c>
      <c r="E316" s="25" t="str">
        <f>IF(REGISTRY!G298="Male",REGISTRY!L298,"")</f>
        <v>العبدالكريم</v>
      </c>
    </row>
    <row r="317" ht="15.75" customHeight="1">
      <c r="A317" s="25" t="str">
        <f>IF(REGISTRY!G299="Male",REGISTRY!A299,"")</f>
        <v>P298</v>
      </c>
      <c r="B317" s="25" t="str">
        <f>IF(REGISTRY!G299="Male",REGISTRY!M299,"")</f>
        <v>عبدالله بن دخيل بن عبدالرحمن عبدالكريم</v>
      </c>
      <c r="C317" s="25">
        <f>IF(REGISTRY!G299="Male",REGISTRY!K299,"")</f>
        <v>7</v>
      </c>
      <c r="D317" s="25">
        <f>IF(REGISTRY!G299="Male",REGISTRY!P299,"")</f>
        <v>0</v>
      </c>
      <c r="E317" s="25" t="str">
        <f>IF(REGISTRY!G299="Male",REGISTRY!L299,"")</f>
        <v>العبدالكريم</v>
      </c>
    </row>
    <row r="318" ht="15.75" customHeight="1">
      <c r="A318" s="25" t="str">
        <f>IF(REGISTRY!G300="Male",REGISTRY!A300,"")</f>
        <v>P299</v>
      </c>
      <c r="B318" s="25" t="str">
        <f>IF(REGISTRY!G300="Male",REGISTRY!M300,"")</f>
        <v>خالد بن دخيل بن عبدالرحمن عبدالكريم</v>
      </c>
      <c r="C318" s="25">
        <f>IF(REGISTRY!G300="Male",REGISTRY!K300,"")</f>
        <v>7</v>
      </c>
      <c r="D318" s="25">
        <f>IF(REGISTRY!G300="Male",REGISTRY!P300,"")</f>
        <v>0</v>
      </c>
      <c r="E318" s="25" t="str">
        <f>IF(REGISTRY!G300="Male",REGISTRY!L300,"")</f>
        <v>العبدالكريم</v>
      </c>
    </row>
    <row r="319" ht="15.75" customHeight="1">
      <c r="A319" s="25" t="str">
        <f>IF(REGISTRY!G301="Male",REGISTRY!A301,"")</f>
        <v>P300</v>
      </c>
      <c r="B319" s="25" t="str">
        <f>IF(REGISTRY!G301="Male",REGISTRY!M301,"")</f>
        <v>عبدالرحمن بن دخيل بن عبدالرحمن عبدالكريم</v>
      </c>
      <c r="C319" s="25">
        <f>IF(REGISTRY!G301="Male",REGISTRY!K301,"")</f>
        <v>7</v>
      </c>
      <c r="D319" s="25">
        <f>IF(REGISTRY!G301="Male",REGISTRY!P301,"")</f>
        <v>0</v>
      </c>
      <c r="E319" s="25" t="str">
        <f>IF(REGISTRY!G301="Male",REGISTRY!L301,"")</f>
        <v>العبدالكريم</v>
      </c>
    </row>
    <row r="320" ht="15.75" customHeight="1">
      <c r="A320" s="25" t="str">
        <f>IF(REGISTRY!G302="Male",REGISTRY!A302,"")</f>
        <v>P301</v>
      </c>
      <c r="B320" s="25" t="str">
        <f>IF(REGISTRY!G302="Male",REGISTRY!M302,"")</f>
        <v>عثمان بن دخيل بن عثمان عبدالكريم</v>
      </c>
      <c r="C320" s="25">
        <f>IF(REGISTRY!G302="Male",REGISTRY!K302,"")</f>
        <v>5</v>
      </c>
      <c r="D320" s="25">
        <f>IF(REGISTRY!G302="Male",REGISTRY!P302,"")</f>
        <v>0</v>
      </c>
      <c r="E320" s="25" t="str">
        <f>IF(REGISTRY!G302="Male",REGISTRY!L302,"")</f>
        <v>العبدالكريم</v>
      </c>
    </row>
    <row r="321" ht="15.75" customHeight="1">
      <c r="A321" s="25" t="str">
        <f>IF(REGISTRY!G303="Male",REGISTRY!A303,"")</f>
        <v>P302</v>
      </c>
      <c r="B321" s="25" t="str">
        <f>IF(REGISTRY!G303="Male",REGISTRY!M303,"")</f>
        <v>محمد بن دخيل بن عثمان عبدالكريم</v>
      </c>
      <c r="C321" s="25">
        <f>IF(REGISTRY!G303="Male",REGISTRY!K303,"")</f>
        <v>5</v>
      </c>
      <c r="D321" s="25">
        <f>IF(REGISTRY!G303="Male",REGISTRY!P303,"")</f>
        <v>0</v>
      </c>
      <c r="E321" s="25" t="str">
        <f>IF(REGISTRY!G303="Male",REGISTRY!L303,"")</f>
        <v>العبدالكريم</v>
      </c>
    </row>
    <row r="322" ht="15.75" customHeight="1">
      <c r="A322" s="25" t="str">
        <f>IF(REGISTRY!G304="Male",REGISTRY!A304,"")</f>
        <v>P303</v>
      </c>
      <c r="B322" s="25" t="str">
        <f>IF(REGISTRY!G304="Male",REGISTRY!M304,"")</f>
        <v>بشار بن محمد بن دخيل عثمان</v>
      </c>
      <c r="C322" s="25">
        <f>IF(REGISTRY!G304="Male",REGISTRY!K304,"")</f>
        <v>6</v>
      </c>
      <c r="D322" s="25">
        <f>IF(REGISTRY!G304="Male",REGISTRY!P304,"")</f>
        <v>0</v>
      </c>
      <c r="E322" s="25" t="str">
        <f>IF(REGISTRY!G304="Male",REGISTRY!L304,"")</f>
        <v>العبدالكريم</v>
      </c>
    </row>
    <row r="323" ht="15.75" customHeight="1">
      <c r="A323" s="25" t="str">
        <f>IF(REGISTRY!G305="Male",REGISTRY!A305,"")</f>
        <v>P304</v>
      </c>
      <c r="B323" s="25" t="str">
        <f>IF(REGISTRY!G305="Male",REGISTRY!M305,"")</f>
        <v>عبدالرحمن بن عثمان بن دخيل عثمان</v>
      </c>
      <c r="C323" s="25">
        <f>IF(REGISTRY!G305="Male",REGISTRY!K305,"")</f>
        <v>6</v>
      </c>
      <c r="D323" s="25">
        <f>IF(REGISTRY!G305="Male",REGISTRY!P305,"")</f>
        <v>0</v>
      </c>
      <c r="E323" s="25" t="str">
        <f>IF(REGISTRY!G305="Male",REGISTRY!L305,"")</f>
        <v>العبدالكريم</v>
      </c>
    </row>
    <row r="324" ht="15.75" customHeight="1">
      <c r="A324" s="25" t="str">
        <f>IF(REGISTRY!G306="Male",REGISTRY!A306,"")</f>
        <v>P305</v>
      </c>
      <c r="B324" s="25" t="str">
        <f>IF(REGISTRY!G306="Male",REGISTRY!M306,"")</f>
        <v>دخيل بن عثمان بن دخيل عثمان</v>
      </c>
      <c r="C324" s="25">
        <f>IF(REGISTRY!G306="Male",REGISTRY!K306,"")</f>
        <v>6</v>
      </c>
      <c r="D324" s="25">
        <f>IF(REGISTRY!G306="Male",REGISTRY!P306,"")</f>
        <v>0</v>
      </c>
      <c r="E324" s="25" t="str">
        <f>IF(REGISTRY!G306="Male",REGISTRY!L306,"")</f>
        <v>العبدالكريم</v>
      </c>
    </row>
    <row r="325" ht="15.75" customHeight="1">
      <c r="A325" s="25" t="str">
        <f>IF(REGISTRY!G307="Male",REGISTRY!A307,"")</f>
        <v>P306</v>
      </c>
      <c r="B325" s="25" t="str">
        <f>IF(REGISTRY!G307="Male",REGISTRY!M307,"")</f>
        <v>عبدالكريم بن عثمان بن دخيل عثمان</v>
      </c>
      <c r="C325" s="25">
        <f>IF(REGISTRY!G307="Male",REGISTRY!K307,"")</f>
        <v>6</v>
      </c>
      <c r="D325" s="25">
        <f>IF(REGISTRY!G307="Male",REGISTRY!P307,"")</f>
        <v>0</v>
      </c>
      <c r="E325" s="25" t="str">
        <f>IF(REGISTRY!G307="Male",REGISTRY!L307,"")</f>
        <v>العبدالكريم</v>
      </c>
    </row>
    <row r="326" ht="15.75" customHeight="1">
      <c r="A326" s="25" t="str">
        <f>IF(REGISTRY!G308="Male",REGISTRY!A308,"")</f>
        <v>P307</v>
      </c>
      <c r="B326" s="25" t="str">
        <f>IF(REGISTRY!G308="Male",REGISTRY!M308,"")</f>
        <v>محمد بن عثمان بن دخيل عثمان</v>
      </c>
      <c r="C326" s="25">
        <f>IF(REGISTRY!G308="Male",REGISTRY!K308,"")</f>
        <v>6</v>
      </c>
      <c r="D326" s="25">
        <f>IF(REGISTRY!G308="Male",REGISTRY!P308,"")</f>
        <v>0</v>
      </c>
      <c r="E326" s="25" t="str">
        <f>IF(REGISTRY!G308="Male",REGISTRY!L308,"")</f>
        <v>العبدالكريم</v>
      </c>
    </row>
    <row r="327" ht="15.75" customHeight="1">
      <c r="A327" s="25" t="str">
        <f>IF(REGISTRY!G309="Male",REGISTRY!A309,"")</f>
        <v>P308</v>
      </c>
      <c r="B327" s="25" t="str">
        <f>IF(REGISTRY!G309="Male",REGISTRY!M309,"")</f>
        <v>محمد بن عبدالرحمن بن عثمان دخيل</v>
      </c>
      <c r="C327" s="25">
        <f>IF(REGISTRY!G309="Male",REGISTRY!K309,"")</f>
        <v>7</v>
      </c>
      <c r="D327" s="25">
        <f>IF(REGISTRY!G309="Male",REGISTRY!P309,"")</f>
        <v>0</v>
      </c>
      <c r="E327" s="25" t="str">
        <f>IF(REGISTRY!G309="Male",REGISTRY!L309,"")</f>
        <v>العبدالكريم</v>
      </c>
    </row>
    <row r="328" ht="15.75" customHeight="1">
      <c r="A328" s="25" t="str">
        <f>IF(REGISTRY!G310="Male",REGISTRY!A310,"")</f>
        <v>P309</v>
      </c>
      <c r="B328" s="25" t="str">
        <f>IF(REGISTRY!G310="Male",REGISTRY!M310,"")</f>
        <v>عبدالعزيز بن عبدالرحمن بن عثمان دخيل</v>
      </c>
      <c r="C328" s="25">
        <f>IF(REGISTRY!G310="Male",REGISTRY!K310,"")</f>
        <v>7</v>
      </c>
      <c r="D328" s="25">
        <f>IF(REGISTRY!G310="Male",REGISTRY!P310,"")</f>
        <v>0</v>
      </c>
      <c r="E328" s="25" t="str">
        <f>IF(REGISTRY!G310="Male",REGISTRY!L310,"")</f>
        <v>العبدالكريم</v>
      </c>
    </row>
    <row r="329" ht="15.75" customHeight="1">
      <c r="A329" s="25" t="str">
        <f>IF(REGISTRY!G311="Male",REGISTRY!A311,"")</f>
        <v>P310</v>
      </c>
      <c r="B329" s="25" t="str">
        <f>IF(REGISTRY!G311="Male",REGISTRY!M311,"")</f>
        <v>عبدالله بن عبدالرحمن بن عثمان دخيل</v>
      </c>
      <c r="C329" s="25">
        <f>IF(REGISTRY!G311="Male",REGISTRY!K311,"")</f>
        <v>7</v>
      </c>
      <c r="D329" s="25">
        <f>IF(REGISTRY!G311="Male",REGISTRY!P311,"")</f>
        <v>0</v>
      </c>
      <c r="E329" s="25" t="str">
        <f>IF(REGISTRY!G311="Male",REGISTRY!L311,"")</f>
        <v>العبدالكريم</v>
      </c>
    </row>
    <row r="330" ht="15.75" customHeight="1">
      <c r="A330" s="25" t="str">
        <f>IF(REGISTRY!G312="Male",REGISTRY!A312,"")</f>
        <v>P311</v>
      </c>
      <c r="B330" s="25" t="str">
        <f>IF(REGISTRY!G312="Male",REGISTRY!M312,"")</f>
        <v>سليمان بن عبدالرحمن بن عثمان دخيل</v>
      </c>
      <c r="C330" s="25">
        <f>IF(REGISTRY!G312="Male",REGISTRY!K312,"")</f>
        <v>7</v>
      </c>
      <c r="D330" s="25">
        <f>IF(REGISTRY!G312="Male",REGISTRY!P312,"")</f>
        <v>0</v>
      </c>
      <c r="E330" s="25" t="str">
        <f>IF(REGISTRY!G312="Male",REGISTRY!L312,"")</f>
        <v>العبدالكريم</v>
      </c>
    </row>
    <row r="331" ht="15.75" customHeight="1">
      <c r="A331" s="25" t="str">
        <f>IF(REGISTRY!G313="Male",REGISTRY!A313,"")</f>
        <v>P312</v>
      </c>
      <c r="B331" s="25" t="str">
        <f>IF(REGISTRY!G313="Male",REGISTRY!M313,"")</f>
        <v>عثمان بن عبدالرحمن بن عثمان دخيل</v>
      </c>
      <c r="C331" s="25">
        <f>IF(REGISTRY!G313="Male",REGISTRY!K313,"")</f>
        <v>7</v>
      </c>
      <c r="D331" s="25">
        <f>IF(REGISTRY!G313="Male",REGISTRY!P313,"")</f>
        <v>0</v>
      </c>
      <c r="E331" s="25" t="str">
        <f>IF(REGISTRY!G313="Male",REGISTRY!L313,"")</f>
        <v>العبدالكريم</v>
      </c>
    </row>
    <row r="332" ht="15.75" customHeight="1">
      <c r="A332" s="25" t="str">
        <f>IF(REGISTRY!G314="Male",REGISTRY!A314,"")</f>
        <v>P313</v>
      </c>
      <c r="B332" s="25" t="str">
        <f>IF(REGISTRY!G314="Male",REGISTRY!M314,"")</f>
        <v>وليد بن عبدالرحمن بن عثمان دخيل</v>
      </c>
      <c r="C332" s="25">
        <f>IF(REGISTRY!G314="Male",REGISTRY!K314,"")</f>
        <v>7</v>
      </c>
      <c r="D332" s="25">
        <f>IF(REGISTRY!G314="Male",REGISTRY!P314,"")</f>
        <v>0</v>
      </c>
      <c r="E332" s="25" t="str">
        <f>IF(REGISTRY!G314="Male",REGISTRY!L314,"")</f>
        <v>العبدالكريم</v>
      </c>
    </row>
    <row r="333" ht="15.75" customHeight="1">
      <c r="A333" s="25" t="str">
        <f>IF(REGISTRY!G315="Male",REGISTRY!A315,"")</f>
        <v>P314</v>
      </c>
      <c r="B333" s="25" t="str">
        <f>IF(REGISTRY!G315="Male",REGISTRY!M315,"")</f>
        <v>فهد بن دخيل بن عثمان دخيل</v>
      </c>
      <c r="C333" s="25">
        <f>IF(REGISTRY!G315="Male",REGISTRY!K315,"")</f>
        <v>7</v>
      </c>
      <c r="D333" s="25">
        <f>IF(REGISTRY!G315="Male",REGISTRY!P315,"")</f>
        <v>0</v>
      </c>
      <c r="E333" s="25" t="str">
        <f>IF(REGISTRY!G315="Male",REGISTRY!L315,"")</f>
        <v>العبدالكريم</v>
      </c>
    </row>
    <row r="334" ht="15.75" customHeight="1">
      <c r="A334" s="25" t="str">
        <f>IF(REGISTRY!G316="Male",REGISTRY!A316,"")</f>
        <v>P315</v>
      </c>
      <c r="B334" s="25" t="str">
        <f>IF(REGISTRY!G316="Male",REGISTRY!M316,"")</f>
        <v>عثمان بن دخيل بن عثمان دخيل</v>
      </c>
      <c r="C334" s="25">
        <f>IF(REGISTRY!G316="Male",REGISTRY!K316,"")</f>
        <v>7</v>
      </c>
      <c r="D334" s="25">
        <f>IF(REGISTRY!G316="Male",REGISTRY!P316,"")</f>
        <v>0</v>
      </c>
      <c r="E334" s="25" t="str">
        <f>IF(REGISTRY!G316="Male",REGISTRY!L316,"")</f>
        <v>العبدالكريم</v>
      </c>
    </row>
    <row r="335" ht="15.75" customHeight="1">
      <c r="A335" s="25" t="str">
        <f>IF(REGISTRY!G317="Male",REGISTRY!A317,"")</f>
        <v>P316</v>
      </c>
      <c r="B335" s="25" t="str">
        <f>IF(REGISTRY!G317="Male",REGISTRY!M317,"")</f>
        <v>عثمان بن عبدالكريم بن عثمان دخيل</v>
      </c>
      <c r="C335" s="25">
        <f>IF(REGISTRY!G317="Male",REGISTRY!K317,"")</f>
        <v>7</v>
      </c>
      <c r="D335" s="25">
        <f>IF(REGISTRY!G317="Male",REGISTRY!P317,"")</f>
        <v>0</v>
      </c>
      <c r="E335" s="25" t="str">
        <f>IF(REGISTRY!G317="Male",REGISTRY!L317,"")</f>
        <v>العبدالكريم</v>
      </c>
    </row>
    <row r="336" ht="15.75" customHeight="1">
      <c r="A336" s="25" t="str">
        <f>IF(REGISTRY!G318="Male",REGISTRY!A318,"")</f>
        <v>P317</v>
      </c>
      <c r="B336" s="25" t="str">
        <f>IF(REGISTRY!G318="Male",REGISTRY!M318,"")</f>
        <v>معاذ بن عبدالكريم بن عثمان دخيل</v>
      </c>
      <c r="C336" s="25">
        <f>IF(REGISTRY!G318="Male",REGISTRY!K318,"")</f>
        <v>7</v>
      </c>
      <c r="D336" s="25">
        <f>IF(REGISTRY!G318="Male",REGISTRY!P318,"")</f>
        <v>0</v>
      </c>
      <c r="E336" s="25" t="str">
        <f>IF(REGISTRY!G318="Male",REGISTRY!L318,"")</f>
        <v>العبدالكريم</v>
      </c>
    </row>
    <row r="337" ht="15.75" customHeight="1">
      <c r="A337" s="25" t="str">
        <f>IF(REGISTRY!G319="Male",REGISTRY!A319,"")</f>
        <v>P318</v>
      </c>
      <c r="B337" s="25" t="str">
        <f>IF(REGISTRY!G319="Male",REGISTRY!M319,"")</f>
        <v>حمد بن عبدالكريم بن حمد </v>
      </c>
      <c r="C337" s="25">
        <f>IF(REGISTRY!G319="Male",REGISTRY!K319,"")</f>
        <v>3</v>
      </c>
      <c r="D337" s="25">
        <f>IF(REGISTRY!G319="Male",REGISTRY!P319,"")</f>
        <v>0</v>
      </c>
      <c r="E337" s="25" t="str">
        <f>IF(REGISTRY!G319="Male",REGISTRY!L319,"")</f>
        <v>العبدالكريم</v>
      </c>
    </row>
    <row r="338" ht="15.75" customHeight="1">
      <c r="A338" s="25" t="str">
        <f>IF(REGISTRY!G320="Male",REGISTRY!A320,"")</f>
        <v>P319</v>
      </c>
      <c r="B338" s="25" t="str">
        <f>IF(REGISTRY!G320="Male",REGISTRY!M320,"")</f>
        <v>عبدالكريم بن حمد بن عبدالكريم حمد</v>
      </c>
      <c r="C338" s="25">
        <f>IF(REGISTRY!G320="Male",REGISTRY!K320,"")</f>
        <v>4</v>
      </c>
      <c r="D338" s="25">
        <f>IF(REGISTRY!G320="Male",REGISTRY!P320,"")</f>
        <v>0</v>
      </c>
      <c r="E338" s="25" t="str">
        <f>IF(REGISTRY!G320="Male",REGISTRY!L320,"")</f>
        <v>العبدالكريم</v>
      </c>
    </row>
    <row r="339" ht="15.75" customHeight="1">
      <c r="A339" s="25" t="str">
        <f>IF(REGISTRY!G321="Male",REGISTRY!A321,"")</f>
        <v>P320</v>
      </c>
      <c r="B339" s="25" t="str">
        <f>IF(REGISTRY!G321="Male",REGISTRY!M321,"")</f>
        <v>عبدالعزيز بن حمد بن عبدالكريم حمد</v>
      </c>
      <c r="C339" s="25">
        <f>IF(REGISTRY!G321="Male",REGISTRY!K321,"")</f>
        <v>4</v>
      </c>
      <c r="D339" s="25">
        <f>IF(REGISTRY!G321="Male",REGISTRY!P321,"")</f>
        <v>0</v>
      </c>
      <c r="E339" s="25" t="str">
        <f>IF(REGISTRY!G321="Male",REGISTRY!L321,"")</f>
        <v>العبدالكريم</v>
      </c>
    </row>
    <row r="340" ht="15.75" customHeight="1">
      <c r="A340" s="25" t="str">
        <f>IF(REGISTRY!G322="Male",REGISTRY!A322,"")</f>
        <v>P321</v>
      </c>
      <c r="B340" s="25" t="str">
        <f>IF(REGISTRY!G322="Male",REGISTRY!M322,"")</f>
        <v>محمد (ابو حمد ) بن حمد بن عبدالكريم حمد</v>
      </c>
      <c r="C340" s="25">
        <f>IF(REGISTRY!G322="Male",REGISTRY!K322,"")</f>
        <v>4</v>
      </c>
      <c r="D340" s="25">
        <f>IF(REGISTRY!G322="Male",REGISTRY!P322,"")</f>
        <v>0</v>
      </c>
      <c r="E340" s="25" t="str">
        <f>IF(REGISTRY!G322="Male",REGISTRY!L322,"")</f>
        <v>العبدالكريم</v>
      </c>
    </row>
    <row r="341" ht="15.75" customHeight="1">
      <c r="A341" s="25" t="str">
        <f>IF(REGISTRY!G323="Male",REGISTRY!A323,"")</f>
        <v>P322</v>
      </c>
      <c r="B341" s="25" t="str">
        <f>IF(REGISTRY!G323="Male",REGISTRY!M323,"")</f>
        <v>محمد بن عبدالكريم بن حمد عبدالكريم</v>
      </c>
      <c r="C341" s="25">
        <f>IF(REGISTRY!G323="Male",REGISTRY!K323,"")</f>
        <v>5</v>
      </c>
      <c r="D341" s="25">
        <f>IF(REGISTRY!G323="Male",REGISTRY!P323,"")</f>
        <v>0</v>
      </c>
      <c r="E341" s="25" t="str">
        <f>IF(REGISTRY!G323="Male",REGISTRY!L323,"")</f>
        <v>العبدالكريم</v>
      </c>
    </row>
    <row r="342" ht="15.75" customHeight="1">
      <c r="A342" s="25" t="str">
        <f>IF(REGISTRY!G324="Male",REGISTRY!A324,"")</f>
        <v>P323</v>
      </c>
      <c r="B342" s="25" t="str">
        <f>IF(REGISTRY!G324="Male",REGISTRY!M324,"")</f>
        <v>عبدالله بن عبدالكريم بن حمد عبدالكريم</v>
      </c>
      <c r="C342" s="25">
        <f>IF(REGISTRY!G324="Male",REGISTRY!K324,"")</f>
        <v>5</v>
      </c>
      <c r="D342" s="25">
        <f>IF(REGISTRY!G324="Male",REGISTRY!P324,"")</f>
        <v>0</v>
      </c>
      <c r="E342" s="25" t="str">
        <f>IF(REGISTRY!G324="Male",REGISTRY!L324,"")</f>
        <v>العبدالكريم</v>
      </c>
    </row>
    <row r="343" ht="15.75" customHeight="1">
      <c r="A343" s="25" t="str">
        <f>IF(REGISTRY!G325="Male",REGISTRY!A325,"")</f>
        <v>P324</v>
      </c>
      <c r="B343" s="25" t="str">
        <f>IF(REGISTRY!G325="Male",REGISTRY!M325,"")</f>
        <v>ابراهيم بن عبدالكريم بن حمد عبدالكريم</v>
      </c>
      <c r="C343" s="25">
        <f>IF(REGISTRY!G325="Male",REGISTRY!K325,"")</f>
        <v>5</v>
      </c>
      <c r="D343" s="25">
        <f>IF(REGISTRY!G325="Male",REGISTRY!P325,"")</f>
        <v>0</v>
      </c>
      <c r="E343" s="25" t="str">
        <f>IF(REGISTRY!G325="Male",REGISTRY!L325,"")</f>
        <v>العبدالكريم</v>
      </c>
    </row>
    <row r="344" ht="15.75" customHeight="1">
      <c r="A344" s="25" t="str">
        <f>IF(REGISTRY!G326="Male",REGISTRY!A326,"")</f>
        <v>P325</v>
      </c>
      <c r="B344" s="25" t="str">
        <f>IF(REGISTRY!G326="Male",REGISTRY!M326,"")</f>
        <v>عبدالرحمن بن عبدالكريم بن حمد عبدالكريم</v>
      </c>
      <c r="C344" s="25">
        <f>IF(REGISTRY!G326="Male",REGISTRY!K326,"")</f>
        <v>5</v>
      </c>
      <c r="D344" s="25">
        <f>IF(REGISTRY!G326="Male",REGISTRY!P326,"")</f>
        <v>0</v>
      </c>
      <c r="E344" s="25" t="str">
        <f>IF(REGISTRY!G326="Male",REGISTRY!L326,"")</f>
        <v>العبدالكريم</v>
      </c>
    </row>
    <row r="345" ht="15.75" customHeight="1">
      <c r="A345" s="25" t="str">
        <f>IF(REGISTRY!G327="Male",REGISTRY!A327,"")</f>
        <v>P326</v>
      </c>
      <c r="B345" s="25" t="str">
        <f>IF(REGISTRY!G327="Male",REGISTRY!M327,"")</f>
        <v>عبدالعزيز بن عبدالكريم بن حمد عبدالكريم</v>
      </c>
      <c r="C345" s="25">
        <f>IF(REGISTRY!G327="Male",REGISTRY!K327,"")</f>
        <v>5</v>
      </c>
      <c r="D345" s="25">
        <f>IF(REGISTRY!G327="Male",REGISTRY!P327,"")</f>
        <v>0</v>
      </c>
      <c r="E345" s="25" t="str">
        <f>IF(REGISTRY!G327="Male",REGISTRY!L327,"")</f>
        <v>العبدالكريم</v>
      </c>
    </row>
    <row r="346" ht="15.75" customHeight="1">
      <c r="A346" s="25" t="str">
        <f>IF(REGISTRY!G328="Male",REGISTRY!A328,"")</f>
        <v>P327</v>
      </c>
      <c r="B346" s="25" t="str">
        <f>IF(REGISTRY!G328="Male",REGISTRY!M328,"")</f>
        <v>حمد بن محمد بن عبدالكريم حمد</v>
      </c>
      <c r="C346" s="25">
        <f>IF(REGISTRY!G328="Male",REGISTRY!K328,"")</f>
        <v>6</v>
      </c>
      <c r="D346" s="25">
        <f>IF(REGISTRY!G328="Male",REGISTRY!P328,"")</f>
        <v>0</v>
      </c>
      <c r="E346" s="25" t="str">
        <f>IF(REGISTRY!G328="Male",REGISTRY!L328,"")</f>
        <v>العبدالكريم</v>
      </c>
    </row>
    <row r="347" ht="15.75" customHeight="1">
      <c r="A347" s="25" t="str">
        <f>IF(REGISTRY!G329="Male",REGISTRY!A329,"")</f>
        <v>P328</v>
      </c>
      <c r="B347" s="25" t="str">
        <f>IF(REGISTRY!G329="Male",REGISTRY!M329,"")</f>
        <v>عبدالكريم بن محمد بن عبدالكريم حمد</v>
      </c>
      <c r="C347" s="25">
        <f>IF(REGISTRY!G329="Male",REGISTRY!K329,"")</f>
        <v>6</v>
      </c>
      <c r="D347" s="25">
        <f>IF(REGISTRY!G329="Male",REGISTRY!P329,"")</f>
        <v>0</v>
      </c>
      <c r="E347" s="25" t="str">
        <f>IF(REGISTRY!G329="Male",REGISTRY!L329,"")</f>
        <v>العبدالكريم</v>
      </c>
    </row>
    <row r="348" ht="15.75" customHeight="1">
      <c r="A348" s="25" t="str">
        <f>IF(REGISTRY!G330="Male",REGISTRY!A330,"")</f>
        <v>P329</v>
      </c>
      <c r="B348" s="25" t="str">
        <f>IF(REGISTRY!G330="Male",REGISTRY!M330,"")</f>
        <v>محمد بن محمد بن عبدالكريم حمد</v>
      </c>
      <c r="C348" s="25">
        <f>IF(REGISTRY!G330="Male",REGISTRY!K330,"")</f>
        <v>6</v>
      </c>
      <c r="D348" s="25">
        <f>IF(REGISTRY!G330="Male",REGISTRY!P330,"")</f>
        <v>0</v>
      </c>
      <c r="E348" s="25" t="str">
        <f>IF(REGISTRY!G330="Male",REGISTRY!L330,"")</f>
        <v>العبدالكريم</v>
      </c>
    </row>
    <row r="349" ht="15.75" customHeight="1">
      <c r="A349" s="25" t="str">
        <f>IF(REGISTRY!G331="Male",REGISTRY!A331,"")</f>
        <v>P330</v>
      </c>
      <c r="B349" s="25" t="str">
        <f>IF(REGISTRY!G331="Male",REGISTRY!M331,"")</f>
        <v>مساعد بن محمد بن عبدالكريم حمد</v>
      </c>
      <c r="C349" s="25">
        <f>IF(REGISTRY!G331="Male",REGISTRY!K331,"")</f>
        <v>6</v>
      </c>
      <c r="D349" s="25">
        <f>IF(REGISTRY!G331="Male",REGISTRY!P331,"")</f>
        <v>0</v>
      </c>
      <c r="E349" s="25" t="str">
        <f>IF(REGISTRY!G331="Male",REGISTRY!L331,"")</f>
        <v>العبدالكريم</v>
      </c>
    </row>
    <row r="350" ht="15.75" customHeight="1">
      <c r="A350" s="25" t="str">
        <f>IF(REGISTRY!G332="Male",REGISTRY!A332,"")</f>
        <v>P331</v>
      </c>
      <c r="B350" s="25" t="str">
        <f>IF(REGISTRY!G332="Male",REGISTRY!M332,"")</f>
        <v>محمد بن حمد بن محمد عبدالكريم</v>
      </c>
      <c r="C350" s="25">
        <f>IF(REGISTRY!G332="Male",REGISTRY!K332,"")</f>
        <v>7</v>
      </c>
      <c r="D350" s="25">
        <f>IF(REGISTRY!G332="Male",REGISTRY!P332,"")</f>
        <v>0</v>
      </c>
      <c r="E350" s="25" t="str">
        <f>IF(REGISTRY!G332="Male",REGISTRY!L332,"")</f>
        <v>العبدالكريم</v>
      </c>
    </row>
    <row r="351" ht="15.75" customHeight="1">
      <c r="A351" s="25" t="str">
        <f>IF(REGISTRY!G333="Male",REGISTRY!A333,"")</f>
        <v>P332</v>
      </c>
      <c r="B351" s="25" t="str">
        <f>IF(REGISTRY!G333="Male",REGISTRY!M333,"")</f>
        <v>تميم بن حمد بن محمد عبدالكريم</v>
      </c>
      <c r="C351" s="25">
        <f>IF(REGISTRY!G333="Male",REGISTRY!K333,"")</f>
        <v>7</v>
      </c>
      <c r="D351" s="25">
        <f>IF(REGISTRY!G333="Male",REGISTRY!P333,"")</f>
        <v>0</v>
      </c>
      <c r="E351" s="25" t="str">
        <f>IF(REGISTRY!G333="Male",REGISTRY!L333,"")</f>
        <v>العبدالكريم</v>
      </c>
    </row>
    <row r="352" ht="15.75" customHeight="1">
      <c r="A352" s="25" t="str">
        <f>IF(REGISTRY!G334="Male",REGISTRY!A334,"")</f>
        <v>P333</v>
      </c>
      <c r="B352" s="25" t="str">
        <f>IF(REGISTRY!G334="Male",REGISTRY!M334,"")</f>
        <v>عبدالله بن حمد بن محمد عبدالكريم</v>
      </c>
      <c r="C352" s="25">
        <f>IF(REGISTRY!G334="Male",REGISTRY!K334,"")</f>
        <v>7</v>
      </c>
      <c r="D352" s="25">
        <f>IF(REGISTRY!G334="Male",REGISTRY!P334,"")</f>
        <v>0</v>
      </c>
      <c r="E352" s="25" t="str">
        <f>IF(REGISTRY!G334="Male",REGISTRY!L334,"")</f>
        <v>العبدالكريم</v>
      </c>
    </row>
    <row r="353" ht="15.75" customHeight="1">
      <c r="A353" s="25" t="str">
        <f>IF(REGISTRY!G335="Male",REGISTRY!A335,"")</f>
        <v>P334</v>
      </c>
      <c r="B353" s="25" t="str">
        <f>IF(REGISTRY!G335="Male",REGISTRY!M335,"")</f>
        <v>فهد بن عبدالله بن عبدالكريم حمد</v>
      </c>
      <c r="C353" s="25">
        <f>IF(REGISTRY!G335="Male",REGISTRY!K335,"")</f>
        <v>6</v>
      </c>
      <c r="D353" s="25">
        <f>IF(REGISTRY!G335="Male",REGISTRY!P335,"")</f>
        <v>0</v>
      </c>
      <c r="E353" s="25" t="str">
        <f>IF(REGISTRY!G335="Male",REGISTRY!L335,"")</f>
        <v>العبدالكريم</v>
      </c>
    </row>
    <row r="354" ht="15.75" customHeight="1">
      <c r="A354" s="25" t="str">
        <f>IF(REGISTRY!G336="Male",REGISTRY!A336,"")</f>
        <v>P335</v>
      </c>
      <c r="B354" s="25" t="str">
        <f>IF(REGISTRY!G336="Male",REGISTRY!M336,"")</f>
        <v>عبدالكريم بن عبدالله بن عبدالكريم حمد</v>
      </c>
      <c r="C354" s="25">
        <f>IF(REGISTRY!G336="Male",REGISTRY!K336,"")</f>
        <v>6</v>
      </c>
      <c r="D354" s="25">
        <f>IF(REGISTRY!G336="Male",REGISTRY!P336,"")</f>
        <v>0</v>
      </c>
      <c r="E354" s="25" t="str">
        <f>IF(REGISTRY!G336="Male",REGISTRY!L336,"")</f>
        <v>العبدالكريم</v>
      </c>
    </row>
    <row r="355" ht="15.75" customHeight="1">
      <c r="A355" s="25" t="str">
        <f>IF(REGISTRY!G337="Male",REGISTRY!A337,"")</f>
        <v>P336</v>
      </c>
      <c r="B355" s="25" t="str">
        <f>IF(REGISTRY!G337="Male",REGISTRY!M337,"")</f>
        <v>محمد بن عبدالله بن عبدالكريم حمد</v>
      </c>
      <c r="C355" s="25">
        <f>IF(REGISTRY!G337="Male",REGISTRY!K337,"")</f>
        <v>6</v>
      </c>
      <c r="D355" s="25">
        <f>IF(REGISTRY!G337="Male",REGISTRY!P337,"")</f>
        <v>0</v>
      </c>
      <c r="E355" s="25" t="str">
        <f>IF(REGISTRY!G337="Male",REGISTRY!L337,"")</f>
        <v>العبدالكريم</v>
      </c>
    </row>
    <row r="356" ht="15.75" customHeight="1">
      <c r="A356" s="25" t="str">
        <f>IF(REGISTRY!G338="Male",REGISTRY!A338,"")</f>
        <v>P337</v>
      </c>
      <c r="B356" s="25" t="str">
        <f>IF(REGISTRY!G338="Male",REGISTRY!M338,"")</f>
        <v>مساعد بن عبدالله بن عبدالكريم حمد</v>
      </c>
      <c r="C356" s="25">
        <f>IF(REGISTRY!G338="Male",REGISTRY!K338,"")</f>
        <v>6</v>
      </c>
      <c r="D356" s="25">
        <f>IF(REGISTRY!G338="Male",REGISTRY!P338,"")</f>
        <v>0</v>
      </c>
      <c r="E356" s="25" t="str">
        <f>IF(REGISTRY!G338="Male",REGISTRY!L338,"")</f>
        <v>العبدالكريم</v>
      </c>
    </row>
    <row r="357" ht="15.75" customHeight="1">
      <c r="A357" s="25" t="str">
        <f>IF(REGISTRY!G339="Male",REGISTRY!A339,"")</f>
        <v>P338</v>
      </c>
      <c r="B357" s="25" t="str">
        <f>IF(REGISTRY!G339="Male",REGISTRY!M339,"")</f>
        <v>عبدالله بن فهد بن عبدالله عبدالكريم</v>
      </c>
      <c r="C357" s="25">
        <f>IF(REGISTRY!G339="Male",REGISTRY!K339,"")</f>
        <v>7</v>
      </c>
      <c r="D357" s="25">
        <f>IF(REGISTRY!G339="Male",REGISTRY!P339,"")</f>
        <v>0</v>
      </c>
      <c r="E357" s="25" t="str">
        <f>IF(REGISTRY!G339="Male",REGISTRY!L339,"")</f>
        <v>العبدالكريم</v>
      </c>
    </row>
    <row r="358" ht="15.75" customHeight="1">
      <c r="A358" s="25" t="str">
        <f>IF(REGISTRY!G340="Male",REGISTRY!A340,"")</f>
        <v>P339</v>
      </c>
      <c r="B358" s="25" t="str">
        <f>IF(REGISTRY!G340="Male",REGISTRY!M340,"")</f>
        <v>عبدالعزيز بن فهد بن عبدالله عبدالكريم</v>
      </c>
      <c r="C358" s="25">
        <f>IF(REGISTRY!G340="Male",REGISTRY!K340,"")</f>
        <v>7</v>
      </c>
      <c r="D358" s="25">
        <f>IF(REGISTRY!G340="Male",REGISTRY!P340,"")</f>
        <v>0</v>
      </c>
      <c r="E358" s="25" t="str">
        <f>IF(REGISTRY!G340="Male",REGISTRY!L340,"")</f>
        <v>العبدالكريم</v>
      </c>
    </row>
    <row r="359" ht="15.75" customHeight="1">
      <c r="A359" s="25" t="str">
        <f>IF(REGISTRY!G341="Male",REGISTRY!A341,"")</f>
        <v>P340</v>
      </c>
      <c r="B359" s="25" t="str">
        <f>IF(REGISTRY!G341="Male",REGISTRY!M341,"")</f>
        <v>خالد بن ابراهيم بن عبدالكريم حمد</v>
      </c>
      <c r="C359" s="25">
        <f>IF(REGISTRY!G341="Male",REGISTRY!K341,"")</f>
        <v>6</v>
      </c>
      <c r="D359" s="25">
        <f>IF(REGISTRY!G341="Male",REGISTRY!P341,"")</f>
        <v>0</v>
      </c>
      <c r="E359" s="25" t="str">
        <f>IF(REGISTRY!G341="Male",REGISTRY!L341,"")</f>
        <v>العبدالكريم</v>
      </c>
    </row>
    <row r="360" ht="15.75" customHeight="1">
      <c r="A360" s="25" t="str">
        <f>IF(REGISTRY!G342="Male",REGISTRY!A342,"")</f>
        <v>P341</v>
      </c>
      <c r="B360" s="25" t="str">
        <f>IF(REGISTRY!G342="Male",REGISTRY!M342,"")</f>
        <v>عبدالكريم بن ابراهيم بن عبدالكريم حمد</v>
      </c>
      <c r="C360" s="25">
        <f>IF(REGISTRY!G342="Male",REGISTRY!K342,"")</f>
        <v>6</v>
      </c>
      <c r="D360" s="25">
        <f>IF(REGISTRY!G342="Male",REGISTRY!P342,"")</f>
        <v>0</v>
      </c>
      <c r="E360" s="25" t="str">
        <f>IF(REGISTRY!G342="Male",REGISTRY!L342,"")</f>
        <v>العبدالكريم</v>
      </c>
    </row>
    <row r="361" ht="15.75" customHeight="1">
      <c r="A361" s="25" t="str">
        <f>IF(REGISTRY!G343="Male",REGISTRY!A343,"")</f>
        <v>P342</v>
      </c>
      <c r="B361" s="25" t="str">
        <f>IF(REGISTRY!G343="Male",REGISTRY!M343,"")</f>
        <v>فهد بن ابراهيم بن عبدالكريم حمد</v>
      </c>
      <c r="C361" s="25">
        <f>IF(REGISTRY!G343="Male",REGISTRY!K343,"")</f>
        <v>6</v>
      </c>
      <c r="D361" s="25">
        <f>IF(REGISTRY!G343="Male",REGISTRY!P343,"")</f>
        <v>0</v>
      </c>
      <c r="E361" s="25" t="str">
        <f>IF(REGISTRY!G343="Male",REGISTRY!L343,"")</f>
        <v>العبدالكريم</v>
      </c>
    </row>
    <row r="362" ht="15.75" customHeight="1">
      <c r="A362" s="25" t="str">
        <f>IF(REGISTRY!G344="Male",REGISTRY!A344,"")</f>
        <v>P343</v>
      </c>
      <c r="B362" s="25" t="str">
        <f>IF(REGISTRY!G344="Male",REGISTRY!M344,"")</f>
        <v>عبدالعزيز بن ابراهيم بن عبدالكريم حمد</v>
      </c>
      <c r="C362" s="25">
        <f>IF(REGISTRY!G344="Male",REGISTRY!K344,"")</f>
        <v>6</v>
      </c>
      <c r="D362" s="25">
        <f>IF(REGISTRY!G344="Male",REGISTRY!P344,"")</f>
        <v>0</v>
      </c>
      <c r="E362" s="25" t="str">
        <f>IF(REGISTRY!G344="Male",REGISTRY!L344,"")</f>
        <v>العبدالكريم</v>
      </c>
    </row>
    <row r="363" ht="15.75" customHeight="1">
      <c r="A363" s="25" t="str">
        <f>IF(REGISTRY!G345="Male",REGISTRY!A345,"")</f>
        <v>P344</v>
      </c>
      <c r="B363" s="25" t="str">
        <f>IF(REGISTRY!G345="Male",REGISTRY!M345,"")</f>
        <v>عبدالكريم بن عبدالرحمن بن عبدالكريم حمد</v>
      </c>
      <c r="C363" s="25">
        <f>IF(REGISTRY!G345="Male",REGISTRY!K345,"")</f>
        <v>6</v>
      </c>
      <c r="D363" s="25">
        <f>IF(REGISTRY!G345="Male",REGISTRY!P345,"")</f>
        <v>0</v>
      </c>
      <c r="E363" s="25" t="str">
        <f>IF(REGISTRY!G345="Male",REGISTRY!L345,"")</f>
        <v>العبدالكريم</v>
      </c>
    </row>
    <row r="364" ht="15.75" customHeight="1">
      <c r="A364" s="25" t="str">
        <f>IF(REGISTRY!G346="Male",REGISTRY!A346,"")</f>
        <v>P345</v>
      </c>
      <c r="B364" s="25" t="str">
        <f>IF(REGISTRY!G346="Male",REGISTRY!M346,"")</f>
        <v>عبدالله بن عبدالرحمن بن عبدالكريم حمد</v>
      </c>
      <c r="C364" s="25">
        <f>IF(REGISTRY!G346="Male",REGISTRY!K346,"")</f>
        <v>6</v>
      </c>
      <c r="D364" s="25">
        <f>IF(REGISTRY!G346="Male",REGISTRY!P346,"")</f>
        <v>0</v>
      </c>
      <c r="E364" s="25" t="str">
        <f>IF(REGISTRY!G346="Male",REGISTRY!L346,"")</f>
        <v>العبدالكريم</v>
      </c>
    </row>
    <row r="365" ht="15.75" customHeight="1">
      <c r="A365" s="25" t="str">
        <f>IF(REGISTRY!G347="Male",REGISTRY!A347,"")</f>
        <v>P346</v>
      </c>
      <c r="B365" s="25" t="str">
        <f>IF(REGISTRY!G347="Male",REGISTRY!M347,"")</f>
        <v>محمد بن عبدالرحمن بن عبدالكريم حمد</v>
      </c>
      <c r="C365" s="25">
        <f>IF(REGISTRY!G347="Male",REGISTRY!K347,"")</f>
        <v>6</v>
      </c>
      <c r="D365" s="25">
        <f>IF(REGISTRY!G347="Male",REGISTRY!P347,"")</f>
        <v>0</v>
      </c>
      <c r="E365" s="25" t="str">
        <f>IF(REGISTRY!G347="Male",REGISTRY!L347,"")</f>
        <v>العبدالكريم</v>
      </c>
    </row>
    <row r="366" ht="15.75" customHeight="1">
      <c r="A366" s="25" t="str">
        <f>IF(REGISTRY!G348="Male",REGISTRY!A348,"")</f>
        <v>P347</v>
      </c>
      <c r="B366" s="25" t="str">
        <f>IF(REGISTRY!G348="Male",REGISTRY!M348,"")</f>
        <v>عبدالرحمن بن عبدالكريم بن عبدالرحمن عبدالكريم</v>
      </c>
      <c r="C366" s="25">
        <f>IF(REGISTRY!G348="Male",REGISTRY!K348,"")</f>
        <v>7</v>
      </c>
      <c r="D366" s="25">
        <f>IF(REGISTRY!G348="Male",REGISTRY!P348,"")</f>
        <v>0</v>
      </c>
      <c r="E366" s="25" t="str">
        <f>IF(REGISTRY!G348="Male",REGISTRY!L348,"")</f>
        <v>العبدالكريم</v>
      </c>
    </row>
    <row r="367" ht="15.75" customHeight="1">
      <c r="A367" s="25" t="str">
        <f>IF(REGISTRY!G349="Male",REGISTRY!A349,"")</f>
        <v>P348</v>
      </c>
      <c r="B367" s="25" t="str">
        <f>IF(REGISTRY!G349="Male",REGISTRY!M349,"")</f>
        <v>فيصل بن عبدالكريم بن عبدالرحمن عبدالكريم</v>
      </c>
      <c r="C367" s="25">
        <f>IF(REGISTRY!G349="Male",REGISTRY!K349,"")</f>
        <v>7</v>
      </c>
      <c r="D367" s="25">
        <f>IF(REGISTRY!G349="Male",REGISTRY!P349,"")</f>
        <v>0</v>
      </c>
      <c r="E367" s="25" t="str">
        <f>IF(REGISTRY!G349="Male",REGISTRY!L349,"")</f>
        <v>العبدالكريم</v>
      </c>
    </row>
    <row r="368" ht="15.75" customHeight="1">
      <c r="A368" s="25" t="str">
        <f>IF(REGISTRY!G350="Male",REGISTRY!A350,"")</f>
        <v>P349</v>
      </c>
      <c r="B368" s="25" t="str">
        <f>IF(REGISTRY!G350="Male",REGISTRY!M350,"")</f>
        <v>عبدالكريم بن عبدالعزيز بن عبدالكريم حمد</v>
      </c>
      <c r="C368" s="25">
        <f>IF(REGISTRY!G350="Male",REGISTRY!K350,"")</f>
        <v>6</v>
      </c>
      <c r="D368" s="25">
        <f>IF(REGISTRY!G350="Male",REGISTRY!P350,"")</f>
        <v>0</v>
      </c>
      <c r="E368" s="25" t="str">
        <f>IF(REGISTRY!G350="Male",REGISTRY!L350,"")</f>
        <v>العبدالكريم</v>
      </c>
    </row>
    <row r="369" ht="15.75" customHeight="1">
      <c r="A369" s="25" t="str">
        <f>IF(REGISTRY!G351="Male",REGISTRY!A351,"")</f>
        <v>P350</v>
      </c>
      <c r="B369" s="25" t="str">
        <f>IF(REGISTRY!G351="Male",REGISTRY!M351,"")</f>
        <v>سعود بن عبدالعزيز بن عبدالكريم حمد</v>
      </c>
      <c r="C369" s="25">
        <f>IF(REGISTRY!G351="Male",REGISTRY!K351,"")</f>
        <v>6</v>
      </c>
      <c r="D369" s="25">
        <f>IF(REGISTRY!G351="Male",REGISTRY!P351,"")</f>
        <v>0</v>
      </c>
      <c r="E369" s="25" t="str">
        <f>IF(REGISTRY!G351="Male",REGISTRY!L351,"")</f>
        <v>العبدالكريم</v>
      </c>
    </row>
    <row r="370" ht="15.75" customHeight="1">
      <c r="A370" s="25" t="str">
        <f>IF(REGISTRY!G352="Male",REGISTRY!A352,"")</f>
        <v>P351</v>
      </c>
      <c r="B370" s="25" t="str">
        <f>IF(REGISTRY!G352="Male",REGISTRY!M352,"")</f>
        <v>انس بن عبدالعزيز بن عبدالكريم حمد</v>
      </c>
      <c r="C370" s="25">
        <f>IF(REGISTRY!G352="Male",REGISTRY!K352,"")</f>
        <v>6</v>
      </c>
      <c r="D370" s="25">
        <f>IF(REGISTRY!G352="Male",REGISTRY!P352,"")</f>
        <v>0</v>
      </c>
      <c r="E370" s="25" t="str">
        <f>IF(REGISTRY!G352="Male",REGISTRY!L352,"")</f>
        <v>العبدالكريم</v>
      </c>
    </row>
    <row r="371" ht="15.75" customHeight="1">
      <c r="A371" s="25" t="str">
        <f>IF(REGISTRY!G353="Male",REGISTRY!A353,"")</f>
        <v>P352</v>
      </c>
      <c r="B371" s="25" t="str">
        <f>IF(REGISTRY!G353="Male",REGISTRY!M353,"")</f>
        <v>محمد بن عبدالعزيز بن عبدالكريم حمد</v>
      </c>
      <c r="C371" s="25">
        <f>IF(REGISTRY!G353="Male",REGISTRY!K353,"")</f>
        <v>6</v>
      </c>
      <c r="D371" s="25">
        <f>IF(REGISTRY!G353="Male",REGISTRY!P353,"")</f>
        <v>0</v>
      </c>
      <c r="E371" s="25" t="str">
        <f>IF(REGISTRY!G353="Male",REGISTRY!L353,"")</f>
        <v>العبدالكريم</v>
      </c>
    </row>
    <row r="372" ht="15.75" customHeight="1">
      <c r="A372" s="25" t="str">
        <f>IF(REGISTRY!G354="Male",REGISTRY!A354,"")</f>
        <v>P353</v>
      </c>
      <c r="B372" s="25" t="str">
        <f>IF(REGISTRY!G354="Male",REGISTRY!M354,"")</f>
        <v>عبدالرحمن بن عبدالعزيز بن حمد عبدالكريم</v>
      </c>
      <c r="C372" s="25">
        <f>IF(REGISTRY!G354="Male",REGISTRY!K354,"")</f>
        <v>5</v>
      </c>
      <c r="D372" s="25">
        <f>IF(REGISTRY!G354="Male",REGISTRY!P354,"")</f>
        <v>0</v>
      </c>
      <c r="E372" s="25" t="str">
        <f>IF(REGISTRY!G354="Male",REGISTRY!L354,"")</f>
        <v>العبدالكريم</v>
      </c>
    </row>
    <row r="373" ht="15.75" customHeight="1">
      <c r="A373" s="25" t="str">
        <f>IF(REGISTRY!G355="Male",REGISTRY!A355,"")</f>
        <v>P354</v>
      </c>
      <c r="B373" s="25" t="str">
        <f>IF(REGISTRY!G355="Male",REGISTRY!M355,"")</f>
        <v>عبدالله بن عبدالعزيز بن حمد عبدالكريم</v>
      </c>
      <c r="C373" s="25">
        <f>IF(REGISTRY!G355="Male",REGISTRY!K355,"")</f>
        <v>5</v>
      </c>
      <c r="D373" s="25">
        <f>IF(REGISTRY!G355="Male",REGISTRY!P355,"")</f>
        <v>0</v>
      </c>
      <c r="E373" s="25" t="str">
        <f>IF(REGISTRY!G355="Male",REGISTRY!L355,"")</f>
        <v>العبدالكريم</v>
      </c>
    </row>
    <row r="374" ht="15.75" customHeight="1">
      <c r="A374" s="25" t="str">
        <f>IF(REGISTRY!G356="Male",REGISTRY!A356,"")</f>
        <v>P355</v>
      </c>
      <c r="B374" s="25" t="str">
        <f>IF(REGISTRY!G356="Male",REGISTRY!M356,"")</f>
        <v>محمد بن عبدالعزيز بن حمد عبدالكريم</v>
      </c>
      <c r="C374" s="25">
        <f>IF(REGISTRY!G356="Male",REGISTRY!K356,"")</f>
        <v>5</v>
      </c>
      <c r="D374" s="25">
        <f>IF(REGISTRY!G356="Male",REGISTRY!P356,"")</f>
        <v>0</v>
      </c>
      <c r="E374" s="25" t="str">
        <f>IF(REGISTRY!G356="Male",REGISTRY!L356,"")</f>
        <v>العبدالكريم</v>
      </c>
    </row>
    <row r="375" ht="15.75" customHeight="1">
      <c r="A375" s="25" t="str">
        <f>IF(REGISTRY!G357="Male",REGISTRY!A357,"")</f>
        <v>P356</v>
      </c>
      <c r="B375" s="25" t="str">
        <f>IF(REGISTRY!G357="Male",REGISTRY!M357,"")</f>
        <v>عبدالرحمن بن عبدالرحمن بن عبدالعزيز حمد</v>
      </c>
      <c r="C375" s="25">
        <f>IF(REGISTRY!G357="Male",REGISTRY!K357,"")</f>
        <v>6</v>
      </c>
      <c r="D375" s="25">
        <f>IF(REGISTRY!G357="Male",REGISTRY!P357,"")</f>
        <v>0</v>
      </c>
      <c r="E375" s="25" t="str">
        <f>IF(REGISTRY!G357="Male",REGISTRY!L357,"")</f>
        <v>العبدالكريم</v>
      </c>
    </row>
    <row r="376" ht="15.75" customHeight="1">
      <c r="A376" s="25" t="str">
        <f>IF(REGISTRY!G358="Male",REGISTRY!A358,"")</f>
        <v>P357</v>
      </c>
      <c r="B376" s="25" t="str">
        <f>IF(REGISTRY!G358="Male",REGISTRY!M358,"")</f>
        <v>عبدالعزيز بن عبدالرحمن بن عبدالعزيز حمد</v>
      </c>
      <c r="C376" s="25">
        <f>IF(REGISTRY!G358="Male",REGISTRY!K358,"")</f>
        <v>6</v>
      </c>
      <c r="D376" s="25">
        <f>IF(REGISTRY!G358="Male",REGISTRY!P358,"")</f>
        <v>0</v>
      </c>
      <c r="E376" s="25" t="str">
        <f>IF(REGISTRY!G358="Male",REGISTRY!L358,"")</f>
        <v>العبدالكريم</v>
      </c>
    </row>
    <row r="377" ht="15.75" customHeight="1">
      <c r="A377" s="25" t="str">
        <f>IF(REGISTRY!G359="Male",REGISTRY!A359,"")</f>
        <v>P358</v>
      </c>
      <c r="B377" s="25" t="str">
        <f>IF(REGISTRY!G359="Male",REGISTRY!M359,"")</f>
        <v>ثامر بن عبدالعزيز بن عبدالرحمن عبدالعزيز</v>
      </c>
      <c r="C377" s="25">
        <f>IF(REGISTRY!G359="Male",REGISTRY!K359,"")</f>
        <v>7</v>
      </c>
      <c r="D377" s="25">
        <f>IF(REGISTRY!G359="Male",REGISTRY!P359,"")</f>
        <v>0</v>
      </c>
      <c r="E377" s="25" t="str">
        <f>IF(REGISTRY!G359="Male",REGISTRY!L359,"")</f>
        <v>العبدالكريم</v>
      </c>
    </row>
    <row r="378" ht="15.75" customHeight="1">
      <c r="A378" s="25" t="str">
        <f>IF(REGISTRY!G360="Male",REGISTRY!A360,"")</f>
        <v>P359</v>
      </c>
      <c r="B378" s="25" t="str">
        <f>IF(REGISTRY!G360="Male",REGISTRY!M360,"")</f>
        <v>محمد بن عبدالعزيز بن عبدالرحمن عبدالعزيز</v>
      </c>
      <c r="C378" s="25">
        <f>IF(REGISTRY!G360="Male",REGISTRY!K360,"")</f>
        <v>7</v>
      </c>
      <c r="D378" s="25">
        <f>IF(REGISTRY!G360="Male",REGISTRY!P360,"")</f>
        <v>0</v>
      </c>
      <c r="E378" s="25" t="str">
        <f>IF(REGISTRY!G360="Male",REGISTRY!L360,"")</f>
        <v>العبدالكريم</v>
      </c>
    </row>
    <row r="379" ht="15.75" customHeight="1">
      <c r="A379" s="25" t="str">
        <f>IF(REGISTRY!G361="Male",REGISTRY!A361,"")</f>
        <v>P360</v>
      </c>
      <c r="B379" s="25" t="str">
        <f>IF(REGISTRY!G361="Male",REGISTRY!M361,"")</f>
        <v>سعد بن محمد بن عبدالعزيز حمد</v>
      </c>
      <c r="C379" s="25">
        <f>IF(REGISTRY!G361="Male",REGISTRY!K361,"")</f>
        <v>6</v>
      </c>
      <c r="D379" s="25">
        <f>IF(REGISTRY!G361="Male",REGISTRY!P361,"")</f>
        <v>0</v>
      </c>
      <c r="E379" s="25" t="str">
        <f>IF(REGISTRY!G361="Male",REGISTRY!L361,"")</f>
        <v>العبدالكريم</v>
      </c>
    </row>
    <row r="380" ht="15.75" customHeight="1">
      <c r="A380" s="25" t="str">
        <f>IF(REGISTRY!G362="Male",REGISTRY!A362,"")</f>
        <v>P361</v>
      </c>
      <c r="B380" s="25" t="str">
        <f>IF(REGISTRY!G362="Male",REGISTRY!M362,"")</f>
        <v>عبدالعزيز بن محمد بن عبدالعزيز حمد</v>
      </c>
      <c r="C380" s="25">
        <f>IF(REGISTRY!G362="Male",REGISTRY!K362,"")</f>
        <v>6</v>
      </c>
      <c r="D380" s="25">
        <f>IF(REGISTRY!G362="Male",REGISTRY!P362,"")</f>
        <v>0</v>
      </c>
      <c r="E380" s="25" t="str">
        <f>IF(REGISTRY!G362="Male",REGISTRY!L362,"")</f>
        <v>العبدالكريم</v>
      </c>
    </row>
    <row r="381" ht="15.75" customHeight="1">
      <c r="A381" s="25" t="str">
        <f>IF(REGISTRY!G363="Male",REGISTRY!A363,"")</f>
        <v>P362</v>
      </c>
      <c r="B381" s="25" t="str">
        <f>IF(REGISTRY!G363="Male",REGISTRY!M363,"")</f>
        <v>سعود بن عبدالعزيز بن محمد عبدالعزيز</v>
      </c>
      <c r="C381" s="25">
        <f>IF(REGISTRY!G363="Male",REGISTRY!K363,"")</f>
        <v>7</v>
      </c>
      <c r="D381" s="25">
        <f>IF(REGISTRY!G363="Male",REGISTRY!P363,"")</f>
        <v>0</v>
      </c>
      <c r="E381" s="25" t="str">
        <f>IF(REGISTRY!G363="Male",REGISTRY!L363,"")</f>
        <v>العبدالكريم</v>
      </c>
    </row>
    <row r="382" ht="15.75" customHeight="1">
      <c r="A382" s="25" t="str">
        <f>IF(REGISTRY!G364="Male",REGISTRY!A364,"")</f>
        <v>P363</v>
      </c>
      <c r="B382" s="25" t="str">
        <f>IF(REGISTRY!G364="Male",REGISTRY!M364,"")</f>
        <v>تركي بن عبدالعزيز بن محمد عبدالعزيز</v>
      </c>
      <c r="C382" s="25">
        <f>IF(REGISTRY!G364="Male",REGISTRY!K364,"")</f>
        <v>7</v>
      </c>
      <c r="D382" s="25">
        <f>IF(REGISTRY!G364="Male",REGISTRY!P364,"")</f>
        <v>0</v>
      </c>
      <c r="E382" s="25" t="str">
        <f>IF(REGISTRY!G364="Male",REGISTRY!L364,"")</f>
        <v>العبدالكريم</v>
      </c>
    </row>
    <row r="383" ht="15.75" customHeight="1">
      <c r="A383" s="25" t="str">
        <f>IF(REGISTRY!G365="Male",REGISTRY!A365,"")</f>
        <v>P364</v>
      </c>
      <c r="B383" s="25" t="str">
        <f>IF(REGISTRY!G365="Male",REGISTRY!M365,"")</f>
        <v>محمد بن عبدالعزيز بن محمد عبدالعزيز</v>
      </c>
      <c r="C383" s="25">
        <f>IF(REGISTRY!G365="Male",REGISTRY!K365,"")</f>
        <v>7</v>
      </c>
      <c r="D383" s="25">
        <f>IF(REGISTRY!G365="Male",REGISTRY!P365,"")</f>
        <v>0</v>
      </c>
      <c r="E383" s="25" t="str">
        <f>IF(REGISTRY!G365="Male",REGISTRY!L365,"")</f>
        <v>العبدالكريم</v>
      </c>
    </row>
    <row r="384" ht="15.75" customHeight="1">
      <c r="A384" s="25" t="str">
        <f>IF(REGISTRY!G366="Male",REGISTRY!A366,"")</f>
        <v>P365</v>
      </c>
      <c r="B384" s="25" t="str">
        <f>IF(REGISTRY!G366="Male",REGISTRY!M366,"")</f>
        <v>ابراهيم بن عبدالعزيز بن محمد عبدالعزيز</v>
      </c>
      <c r="C384" s="25">
        <f>IF(REGISTRY!G366="Male",REGISTRY!K366,"")</f>
        <v>7</v>
      </c>
      <c r="D384" s="25">
        <f>IF(REGISTRY!G366="Male",REGISTRY!P366,"")</f>
        <v>0</v>
      </c>
      <c r="E384" s="25" t="str">
        <f>IF(REGISTRY!G366="Male",REGISTRY!L366,"")</f>
        <v>العبدالكريم</v>
      </c>
    </row>
    <row r="385" ht="15.75" customHeight="1">
      <c r="A385" s="25" t="str">
        <f>IF(REGISTRY!G367="Male",REGISTRY!A367,"")</f>
        <v>P366</v>
      </c>
      <c r="B385" s="25" t="str">
        <f>IF(REGISTRY!G367="Male",REGISTRY!M367,"")</f>
        <v>محمد بن سعود بن عبدالعزيز محمد</v>
      </c>
      <c r="C385" s="25">
        <f>IF(REGISTRY!G367="Male",REGISTRY!K367,"")</f>
        <v>8</v>
      </c>
      <c r="D385" s="25">
        <f>IF(REGISTRY!G367="Male",REGISTRY!P367,"")</f>
        <v>0</v>
      </c>
      <c r="E385" s="25" t="str">
        <f>IF(REGISTRY!G367="Male",REGISTRY!L367,"")</f>
        <v>العبدالكريم</v>
      </c>
    </row>
    <row r="386" ht="15.75" customHeight="1">
      <c r="A386" s="25" t="str">
        <f>IF(REGISTRY!G368="Male",REGISTRY!A368,"")</f>
        <v>P367</v>
      </c>
      <c r="B386" s="25" t="str">
        <f>IF(REGISTRY!G368="Male",REGISTRY!M368,"")</f>
        <v>فهد بن سعد بن محمد عبدالعزيز</v>
      </c>
      <c r="C386" s="25">
        <f>IF(REGISTRY!G368="Male",REGISTRY!K368,"")</f>
        <v>7</v>
      </c>
      <c r="D386" s="25">
        <f>IF(REGISTRY!G368="Male",REGISTRY!P368,"")</f>
        <v>0</v>
      </c>
      <c r="E386" s="25" t="str">
        <f>IF(REGISTRY!G368="Male",REGISTRY!L368,"")</f>
        <v>العبدالكريم</v>
      </c>
    </row>
    <row r="387" ht="15.75" customHeight="1">
      <c r="A387" s="25" t="str">
        <f>IF(REGISTRY!G369="Male",REGISTRY!A369,"")</f>
        <v>P368</v>
      </c>
      <c r="B387" s="25" t="str">
        <f>IF(REGISTRY!G369="Male",REGISTRY!M369,"")</f>
        <v>رياض بن فهد بن سعد محمد</v>
      </c>
      <c r="C387" s="25">
        <f>IF(REGISTRY!G369="Male",REGISTRY!K369,"")</f>
        <v>8</v>
      </c>
      <c r="D387" s="25">
        <f>IF(REGISTRY!G369="Male",REGISTRY!P369,"")</f>
        <v>0</v>
      </c>
      <c r="E387" s="25" t="str">
        <f>IF(REGISTRY!G369="Male",REGISTRY!L369,"")</f>
        <v>العبدالكريم</v>
      </c>
    </row>
    <row r="388" ht="15.75" customHeight="1">
      <c r="A388" s="25" t="str">
        <f>IF(REGISTRY!G370="Male",REGISTRY!A370,"")</f>
        <v>P369</v>
      </c>
      <c r="B388" s="25" t="str">
        <f>IF(REGISTRY!G370="Male",REGISTRY!M370,"")</f>
        <v>عادل بن فهد بن سعد محمد</v>
      </c>
      <c r="C388" s="25">
        <f>IF(REGISTRY!G370="Male",REGISTRY!K370,"")</f>
        <v>8</v>
      </c>
      <c r="D388" s="25">
        <f>IF(REGISTRY!G370="Male",REGISTRY!P370,"")</f>
        <v>0</v>
      </c>
      <c r="E388" s="25" t="str">
        <f>IF(REGISTRY!G370="Male",REGISTRY!L370,"")</f>
        <v>العبدالكريم</v>
      </c>
    </row>
    <row r="389" ht="15.75" customHeight="1">
      <c r="A389" s="25" t="str">
        <f>IF(REGISTRY!G371="Male",REGISTRY!A371,"")</f>
        <v>P370</v>
      </c>
      <c r="B389" s="25" t="str">
        <f>IF(REGISTRY!G371="Male",REGISTRY!M371,"")</f>
        <v>ابراهيم بن فهد بن سعد محمد</v>
      </c>
      <c r="C389" s="25">
        <f>IF(REGISTRY!G371="Male",REGISTRY!K371,"")</f>
        <v>8</v>
      </c>
      <c r="D389" s="25">
        <f>IF(REGISTRY!G371="Male",REGISTRY!P371,"")</f>
        <v>0</v>
      </c>
      <c r="E389" s="25" t="str">
        <f>IF(REGISTRY!G371="Male",REGISTRY!L371,"")</f>
        <v>العبدالكريم</v>
      </c>
    </row>
    <row r="390" ht="15.75" customHeight="1">
      <c r="A390" s="25" t="str">
        <f>IF(REGISTRY!G372="Male",REGISTRY!A372,"")</f>
        <v>P371</v>
      </c>
      <c r="B390" s="25" t="str">
        <f>IF(REGISTRY!G372="Male",REGISTRY!M372,"")</f>
        <v>مساعد بن سعد بن محمد عبدالعزيز</v>
      </c>
      <c r="C390" s="25">
        <f>IF(REGISTRY!G372="Male",REGISTRY!K372,"")</f>
        <v>7</v>
      </c>
      <c r="D390" s="25">
        <f>IF(REGISTRY!G372="Male",REGISTRY!P372,"")</f>
        <v>0</v>
      </c>
      <c r="E390" s="25" t="str">
        <f>IF(REGISTRY!G372="Male",REGISTRY!L372,"")</f>
        <v>العبدالكريم</v>
      </c>
    </row>
    <row r="391" ht="15.75" customHeight="1">
      <c r="A391" s="25" t="str">
        <f>IF(REGISTRY!G373="Male",REGISTRY!A373,"")</f>
        <v>P372</v>
      </c>
      <c r="B391" s="25" t="str">
        <f>IF(REGISTRY!G373="Male",REGISTRY!M373,"")</f>
        <v>سعود بن سعد بن محمد عبدالعزيز</v>
      </c>
      <c r="C391" s="25">
        <f>IF(REGISTRY!G373="Male",REGISTRY!K373,"")</f>
        <v>7</v>
      </c>
      <c r="D391" s="25">
        <f>IF(REGISTRY!G373="Male",REGISTRY!P373,"")</f>
        <v>0</v>
      </c>
      <c r="E391" s="25" t="str">
        <f>IF(REGISTRY!G373="Male",REGISTRY!L373,"")</f>
        <v>العبدالكريم</v>
      </c>
    </row>
    <row r="392" ht="15.75" customHeight="1">
      <c r="A392" s="25" t="str">
        <f>IF(REGISTRY!G374="Male",REGISTRY!A374,"")</f>
        <v>P373</v>
      </c>
      <c r="B392" s="25" t="str">
        <f>IF(REGISTRY!G374="Male",REGISTRY!M374,"")</f>
        <v>عبدالرحمن بن سعد بن محمد عبدالعزيز</v>
      </c>
      <c r="C392" s="25">
        <f>IF(REGISTRY!G374="Male",REGISTRY!K374,"")</f>
        <v>7</v>
      </c>
      <c r="D392" s="25">
        <f>IF(REGISTRY!G374="Male",REGISTRY!P374,"")</f>
        <v>0</v>
      </c>
      <c r="E392" s="25" t="str">
        <f>IF(REGISTRY!G374="Male",REGISTRY!L374,"")</f>
        <v>العبدالكريم</v>
      </c>
    </row>
    <row r="393" ht="15.75" customHeight="1">
      <c r="A393" s="25" t="str">
        <f>IF(REGISTRY!G375="Male",REGISTRY!A375,"")</f>
        <v>P374</v>
      </c>
      <c r="B393" s="25" t="str">
        <f>IF(REGISTRY!G375="Male",REGISTRY!M375,"")</f>
        <v>ناصر بن سعد بن محمد عبدالعزيز</v>
      </c>
      <c r="C393" s="25">
        <f>IF(REGISTRY!G375="Male",REGISTRY!K375,"")</f>
        <v>7</v>
      </c>
      <c r="D393" s="25">
        <f>IF(REGISTRY!G375="Male",REGISTRY!P375,"")</f>
        <v>0</v>
      </c>
      <c r="E393" s="25" t="str">
        <f>IF(REGISTRY!G375="Male",REGISTRY!L375,"")</f>
        <v>العبدالكريم</v>
      </c>
    </row>
    <row r="394" ht="15.75" customHeight="1">
      <c r="A394" s="25" t="str">
        <f>IF(REGISTRY!G376="Male",REGISTRY!A376,"")</f>
        <v>P375</v>
      </c>
      <c r="B394" s="25" t="str">
        <f>IF(REGISTRY!G376="Male",REGISTRY!M376,"")</f>
        <v>خالد بن سعد بن محمد عبدالعزيز</v>
      </c>
      <c r="C394" s="25">
        <f>IF(REGISTRY!G376="Male",REGISTRY!K376,"")</f>
        <v>7</v>
      </c>
      <c r="D394" s="25">
        <f>IF(REGISTRY!G376="Male",REGISTRY!P376,"")</f>
        <v>0</v>
      </c>
      <c r="E394" s="25" t="str">
        <f>IF(REGISTRY!G376="Male",REGISTRY!L376,"")</f>
        <v>العبدالكريم</v>
      </c>
    </row>
    <row r="395" ht="15.75" customHeight="1">
      <c r="A395" s="25" t="str">
        <f>IF(REGISTRY!G377="Male",REGISTRY!A377,"")</f>
        <v>P376</v>
      </c>
      <c r="B395" s="25" t="str">
        <f>IF(REGISTRY!G377="Male",REGISTRY!M377,"")</f>
        <v>فيصل بن سعد بن محمد عبدالعزيز</v>
      </c>
      <c r="C395" s="25">
        <f>IF(REGISTRY!G377="Male",REGISTRY!K377,"")</f>
        <v>7</v>
      </c>
      <c r="D395" s="25">
        <f>IF(REGISTRY!G377="Male",REGISTRY!P377,"")</f>
        <v>0</v>
      </c>
      <c r="E395" s="25" t="str">
        <f>IF(REGISTRY!G377="Male",REGISTRY!L377,"")</f>
        <v>العبدالكريم</v>
      </c>
    </row>
    <row r="396" ht="15.75" customHeight="1">
      <c r="A396" s="25" t="str">
        <f>IF(REGISTRY!G378="Male",REGISTRY!A378,"")</f>
        <v>P377</v>
      </c>
      <c r="B396" s="25" t="str">
        <f>IF(REGISTRY!G378="Male",REGISTRY!M378,"")</f>
        <v>ابراهيم بن سعد بن محمد عبدالعزيز</v>
      </c>
      <c r="C396" s="25">
        <f>IF(REGISTRY!G378="Male",REGISTRY!K378,"")</f>
        <v>7</v>
      </c>
      <c r="D396" s="25">
        <f>IF(REGISTRY!G378="Male",REGISTRY!P378,"")</f>
        <v>0</v>
      </c>
      <c r="E396" s="25" t="str">
        <f>IF(REGISTRY!G378="Male",REGISTRY!L378,"")</f>
        <v>العبدالكريم</v>
      </c>
    </row>
    <row r="397" ht="15.75" customHeight="1">
      <c r="A397" s="25" t="str">
        <f>IF(REGISTRY!G379="Male",REGISTRY!A379,"")</f>
        <v>P378</v>
      </c>
      <c r="B397" s="25" t="str">
        <f>IF(REGISTRY!G379="Male",REGISTRY!M379,"")</f>
        <v>حمد بن سعد بن محمد عبدالعزيز</v>
      </c>
      <c r="C397" s="25">
        <f>IF(REGISTRY!G379="Male",REGISTRY!K379,"")</f>
        <v>7</v>
      </c>
      <c r="D397" s="25">
        <f>IF(REGISTRY!G379="Male",REGISTRY!P379,"")</f>
        <v>0</v>
      </c>
      <c r="E397" s="25" t="str">
        <f>IF(REGISTRY!G379="Male",REGISTRY!L379,"")</f>
        <v>العبدالكريم</v>
      </c>
    </row>
    <row r="398" ht="15.75" customHeight="1">
      <c r="A398" s="25" t="str">
        <f>IF(REGISTRY!G380="Male",REGISTRY!A380,"")</f>
        <v>P379</v>
      </c>
      <c r="B398" s="25" t="str">
        <f>IF(REGISTRY!G380="Male",REGISTRY!M380,"")</f>
        <v>محمد بن سعد بن محمد عبدالعزيز</v>
      </c>
      <c r="C398" s="25">
        <f>IF(REGISTRY!G380="Male",REGISTRY!K380,"")</f>
        <v>7</v>
      </c>
      <c r="D398" s="25">
        <f>IF(REGISTRY!G380="Male",REGISTRY!P380,"")</f>
        <v>0</v>
      </c>
      <c r="E398" s="25" t="str">
        <f>IF(REGISTRY!G380="Male",REGISTRY!L380,"")</f>
        <v>العبدالكريم</v>
      </c>
    </row>
    <row r="399" ht="15.75" customHeight="1">
      <c r="A399" s="25" t="str">
        <f>IF(REGISTRY!G381="Male",REGISTRY!A381,"")</f>
        <v>P380</v>
      </c>
      <c r="B399" s="25" t="str">
        <f>IF(REGISTRY!G381="Male",REGISTRY!M381,"")</f>
        <v>بدر بن سعد بن محمد عبدالعزيز</v>
      </c>
      <c r="C399" s="25">
        <f>IF(REGISTRY!G381="Male",REGISTRY!K381,"")</f>
        <v>7</v>
      </c>
      <c r="D399" s="25">
        <f>IF(REGISTRY!G381="Male",REGISTRY!P381,"")</f>
        <v>0</v>
      </c>
      <c r="E399" s="25" t="str">
        <f>IF(REGISTRY!G381="Male",REGISTRY!L381,"")</f>
        <v>العبدالكريم</v>
      </c>
    </row>
    <row r="400" ht="15.75" customHeight="1">
      <c r="A400" s="25" t="str">
        <f>IF(REGISTRY!G382="Male",REGISTRY!A382,"")</f>
        <v>P381</v>
      </c>
      <c r="B400" s="25" t="str">
        <f>IF(REGISTRY!G382="Male",REGISTRY!M382,"")</f>
        <v>جهاد بن ابراهيم بن سعد محمد</v>
      </c>
      <c r="C400" s="25">
        <f>IF(REGISTRY!G382="Male",REGISTRY!K382,"")</f>
        <v>8</v>
      </c>
      <c r="D400" s="25">
        <f>IF(REGISTRY!G382="Male",REGISTRY!P382,"")</f>
        <v>0</v>
      </c>
      <c r="E400" s="25" t="str">
        <f>IF(REGISTRY!G382="Male",REGISTRY!L382,"")</f>
        <v>العبدالكريم</v>
      </c>
    </row>
    <row r="401" ht="15.75" customHeight="1">
      <c r="A401" s="25" t="str">
        <f>IF(REGISTRY!G383="Male",REGISTRY!A383,"")</f>
        <v>P382</v>
      </c>
      <c r="B401" s="25" t="str">
        <f>IF(REGISTRY!G383="Male",REGISTRY!M383,"")</f>
        <v>عبدالرحمن بن عبدالمحسن بن ناصر ابراهيم</v>
      </c>
      <c r="C401" s="25">
        <f>IF(REGISTRY!G383="Male",REGISTRY!K383,"")</f>
        <v>5</v>
      </c>
      <c r="D401" s="25">
        <f>IF(REGISTRY!G383="Male",REGISTRY!P383,"")</f>
        <v>0</v>
      </c>
      <c r="E401" s="25" t="str">
        <f>IF(REGISTRY!G383="Male",REGISTRY!L383,"")</f>
        <v>الابراهيم</v>
      </c>
    </row>
    <row r="402" ht="15.75" customHeight="1">
      <c r="A402" s="25" t="str">
        <f>IF(REGISTRY!G384="Male",REGISTRY!A384,"")</f>
        <v>P383</v>
      </c>
      <c r="B402" s="25" t="str">
        <f>IF(REGISTRY!G384="Male",REGISTRY!M384,"")</f>
        <v>فهد بن عبدالرحمن بن عبدالمحسن ناصر</v>
      </c>
      <c r="C402" s="25">
        <f>IF(REGISTRY!G384="Male",REGISTRY!K384,"")</f>
        <v>6</v>
      </c>
      <c r="D402" s="25">
        <f>IF(REGISTRY!G384="Male",REGISTRY!P384,"")</f>
        <v>0</v>
      </c>
      <c r="E402" s="25" t="str">
        <f>IF(REGISTRY!G384="Male",REGISTRY!L384,"")</f>
        <v>الابراهيم</v>
      </c>
    </row>
    <row r="403" ht="15.75" customHeight="1">
      <c r="A403" s="25" t="str">
        <f>IF(REGISTRY!G385="Male",REGISTRY!A385,"")</f>
        <v>P384</v>
      </c>
      <c r="B403" s="25" t="str">
        <f>IF(REGISTRY!G385="Male",REGISTRY!M385,"")</f>
        <v>صلاح بن عبدالرحمن بن عبدالمحسن ناصر</v>
      </c>
      <c r="C403" s="25">
        <f>IF(REGISTRY!G385="Male",REGISTRY!K385,"")</f>
        <v>6</v>
      </c>
      <c r="D403" s="25">
        <f>IF(REGISTRY!G385="Male",REGISTRY!P385,"")</f>
        <v>0</v>
      </c>
      <c r="E403" s="25" t="str">
        <f>IF(REGISTRY!G385="Male",REGISTRY!L385,"")</f>
        <v>الابراهيم</v>
      </c>
    </row>
    <row r="404" ht="15.75" customHeight="1">
      <c r="A404" s="25" t="str">
        <f>IF(REGISTRY!G386="Male",REGISTRY!A386,"")</f>
        <v>P385</v>
      </c>
      <c r="B404" s="25" t="str">
        <f>IF(REGISTRY!G386="Male",REGISTRY!M386,"")</f>
        <v>محمد بن عبدالرحمن بن عبدالمحسن ناصر</v>
      </c>
      <c r="C404" s="25">
        <f>IF(REGISTRY!G386="Male",REGISTRY!K386,"")</f>
        <v>6</v>
      </c>
      <c r="D404" s="25">
        <f>IF(REGISTRY!G386="Male",REGISTRY!P386,"")</f>
        <v>0</v>
      </c>
      <c r="E404" s="25" t="str">
        <f>IF(REGISTRY!G386="Male",REGISTRY!L386,"")</f>
        <v>الابراهيم</v>
      </c>
    </row>
    <row r="405" ht="15.75" customHeight="1">
      <c r="A405" s="25" t="str">
        <f>IF(REGISTRY!G387="Male",REGISTRY!A387,"")</f>
        <v>P386</v>
      </c>
      <c r="B405" s="25" t="str">
        <f>IF(REGISTRY!G387="Male",REGISTRY!M387,"")</f>
        <v>عبدالمحسن بن عبدالرحمن بن عبدالمحسن ناصر</v>
      </c>
      <c r="C405" s="25">
        <f>IF(REGISTRY!G387="Male",REGISTRY!K387,"")</f>
        <v>6</v>
      </c>
      <c r="D405" s="25">
        <f>IF(REGISTRY!G387="Male",REGISTRY!P387,"")</f>
        <v>0</v>
      </c>
      <c r="E405" s="25" t="str">
        <f>IF(REGISTRY!G387="Male",REGISTRY!L387,"")</f>
        <v>الابراهيم</v>
      </c>
    </row>
    <row r="406" ht="15.75" customHeight="1">
      <c r="A406" s="25" t="str">
        <f>IF(REGISTRY!G388="Male",REGISTRY!A388,"")</f>
        <v/>
      </c>
      <c r="B406" s="25" t="str">
        <f>IF(REGISTRY!G388="Male",REGISTRY!M388,"")</f>
        <v/>
      </c>
      <c r="C406" s="25" t="str">
        <f>IF(REGISTRY!G388="Male",REGISTRY!K388,"")</f>
        <v/>
      </c>
      <c r="D406" s="25" t="str">
        <f>IF(REGISTRY!G388="Male",REGISTRY!P388,"")</f>
        <v/>
      </c>
      <c r="E406" s="25" t="str">
        <f>IF(REGISTRY!G388="Male",REGISTRY!L388,"")</f>
        <v/>
      </c>
    </row>
    <row r="407" ht="15.75" customHeight="1">
      <c r="A407" s="25" t="str">
        <f>IF(REGISTRY!G389="Male",REGISTRY!A389,"")</f>
        <v/>
      </c>
      <c r="B407" s="25" t="str">
        <f>IF(REGISTRY!G389="Male",REGISTRY!M389,"")</f>
        <v/>
      </c>
      <c r="C407" s="25" t="str">
        <f>IF(REGISTRY!G389="Male",REGISTRY!K389,"")</f>
        <v/>
      </c>
      <c r="D407" s="25" t="str">
        <f>IF(REGISTRY!G389="Male",REGISTRY!P389,"")</f>
        <v/>
      </c>
      <c r="E407" s="25" t="str">
        <f>IF(REGISTRY!G389="Male",REGISTRY!L389,"")</f>
        <v/>
      </c>
    </row>
    <row r="408" ht="15.75" customHeight="1">
      <c r="A408" s="25" t="str">
        <f>IF(REGISTRY!G390="Male",REGISTRY!A390,"")</f>
        <v>P389</v>
      </c>
      <c r="B408" s="25" t="str">
        <f>IF(REGISTRY!G390="Male",REGISTRY!M390,"")</f>
        <v>ابراهيم بن فهد بن عبدالله عبدالكريم</v>
      </c>
      <c r="C408" s="25">
        <f>IF(REGISTRY!G390="Male",REGISTRY!K390,"")</f>
        <v>7</v>
      </c>
      <c r="D408" s="25">
        <f>IF(REGISTRY!G390="Male",REGISTRY!P390,"")</f>
        <v>0</v>
      </c>
      <c r="E408" s="25" t="str">
        <f>IF(REGISTRY!G390="Male",REGISTRY!L390,"")</f>
        <v>العبدالكريم</v>
      </c>
    </row>
    <row r="409" ht="15.75" customHeight="1">
      <c r="A409" s="25" t="str">
        <f>IF(REGISTRY!G391="Male",REGISTRY!A391,"")</f>
        <v/>
      </c>
      <c r="B409" s="25" t="str">
        <f>IF(REGISTRY!G391="Male",REGISTRY!M391,"")</f>
        <v/>
      </c>
      <c r="C409" s="25" t="str">
        <f>IF(REGISTRY!G391="Male",REGISTRY!K391,"")</f>
        <v/>
      </c>
      <c r="D409" s="25" t="str">
        <f>IF(REGISTRY!G391="Male",REGISTRY!P391,"")</f>
        <v/>
      </c>
      <c r="E409" s="25" t="str">
        <f>IF(REGISTRY!G391="Male",REGISTRY!L391,"")</f>
        <v/>
      </c>
    </row>
    <row r="410" ht="15.75" customHeight="1">
      <c r="A410" s="25" t="str">
        <f>IF(REGISTRY!G392="Male",REGISTRY!A392,"")</f>
        <v/>
      </c>
      <c r="B410" s="25" t="str">
        <f>IF(REGISTRY!G392="Male",REGISTRY!M392,"")</f>
        <v/>
      </c>
      <c r="C410" s="25" t="str">
        <f>IF(REGISTRY!G392="Male",REGISTRY!K392,"")</f>
        <v/>
      </c>
      <c r="D410" s="25" t="str">
        <f>IF(REGISTRY!G392="Male",REGISTRY!P392,"")</f>
        <v/>
      </c>
      <c r="E410" s="25" t="str">
        <f>IF(REGISTRY!G392="Male",REGISTRY!L392,"")</f>
        <v/>
      </c>
    </row>
    <row r="411" ht="15.75" customHeight="1">
      <c r="A411" s="25" t="str">
        <f>IF(REGISTRY!G393="Male",REGISTRY!A393,"")</f>
        <v/>
      </c>
      <c r="B411" s="25" t="str">
        <f>IF(REGISTRY!G393="Male",REGISTRY!M393,"")</f>
        <v/>
      </c>
      <c r="C411" s="25" t="str">
        <f>IF(REGISTRY!G393="Male",REGISTRY!K393,"")</f>
        <v/>
      </c>
      <c r="D411" s="25" t="str">
        <f>IF(REGISTRY!G393="Male",REGISTRY!P393,"")</f>
        <v/>
      </c>
      <c r="E411" s="25" t="str">
        <f>IF(REGISTRY!G393="Male",REGISTRY!L393,"")</f>
        <v/>
      </c>
    </row>
    <row r="412" ht="15.75" customHeight="1">
      <c r="A412" s="25" t="str">
        <f>IF(REGISTRY!G394="Male",REGISTRY!A394,"")</f>
        <v/>
      </c>
      <c r="B412" s="25" t="str">
        <f>IF(REGISTRY!G394="Male",REGISTRY!M394,"")</f>
        <v/>
      </c>
      <c r="C412" s="25" t="str">
        <f>IF(REGISTRY!G394="Male",REGISTRY!K394,"")</f>
        <v/>
      </c>
      <c r="D412" s="25" t="str">
        <f>IF(REGISTRY!G394="Male",REGISTRY!P394,"")</f>
        <v/>
      </c>
      <c r="E412" s="25" t="str">
        <f>IF(REGISTRY!G394="Male",REGISTRY!L394,"")</f>
        <v/>
      </c>
    </row>
    <row r="413" ht="15.75" customHeight="1">
      <c r="A413" s="25" t="str">
        <f>IF(REGISTRY!G395="Male",REGISTRY!A395,"")</f>
        <v/>
      </c>
      <c r="B413" s="25" t="str">
        <f>IF(REGISTRY!G395="Male",REGISTRY!M395,"")</f>
        <v/>
      </c>
      <c r="C413" s="25" t="str">
        <f>IF(REGISTRY!G395="Male",REGISTRY!K395,"")</f>
        <v/>
      </c>
      <c r="D413" s="25" t="str">
        <f>IF(REGISTRY!G395="Male",REGISTRY!P395,"")</f>
        <v/>
      </c>
      <c r="E413" s="25" t="str">
        <f>IF(REGISTRY!G395="Male",REGISTRY!L395,"")</f>
        <v/>
      </c>
    </row>
    <row r="414" ht="15.75" customHeight="1">
      <c r="A414" s="25" t="str">
        <f>IF(REGISTRY!G396="Male",REGISTRY!A396,"")</f>
        <v/>
      </c>
      <c r="B414" s="25" t="str">
        <f>IF(REGISTRY!G396="Male",REGISTRY!M396,"")</f>
        <v/>
      </c>
      <c r="C414" s="25" t="str">
        <f>IF(REGISTRY!G396="Male",REGISTRY!K396,"")</f>
        <v/>
      </c>
      <c r="D414" s="25" t="str">
        <f>IF(REGISTRY!G396="Male",REGISTRY!P396,"")</f>
        <v/>
      </c>
      <c r="E414" s="25" t="str">
        <f>IF(REGISTRY!G396="Male",REGISTRY!L396,"")</f>
        <v/>
      </c>
    </row>
    <row r="415" ht="15.75" customHeight="1">
      <c r="A415" s="25" t="str">
        <f>IF(REGISTRY!G397="Male",REGISTRY!A397,"")</f>
        <v/>
      </c>
      <c r="B415" s="25" t="str">
        <f>IF(REGISTRY!G397="Male",REGISTRY!M397,"")</f>
        <v/>
      </c>
      <c r="C415" s="25" t="str">
        <f>IF(REGISTRY!G397="Male",REGISTRY!K397,"")</f>
        <v/>
      </c>
      <c r="D415" s="25" t="str">
        <f>IF(REGISTRY!G397="Male",REGISTRY!P397,"")</f>
        <v/>
      </c>
      <c r="E415" s="25" t="str">
        <f>IF(REGISTRY!G397="Male",REGISTRY!L397,"")</f>
        <v/>
      </c>
    </row>
    <row r="416" ht="15.75" customHeight="1">
      <c r="A416" s="25" t="str">
        <f>IF(REGISTRY!G398="Male",REGISTRY!A398,"")</f>
        <v/>
      </c>
      <c r="B416" s="25" t="str">
        <f>IF(REGISTRY!G398="Male",REGISTRY!M398,"")</f>
        <v/>
      </c>
      <c r="C416" s="25" t="str">
        <f>IF(REGISTRY!G398="Male",REGISTRY!K398,"")</f>
        <v/>
      </c>
      <c r="D416" s="25" t="str">
        <f>IF(REGISTRY!G398="Male",REGISTRY!P398,"")</f>
        <v/>
      </c>
      <c r="E416" s="25" t="str">
        <f>IF(REGISTRY!G398="Male",REGISTRY!L398,"")</f>
        <v/>
      </c>
    </row>
    <row r="417" ht="15.75" customHeight="1">
      <c r="A417" s="25" t="str">
        <f>IF(REGISTRY!G399="Male",REGISTRY!A399,"")</f>
        <v/>
      </c>
      <c r="B417" s="25" t="str">
        <f>IF(REGISTRY!G399="Male",REGISTRY!M399,"")</f>
        <v/>
      </c>
      <c r="C417" s="25" t="str">
        <f>IF(REGISTRY!G399="Male",REGISTRY!K399,"")</f>
        <v/>
      </c>
      <c r="D417" s="25" t="str">
        <f>IF(REGISTRY!G399="Male",REGISTRY!P399,"")</f>
        <v/>
      </c>
      <c r="E417" s="25" t="str">
        <f>IF(REGISTRY!G399="Male",REGISTRY!L399,"")</f>
        <v/>
      </c>
    </row>
    <row r="418" ht="15.75" customHeight="1">
      <c r="A418" s="25" t="str">
        <f>IF(REGISTRY!G400="Male",REGISTRY!A400,"")</f>
        <v/>
      </c>
      <c r="B418" s="25" t="str">
        <f>IF(REGISTRY!G400="Male",REGISTRY!M400,"")</f>
        <v/>
      </c>
      <c r="C418" s="25" t="str">
        <f>IF(REGISTRY!G400="Male",REGISTRY!K400,"")</f>
        <v/>
      </c>
      <c r="D418" s="25" t="str">
        <f>IF(REGISTRY!G400="Male",REGISTRY!P400,"")</f>
        <v/>
      </c>
      <c r="E418" s="25" t="str">
        <f>IF(REGISTRY!G400="Male",REGISTRY!L400,"")</f>
        <v/>
      </c>
    </row>
    <row r="419" ht="15.75" customHeight="1">
      <c r="A419" s="25" t="str">
        <f>IF(REGISTRY!G401="Male",REGISTRY!A401,"")</f>
        <v/>
      </c>
      <c r="B419" s="25" t="str">
        <f>IF(REGISTRY!G401="Male",REGISTRY!M401,"")</f>
        <v/>
      </c>
      <c r="C419" s="25" t="str">
        <f>IF(REGISTRY!G401="Male",REGISTRY!K401,"")</f>
        <v/>
      </c>
      <c r="D419" s="25" t="str">
        <f>IF(REGISTRY!G401="Male",REGISTRY!P401,"")</f>
        <v/>
      </c>
      <c r="E419" s="25" t="str">
        <f>IF(REGISTRY!G401="Male",REGISTRY!L401,"")</f>
        <v/>
      </c>
    </row>
    <row r="420" ht="15.75" customHeight="1">
      <c r="A420" s="25" t="str">
        <f>IF(REGISTRY!G402="Male",REGISTRY!A402,"")</f>
        <v/>
      </c>
      <c r="B420" s="25" t="str">
        <f>IF(REGISTRY!G402="Male",REGISTRY!M402,"")</f>
        <v/>
      </c>
      <c r="C420" s="25" t="str">
        <f>IF(REGISTRY!G402="Male",REGISTRY!K402,"")</f>
        <v/>
      </c>
      <c r="D420" s="25" t="str">
        <f>IF(REGISTRY!G402="Male",REGISTRY!P402,"")</f>
        <v/>
      </c>
      <c r="E420" s="25" t="str">
        <f>IF(REGISTRY!G402="Male",REGISTRY!L402,"")</f>
        <v/>
      </c>
    </row>
    <row r="421" ht="15.75" customHeight="1">
      <c r="A421" s="25" t="str">
        <f>IF(REGISTRY!G403="Male",REGISTRY!A403,"")</f>
        <v/>
      </c>
      <c r="B421" s="25" t="str">
        <f>IF(REGISTRY!G403="Male",REGISTRY!M403,"")</f>
        <v/>
      </c>
      <c r="C421" s="25" t="str">
        <f>IF(REGISTRY!G403="Male",REGISTRY!K403,"")</f>
        <v/>
      </c>
      <c r="D421" s="25" t="str">
        <f>IF(REGISTRY!G403="Male",REGISTRY!P403,"")</f>
        <v/>
      </c>
      <c r="E421" s="25" t="str">
        <f>IF(REGISTRY!G403="Male",REGISTRY!L403,"")</f>
        <v/>
      </c>
    </row>
    <row r="422" ht="15.75" customHeight="1">
      <c r="A422" s="25" t="str">
        <f>IF(REGISTRY!G404="Male",REGISTRY!A404,"")</f>
        <v/>
      </c>
      <c r="B422" s="25" t="str">
        <f>IF(REGISTRY!G404="Male",REGISTRY!M404,"")</f>
        <v/>
      </c>
      <c r="C422" s="25" t="str">
        <f>IF(REGISTRY!G404="Male",REGISTRY!K404,"")</f>
        <v/>
      </c>
      <c r="D422" s="25" t="str">
        <f>IF(REGISTRY!G404="Male",REGISTRY!P404,"")</f>
        <v/>
      </c>
      <c r="E422" s="25" t="str">
        <f>IF(REGISTRY!G404="Male",REGISTRY!L404,"")</f>
        <v/>
      </c>
    </row>
    <row r="423" ht="15.75" customHeight="1">
      <c r="A423" s="25" t="str">
        <f>IF(REGISTRY!G405="Male",REGISTRY!A405,"")</f>
        <v/>
      </c>
      <c r="B423" s="25" t="str">
        <f>IF(REGISTRY!G405="Male",REGISTRY!M405,"")</f>
        <v/>
      </c>
      <c r="C423" s="25" t="str">
        <f>IF(REGISTRY!G405="Male",REGISTRY!K405,"")</f>
        <v/>
      </c>
      <c r="D423" s="25" t="str">
        <f>IF(REGISTRY!G405="Male",REGISTRY!P405,"")</f>
        <v/>
      </c>
      <c r="E423" s="25" t="str">
        <f>IF(REGISTRY!G405="Male",REGISTRY!L405,"")</f>
        <v/>
      </c>
    </row>
    <row r="424" ht="15.75" customHeight="1">
      <c r="A424" s="25" t="str">
        <f>IF(REGISTRY!G406="Male",REGISTRY!A406,"")</f>
        <v/>
      </c>
      <c r="B424" s="25" t="str">
        <f>IF(REGISTRY!G406="Male",REGISTRY!M406,"")</f>
        <v/>
      </c>
      <c r="C424" s="25" t="str">
        <f>IF(REGISTRY!G406="Male",REGISTRY!K406,"")</f>
        <v/>
      </c>
      <c r="D424" s="25" t="str">
        <f>IF(REGISTRY!G406="Male",REGISTRY!P406,"")</f>
        <v/>
      </c>
      <c r="E424" s="25" t="str">
        <f>IF(REGISTRY!G406="Male",REGISTRY!L406,"")</f>
        <v/>
      </c>
    </row>
    <row r="425" ht="15.75" customHeight="1">
      <c r="A425" s="25" t="str">
        <f>IF(REGISTRY!G407="Male",REGISTRY!A407,"")</f>
        <v/>
      </c>
      <c r="B425" s="25" t="str">
        <f>IF(REGISTRY!G407="Male",REGISTRY!M407,"")</f>
        <v/>
      </c>
      <c r="C425" s="25" t="str">
        <f>IF(REGISTRY!G407="Male",REGISTRY!K407,"")</f>
        <v/>
      </c>
      <c r="D425" s="25" t="str">
        <f>IF(REGISTRY!G407="Male",REGISTRY!P407,"")</f>
        <v/>
      </c>
      <c r="E425" s="25" t="str">
        <f>IF(REGISTRY!G407="Male",REGISTRY!L407,"")</f>
        <v/>
      </c>
    </row>
    <row r="426" ht="15.75" customHeight="1">
      <c r="A426" s="25" t="str">
        <f>IF(REGISTRY!G408="Male",REGISTRY!A408,"")</f>
        <v/>
      </c>
      <c r="B426" s="25" t="str">
        <f>IF(REGISTRY!G408="Male",REGISTRY!M408,"")</f>
        <v/>
      </c>
      <c r="C426" s="25" t="str">
        <f>IF(REGISTRY!G408="Male",REGISTRY!K408,"")</f>
        <v/>
      </c>
      <c r="D426" s="25" t="str">
        <f>IF(REGISTRY!G408="Male",REGISTRY!P408,"")</f>
        <v/>
      </c>
      <c r="E426" s="25" t="str">
        <f>IF(REGISTRY!G408="Male",REGISTRY!L408,"")</f>
        <v/>
      </c>
    </row>
    <row r="427" ht="15.75" customHeight="1">
      <c r="A427" s="25" t="str">
        <f>IF(REGISTRY!G409="Male",REGISTRY!A409,"")</f>
        <v/>
      </c>
      <c r="B427" s="25" t="str">
        <f>IF(REGISTRY!G409="Male",REGISTRY!M409,"")</f>
        <v/>
      </c>
      <c r="C427" s="25" t="str">
        <f>IF(REGISTRY!G409="Male",REGISTRY!K409,"")</f>
        <v/>
      </c>
      <c r="D427" s="25" t="str">
        <f>IF(REGISTRY!G409="Male",REGISTRY!P409,"")</f>
        <v/>
      </c>
      <c r="E427" s="25" t="str">
        <f>IF(REGISTRY!G409="Male",REGISTRY!L409,"")</f>
        <v/>
      </c>
    </row>
    <row r="428" ht="15.75" customHeight="1">
      <c r="A428" s="25" t="str">
        <f>IF(REGISTRY!G410="Male",REGISTRY!A410,"")</f>
        <v/>
      </c>
      <c r="B428" s="25" t="str">
        <f>IF(REGISTRY!G410="Male",REGISTRY!M410,"")</f>
        <v/>
      </c>
      <c r="C428" s="25" t="str">
        <f>IF(REGISTRY!G410="Male",REGISTRY!K410,"")</f>
        <v/>
      </c>
      <c r="D428" s="25" t="str">
        <f>IF(REGISTRY!G410="Male",REGISTRY!P410,"")</f>
        <v/>
      </c>
      <c r="E428" s="25" t="str">
        <f>IF(REGISTRY!G410="Male",REGISTRY!L410,"")</f>
        <v/>
      </c>
    </row>
    <row r="429" ht="15.75" customHeight="1">
      <c r="A429" s="25" t="str">
        <f>IF(REGISTRY!G411="Male",REGISTRY!A411,"")</f>
        <v/>
      </c>
      <c r="B429" s="25" t="str">
        <f>IF(REGISTRY!G411="Male",REGISTRY!M411,"")</f>
        <v/>
      </c>
      <c r="C429" s="25" t="str">
        <f>IF(REGISTRY!G411="Male",REGISTRY!K411,"")</f>
        <v/>
      </c>
      <c r="D429" s="25" t="str">
        <f>IF(REGISTRY!G411="Male",REGISTRY!P411,"")</f>
        <v/>
      </c>
      <c r="E429" s="25" t="str">
        <f>IF(REGISTRY!G411="Male",REGISTRY!L411,"")</f>
        <v/>
      </c>
    </row>
    <row r="430" ht="15.75" customHeight="1">
      <c r="A430" s="25" t="str">
        <f>IF(REGISTRY!G412="Male",REGISTRY!A412,"")</f>
        <v/>
      </c>
      <c r="B430" s="25" t="str">
        <f>IF(REGISTRY!G412="Male",REGISTRY!M412,"")</f>
        <v/>
      </c>
      <c r="C430" s="25" t="str">
        <f>IF(REGISTRY!G412="Male",REGISTRY!K412,"")</f>
        <v/>
      </c>
      <c r="D430" s="25" t="str">
        <f>IF(REGISTRY!G412="Male",REGISTRY!P412,"")</f>
        <v/>
      </c>
      <c r="E430" s="25" t="str">
        <f>IF(REGISTRY!G412="Male",REGISTRY!L412,"")</f>
        <v/>
      </c>
    </row>
    <row r="431" ht="15.75" customHeight="1">
      <c r="A431" s="25" t="str">
        <f>IF(REGISTRY!G413="Male",REGISTRY!A413,"")</f>
        <v/>
      </c>
      <c r="B431" s="25" t="str">
        <f>IF(REGISTRY!G413="Male",REGISTRY!M413,"")</f>
        <v/>
      </c>
      <c r="C431" s="25" t="str">
        <f>IF(REGISTRY!G413="Male",REGISTRY!K413,"")</f>
        <v/>
      </c>
      <c r="D431" s="25" t="str">
        <f>IF(REGISTRY!G413="Male",REGISTRY!P413,"")</f>
        <v/>
      </c>
      <c r="E431" s="25" t="str">
        <f>IF(REGISTRY!G413="Male",REGISTRY!L413,"")</f>
        <v/>
      </c>
    </row>
    <row r="432" ht="15.75" customHeight="1">
      <c r="A432" s="25" t="str">
        <f>IF(REGISTRY!G414="Male",REGISTRY!A414,"")</f>
        <v/>
      </c>
      <c r="B432" s="25" t="str">
        <f>IF(REGISTRY!G414="Male",REGISTRY!M414,"")</f>
        <v/>
      </c>
      <c r="C432" s="25" t="str">
        <f>IF(REGISTRY!G414="Male",REGISTRY!K414,"")</f>
        <v/>
      </c>
      <c r="D432" s="25" t="str">
        <f>IF(REGISTRY!G414="Male",REGISTRY!P414,"")</f>
        <v/>
      </c>
      <c r="E432" s="25" t="str">
        <f>IF(REGISTRY!G414="Male",REGISTRY!L414,"")</f>
        <v/>
      </c>
    </row>
    <row r="433" ht="15.75" customHeight="1">
      <c r="A433" s="25" t="str">
        <f>IF(REGISTRY!G415="Male",REGISTRY!A415,"")</f>
        <v/>
      </c>
      <c r="B433" s="25" t="str">
        <f>IF(REGISTRY!G415="Male",REGISTRY!M415,"")</f>
        <v/>
      </c>
      <c r="C433" s="25" t="str">
        <f>IF(REGISTRY!G415="Male",REGISTRY!K415,"")</f>
        <v/>
      </c>
      <c r="D433" s="25" t="str">
        <f>IF(REGISTRY!G415="Male",REGISTRY!P415,"")</f>
        <v/>
      </c>
      <c r="E433" s="25" t="str">
        <f>IF(REGISTRY!G415="Male",REGISTRY!L415,"")</f>
        <v/>
      </c>
    </row>
    <row r="434" ht="15.75" customHeight="1">
      <c r="A434" s="25" t="str">
        <f>IF(REGISTRY!G416="Male",REGISTRY!A416,"")</f>
        <v/>
      </c>
      <c r="B434" s="25" t="str">
        <f>IF(REGISTRY!G416="Male",REGISTRY!M416,"")</f>
        <v/>
      </c>
      <c r="C434" s="25" t="str">
        <f>IF(REGISTRY!G416="Male",REGISTRY!K416,"")</f>
        <v/>
      </c>
      <c r="D434" s="25" t="str">
        <f>IF(REGISTRY!G416="Male",REGISTRY!P416,"")</f>
        <v/>
      </c>
      <c r="E434" s="25" t="str">
        <f>IF(REGISTRY!G416="Male",REGISTRY!L416,"")</f>
        <v/>
      </c>
    </row>
    <row r="435" ht="15.75" customHeight="1">
      <c r="A435" s="25" t="str">
        <f>IF(REGISTRY!G417="Male",REGISTRY!A417,"")</f>
        <v/>
      </c>
      <c r="B435" s="25" t="str">
        <f>IF(REGISTRY!G417="Male",REGISTRY!M417,"")</f>
        <v/>
      </c>
      <c r="C435" s="25" t="str">
        <f>IF(REGISTRY!G417="Male",REGISTRY!K417,"")</f>
        <v/>
      </c>
      <c r="D435" s="25" t="str">
        <f>IF(REGISTRY!G417="Male",REGISTRY!P417,"")</f>
        <v/>
      </c>
      <c r="E435" s="25" t="str">
        <f>IF(REGISTRY!G417="Male",REGISTRY!L417,"")</f>
        <v/>
      </c>
    </row>
    <row r="436" ht="15.75" customHeight="1">
      <c r="A436" s="25" t="str">
        <f>IF(REGISTRY!G418="Male",REGISTRY!A418,"")</f>
        <v/>
      </c>
      <c r="B436" s="25" t="str">
        <f>IF(REGISTRY!G418="Male",REGISTRY!M418,"")</f>
        <v/>
      </c>
      <c r="C436" s="25" t="str">
        <f>IF(REGISTRY!G418="Male",REGISTRY!K418,"")</f>
        <v/>
      </c>
      <c r="D436" s="25" t="str">
        <f>IF(REGISTRY!G418="Male",REGISTRY!P418,"")</f>
        <v/>
      </c>
      <c r="E436" s="25" t="str">
        <f>IF(REGISTRY!G418="Male",REGISTRY!L418,"")</f>
        <v/>
      </c>
    </row>
    <row r="437" ht="15.75" customHeight="1">
      <c r="A437" s="25" t="str">
        <f>IF(REGISTRY!G419="Male",REGISTRY!A419,"")</f>
        <v/>
      </c>
      <c r="B437" s="25" t="str">
        <f>IF(REGISTRY!G419="Male",REGISTRY!M419,"")</f>
        <v/>
      </c>
      <c r="C437" s="25" t="str">
        <f>IF(REGISTRY!G419="Male",REGISTRY!K419,"")</f>
        <v/>
      </c>
      <c r="D437" s="25" t="str">
        <f>IF(REGISTRY!G419="Male",REGISTRY!P419,"")</f>
        <v/>
      </c>
      <c r="E437" s="25" t="str">
        <f>IF(REGISTRY!G419="Male",REGISTRY!L419,"")</f>
        <v/>
      </c>
    </row>
    <row r="438" ht="15.75" customHeight="1">
      <c r="A438" s="25" t="str">
        <f>IF(REGISTRY!G420="Male",REGISTRY!A420,"")</f>
        <v/>
      </c>
      <c r="B438" s="25" t="str">
        <f>IF(REGISTRY!G420="Male",REGISTRY!M420,"")</f>
        <v/>
      </c>
      <c r="C438" s="25" t="str">
        <f>IF(REGISTRY!G420="Male",REGISTRY!K420,"")</f>
        <v/>
      </c>
      <c r="D438" s="25" t="str">
        <f>IF(REGISTRY!G420="Male",REGISTRY!P420,"")</f>
        <v/>
      </c>
      <c r="E438" s="25" t="str">
        <f>IF(REGISTRY!G420="Male",REGISTRY!L420,"")</f>
        <v/>
      </c>
    </row>
    <row r="439" ht="15.75" customHeight="1">
      <c r="A439" s="25" t="str">
        <f>IF(REGISTRY!G421="Male",REGISTRY!A421,"")</f>
        <v/>
      </c>
      <c r="B439" s="25" t="str">
        <f>IF(REGISTRY!G421="Male",REGISTRY!M421,"")</f>
        <v/>
      </c>
      <c r="C439" s="25" t="str">
        <f>IF(REGISTRY!G421="Male",REGISTRY!K421,"")</f>
        <v/>
      </c>
      <c r="D439" s="25" t="str">
        <f>IF(REGISTRY!G421="Male",REGISTRY!P421,"")</f>
        <v/>
      </c>
      <c r="E439" s="25" t="str">
        <f>IF(REGISTRY!G421="Male",REGISTRY!L421,"")</f>
        <v/>
      </c>
    </row>
    <row r="440" ht="15.75" customHeight="1">
      <c r="A440" s="25" t="str">
        <f>IF(REGISTRY!G422="Male",REGISTRY!A422,"")</f>
        <v/>
      </c>
      <c r="B440" s="25" t="str">
        <f>IF(REGISTRY!G422="Male",REGISTRY!M422,"")</f>
        <v/>
      </c>
      <c r="C440" s="25" t="str">
        <f>IF(REGISTRY!G422="Male",REGISTRY!K422,"")</f>
        <v/>
      </c>
      <c r="D440" s="25" t="str">
        <f>IF(REGISTRY!G422="Male",REGISTRY!P422,"")</f>
        <v/>
      </c>
      <c r="E440" s="25" t="str">
        <f>IF(REGISTRY!G422="Male",REGISTRY!L422,"")</f>
        <v/>
      </c>
    </row>
    <row r="441" ht="15.75" customHeight="1">
      <c r="A441" s="25" t="str">
        <f>IF(REGISTRY!G423="Male",REGISTRY!A423,"")</f>
        <v/>
      </c>
      <c r="B441" s="25" t="str">
        <f>IF(REGISTRY!G423="Male",REGISTRY!M423,"")</f>
        <v/>
      </c>
      <c r="C441" s="25" t="str">
        <f>IF(REGISTRY!G423="Male",REGISTRY!K423,"")</f>
        <v/>
      </c>
      <c r="D441" s="25" t="str">
        <f>IF(REGISTRY!G423="Male",REGISTRY!P423,"")</f>
        <v/>
      </c>
      <c r="E441" s="25" t="str">
        <f>IF(REGISTRY!G423="Male",REGISTRY!L423,"")</f>
        <v/>
      </c>
    </row>
    <row r="442" ht="15.75" customHeight="1">
      <c r="A442" s="25" t="str">
        <f>IF(REGISTRY!G424="Male",REGISTRY!A424,"")</f>
        <v/>
      </c>
      <c r="B442" s="25" t="str">
        <f>IF(REGISTRY!G424="Male",REGISTRY!M424,"")</f>
        <v/>
      </c>
      <c r="C442" s="25" t="str">
        <f>IF(REGISTRY!G424="Male",REGISTRY!K424,"")</f>
        <v/>
      </c>
      <c r="D442" s="25" t="str">
        <f>IF(REGISTRY!G424="Male",REGISTRY!P424,"")</f>
        <v/>
      </c>
      <c r="E442" s="25" t="str">
        <f>IF(REGISTRY!G424="Male",REGISTRY!L424,"")</f>
        <v/>
      </c>
    </row>
    <row r="443" ht="15.75" customHeight="1">
      <c r="A443" s="25" t="str">
        <f>IF(REGISTRY!G425="Male",REGISTRY!A425,"")</f>
        <v/>
      </c>
      <c r="B443" s="25" t="str">
        <f>IF(REGISTRY!G425="Male",REGISTRY!M425,"")</f>
        <v/>
      </c>
      <c r="C443" s="25" t="str">
        <f>IF(REGISTRY!G425="Male",REGISTRY!K425,"")</f>
        <v/>
      </c>
      <c r="D443" s="25" t="str">
        <f>IF(REGISTRY!G425="Male",REGISTRY!P425,"")</f>
        <v/>
      </c>
      <c r="E443" s="25" t="str">
        <f>IF(REGISTRY!G425="Male",REGISTRY!L425,"")</f>
        <v/>
      </c>
    </row>
    <row r="444" ht="15.75" customHeight="1">
      <c r="A444" s="25" t="str">
        <f>IF(REGISTRY!G426="Male",REGISTRY!A426,"")</f>
        <v/>
      </c>
      <c r="B444" s="25" t="str">
        <f>IF(REGISTRY!G426="Male",REGISTRY!M426,"")</f>
        <v/>
      </c>
      <c r="C444" s="25" t="str">
        <f>IF(REGISTRY!G426="Male",REGISTRY!K426,"")</f>
        <v/>
      </c>
      <c r="D444" s="25" t="str">
        <f>IF(REGISTRY!G426="Male",REGISTRY!P426,"")</f>
        <v/>
      </c>
      <c r="E444" s="25" t="str">
        <f>IF(REGISTRY!G426="Male",REGISTRY!L426,"")</f>
        <v/>
      </c>
    </row>
    <row r="445" ht="15.75" customHeight="1">
      <c r="A445" s="25" t="str">
        <f>IF(REGISTRY!G427="Male",REGISTRY!A427,"")</f>
        <v/>
      </c>
      <c r="B445" s="25" t="str">
        <f>IF(REGISTRY!G427="Male",REGISTRY!M427,"")</f>
        <v/>
      </c>
      <c r="C445" s="25" t="str">
        <f>IF(REGISTRY!G427="Male",REGISTRY!K427,"")</f>
        <v/>
      </c>
      <c r="D445" s="25" t="str">
        <f>IF(REGISTRY!G427="Male",REGISTRY!P427,"")</f>
        <v/>
      </c>
      <c r="E445" s="25" t="str">
        <f>IF(REGISTRY!G427="Male",REGISTRY!L427,"")</f>
        <v/>
      </c>
    </row>
    <row r="446" ht="15.75" customHeight="1">
      <c r="A446" s="25" t="str">
        <f>IF(REGISTRY!G428="Male",REGISTRY!A428,"")</f>
        <v/>
      </c>
      <c r="B446" s="25" t="str">
        <f>IF(REGISTRY!G428="Male",REGISTRY!M428,"")</f>
        <v/>
      </c>
      <c r="C446" s="25" t="str">
        <f>IF(REGISTRY!G428="Male",REGISTRY!K428,"")</f>
        <v/>
      </c>
      <c r="D446" s="25" t="str">
        <f>IF(REGISTRY!G428="Male",REGISTRY!P428,"")</f>
        <v/>
      </c>
      <c r="E446" s="25" t="str">
        <f>IF(REGISTRY!G428="Male",REGISTRY!L428,"")</f>
        <v/>
      </c>
    </row>
    <row r="447" ht="15.75" customHeight="1">
      <c r="A447" s="25" t="str">
        <f>IF(REGISTRY!G429="Male",REGISTRY!A429,"")</f>
        <v/>
      </c>
      <c r="B447" s="25" t="str">
        <f>IF(REGISTRY!G429="Male",REGISTRY!M429,"")</f>
        <v/>
      </c>
      <c r="C447" s="25" t="str">
        <f>IF(REGISTRY!G429="Male",REGISTRY!K429,"")</f>
        <v/>
      </c>
      <c r="D447" s="25" t="str">
        <f>IF(REGISTRY!G429="Male",REGISTRY!P429,"")</f>
        <v/>
      </c>
      <c r="E447" s="25" t="str">
        <f>IF(REGISTRY!G429="Male",REGISTRY!L429,"")</f>
        <v/>
      </c>
    </row>
    <row r="448" ht="15.75" customHeight="1">
      <c r="A448" s="25" t="str">
        <f>IF(REGISTRY!G430="Male",REGISTRY!A430,"")</f>
        <v/>
      </c>
      <c r="B448" s="25" t="str">
        <f>IF(REGISTRY!G430="Male",REGISTRY!M430,"")</f>
        <v/>
      </c>
      <c r="C448" s="25" t="str">
        <f>IF(REGISTRY!G430="Male",REGISTRY!K430,"")</f>
        <v/>
      </c>
      <c r="D448" s="25" t="str">
        <f>IF(REGISTRY!G430="Male",REGISTRY!P430,"")</f>
        <v/>
      </c>
      <c r="E448" s="25" t="str">
        <f>IF(REGISTRY!G430="Male",REGISTRY!L430,"")</f>
        <v/>
      </c>
    </row>
    <row r="449" ht="15.75" customHeight="1">
      <c r="A449" s="25" t="str">
        <f>IF(REGISTRY!G431="Male",REGISTRY!A431,"")</f>
        <v/>
      </c>
      <c r="B449" s="25" t="str">
        <f>IF(REGISTRY!G431="Male",REGISTRY!M431,"")</f>
        <v/>
      </c>
      <c r="C449" s="25" t="str">
        <f>IF(REGISTRY!G431="Male",REGISTRY!K431,"")</f>
        <v/>
      </c>
      <c r="D449" s="25" t="str">
        <f>IF(REGISTRY!G431="Male",REGISTRY!P431,"")</f>
        <v/>
      </c>
      <c r="E449" s="25" t="str">
        <f>IF(REGISTRY!G431="Male",REGISTRY!L431,"")</f>
        <v/>
      </c>
    </row>
    <row r="450" ht="15.75" customHeight="1">
      <c r="A450" s="25" t="str">
        <f>IF(REGISTRY!G432="Male",REGISTRY!A432,"")</f>
        <v/>
      </c>
      <c r="B450" s="25" t="str">
        <f>IF(REGISTRY!G432="Male",REGISTRY!M432,"")</f>
        <v/>
      </c>
      <c r="C450" s="25" t="str">
        <f>IF(REGISTRY!G432="Male",REGISTRY!K432,"")</f>
        <v/>
      </c>
      <c r="D450" s="25" t="str">
        <f>IF(REGISTRY!G432="Male",REGISTRY!P432,"")</f>
        <v/>
      </c>
      <c r="E450" s="25" t="str">
        <f>IF(REGISTRY!G432="Male",REGISTRY!L432,"")</f>
        <v/>
      </c>
    </row>
    <row r="451" ht="15.75" customHeight="1">
      <c r="A451" s="25" t="str">
        <f>IF(REGISTRY!G433="Male",REGISTRY!A433,"")</f>
        <v/>
      </c>
      <c r="B451" s="25" t="str">
        <f>IF(REGISTRY!G433="Male",REGISTRY!M433,"")</f>
        <v/>
      </c>
      <c r="C451" s="25" t="str">
        <f>IF(REGISTRY!G433="Male",REGISTRY!K433,"")</f>
        <v/>
      </c>
      <c r="D451" s="25" t="str">
        <f>IF(REGISTRY!G433="Male",REGISTRY!P433,"")</f>
        <v/>
      </c>
      <c r="E451" s="25" t="str">
        <f>IF(REGISTRY!G433="Male",REGISTRY!L433,"")</f>
        <v/>
      </c>
    </row>
    <row r="452" ht="15.75" customHeight="1">
      <c r="A452" s="25" t="str">
        <f>IF(REGISTRY!G434="Male",REGISTRY!A434,"")</f>
        <v/>
      </c>
      <c r="B452" s="25" t="str">
        <f>IF(REGISTRY!G434="Male",REGISTRY!M434,"")</f>
        <v/>
      </c>
      <c r="C452" s="25" t="str">
        <f>IF(REGISTRY!G434="Male",REGISTRY!K434,"")</f>
        <v/>
      </c>
      <c r="D452" s="25" t="str">
        <f>IF(REGISTRY!G434="Male",REGISTRY!P434,"")</f>
        <v/>
      </c>
      <c r="E452" s="25" t="str">
        <f>IF(REGISTRY!G434="Male",REGISTRY!L434,"")</f>
        <v/>
      </c>
    </row>
    <row r="453" ht="15.75" customHeight="1">
      <c r="A453" s="25" t="str">
        <f>IF(REGISTRY!G435="Male",REGISTRY!A435,"")</f>
        <v/>
      </c>
      <c r="B453" s="25" t="str">
        <f>IF(REGISTRY!G435="Male",REGISTRY!M435,"")</f>
        <v/>
      </c>
      <c r="C453" s="25" t="str">
        <f>IF(REGISTRY!G435="Male",REGISTRY!K435,"")</f>
        <v/>
      </c>
      <c r="D453" s="25" t="str">
        <f>IF(REGISTRY!G435="Male",REGISTRY!P435,"")</f>
        <v/>
      </c>
      <c r="E453" s="25" t="str">
        <f>IF(REGISTRY!G435="Male",REGISTRY!L435,"")</f>
        <v/>
      </c>
    </row>
    <row r="454" ht="15.75" customHeight="1">
      <c r="A454" s="25" t="str">
        <f>IF(REGISTRY!G436="Male",REGISTRY!A436,"")</f>
        <v/>
      </c>
      <c r="B454" s="25" t="str">
        <f>IF(REGISTRY!G436="Male",REGISTRY!M436,"")</f>
        <v/>
      </c>
      <c r="C454" s="25" t="str">
        <f>IF(REGISTRY!G436="Male",REGISTRY!K436,"")</f>
        <v/>
      </c>
      <c r="D454" s="25" t="str">
        <f>IF(REGISTRY!G436="Male",REGISTRY!P436,"")</f>
        <v/>
      </c>
      <c r="E454" s="25" t="str">
        <f>IF(REGISTRY!G436="Male",REGISTRY!L436,"")</f>
        <v/>
      </c>
    </row>
    <row r="455" ht="15.75" customHeight="1">
      <c r="A455" s="25" t="str">
        <f>IF(REGISTRY!G437="Male",REGISTRY!A437,"")</f>
        <v/>
      </c>
      <c r="B455" s="25" t="str">
        <f>IF(REGISTRY!G437="Male",REGISTRY!M437,"")</f>
        <v/>
      </c>
      <c r="C455" s="25" t="str">
        <f>IF(REGISTRY!G437="Male",REGISTRY!K437,"")</f>
        <v/>
      </c>
      <c r="D455" s="25" t="str">
        <f>IF(REGISTRY!G437="Male",REGISTRY!P437,"")</f>
        <v/>
      </c>
      <c r="E455" s="25" t="str">
        <f>IF(REGISTRY!G437="Male",REGISTRY!L437,"")</f>
        <v/>
      </c>
    </row>
    <row r="456" ht="15.75" customHeight="1">
      <c r="A456" s="25" t="str">
        <f>IF(REGISTRY!G438="Male",REGISTRY!A438,"")</f>
        <v/>
      </c>
      <c r="B456" s="25" t="str">
        <f>IF(REGISTRY!G438="Male",REGISTRY!M438,"")</f>
        <v/>
      </c>
      <c r="C456" s="25" t="str">
        <f>IF(REGISTRY!G438="Male",REGISTRY!K438,"")</f>
        <v/>
      </c>
      <c r="D456" s="25" t="str">
        <f>IF(REGISTRY!G438="Male",REGISTRY!P438,"")</f>
        <v/>
      </c>
      <c r="E456" s="25" t="str">
        <f>IF(REGISTRY!G438="Male",REGISTRY!L438,"")</f>
        <v/>
      </c>
    </row>
    <row r="457" ht="15.75" customHeight="1">
      <c r="A457" s="25" t="str">
        <f>IF(REGISTRY!G439="Male",REGISTRY!A439,"")</f>
        <v/>
      </c>
      <c r="B457" s="25" t="str">
        <f>IF(REGISTRY!G439="Male",REGISTRY!M439,"")</f>
        <v/>
      </c>
      <c r="C457" s="25" t="str">
        <f>IF(REGISTRY!G439="Male",REGISTRY!K439,"")</f>
        <v/>
      </c>
      <c r="D457" s="25" t="str">
        <f>IF(REGISTRY!G439="Male",REGISTRY!P439,"")</f>
        <v/>
      </c>
      <c r="E457" s="25" t="str">
        <f>IF(REGISTRY!G439="Male",REGISTRY!L439,"")</f>
        <v/>
      </c>
    </row>
    <row r="458" ht="15.75" customHeight="1">
      <c r="A458" s="25" t="str">
        <f>IF(REGISTRY!G440="Male",REGISTRY!A440,"")</f>
        <v/>
      </c>
      <c r="B458" s="25" t="str">
        <f>IF(REGISTRY!G440="Male",REGISTRY!M440,"")</f>
        <v/>
      </c>
      <c r="C458" s="25" t="str">
        <f>IF(REGISTRY!G440="Male",REGISTRY!K440,"")</f>
        <v/>
      </c>
      <c r="D458" s="25" t="str">
        <f>IF(REGISTRY!G440="Male",REGISTRY!P440,"")</f>
        <v/>
      </c>
      <c r="E458" s="25" t="str">
        <f>IF(REGISTRY!G440="Male",REGISTRY!L440,"")</f>
        <v/>
      </c>
    </row>
    <row r="459" ht="15.75" customHeight="1">
      <c r="A459" s="25" t="str">
        <f>IF(REGISTRY!G441="Male",REGISTRY!A441,"")</f>
        <v/>
      </c>
      <c r="B459" s="25" t="str">
        <f>IF(REGISTRY!G441="Male",REGISTRY!M441,"")</f>
        <v/>
      </c>
      <c r="C459" s="25" t="str">
        <f>IF(REGISTRY!G441="Male",REGISTRY!K441,"")</f>
        <v/>
      </c>
      <c r="D459" s="25" t="str">
        <f>IF(REGISTRY!G441="Male",REGISTRY!P441,"")</f>
        <v/>
      </c>
      <c r="E459" s="25" t="str">
        <f>IF(REGISTRY!G441="Male",REGISTRY!L441,"")</f>
        <v/>
      </c>
    </row>
    <row r="460" ht="15.75" customHeight="1">
      <c r="A460" s="25" t="str">
        <f>IF(REGISTRY!G442="Male",REGISTRY!A442,"")</f>
        <v/>
      </c>
      <c r="B460" s="25" t="str">
        <f>IF(REGISTRY!G442="Male",REGISTRY!M442,"")</f>
        <v/>
      </c>
      <c r="C460" s="25" t="str">
        <f>IF(REGISTRY!G442="Male",REGISTRY!K442,"")</f>
        <v/>
      </c>
      <c r="D460" s="25" t="str">
        <f>IF(REGISTRY!G442="Male",REGISTRY!P442,"")</f>
        <v/>
      </c>
      <c r="E460" s="25" t="str">
        <f>IF(REGISTRY!G442="Male",REGISTRY!L442,"")</f>
        <v/>
      </c>
    </row>
    <row r="461" ht="15.75" customHeight="1">
      <c r="A461" s="25" t="str">
        <f>IF(REGISTRY!G443="Male",REGISTRY!A443,"")</f>
        <v/>
      </c>
      <c r="B461" s="25" t="str">
        <f>IF(REGISTRY!G443="Male",REGISTRY!M443,"")</f>
        <v/>
      </c>
      <c r="C461" s="25" t="str">
        <f>IF(REGISTRY!G443="Male",REGISTRY!K443,"")</f>
        <v/>
      </c>
      <c r="D461" s="25" t="str">
        <f>IF(REGISTRY!G443="Male",REGISTRY!P443,"")</f>
        <v/>
      </c>
      <c r="E461" s="25" t="str">
        <f>IF(REGISTRY!G443="Male",REGISTRY!L443,"")</f>
        <v/>
      </c>
    </row>
    <row r="462" ht="15.75" customHeight="1">
      <c r="A462" s="25" t="str">
        <f>IF(REGISTRY!G444="Male",REGISTRY!A444,"")</f>
        <v/>
      </c>
      <c r="B462" s="25" t="str">
        <f>IF(REGISTRY!G444="Male",REGISTRY!M444,"")</f>
        <v/>
      </c>
      <c r="C462" s="25" t="str">
        <f>IF(REGISTRY!G444="Male",REGISTRY!K444,"")</f>
        <v/>
      </c>
      <c r="D462" s="25" t="str">
        <f>IF(REGISTRY!G444="Male",REGISTRY!P444,"")</f>
        <v/>
      </c>
      <c r="E462" s="25" t="str">
        <f>IF(REGISTRY!G444="Male",REGISTRY!L444,"")</f>
        <v/>
      </c>
    </row>
    <row r="463" ht="15.75" customHeight="1">
      <c r="A463" s="25" t="str">
        <f>IF(REGISTRY!G445="Male",REGISTRY!A445,"")</f>
        <v/>
      </c>
      <c r="B463" s="25" t="str">
        <f>IF(REGISTRY!G445="Male",REGISTRY!M445,"")</f>
        <v/>
      </c>
      <c r="C463" s="25" t="str">
        <f>IF(REGISTRY!G445="Male",REGISTRY!K445,"")</f>
        <v/>
      </c>
      <c r="D463" s="25" t="str">
        <f>IF(REGISTRY!G445="Male",REGISTRY!P445,"")</f>
        <v/>
      </c>
      <c r="E463" s="25" t="str">
        <f>IF(REGISTRY!G445="Male",REGISTRY!L445,"")</f>
        <v/>
      </c>
    </row>
    <row r="464" ht="15.75" customHeight="1">
      <c r="A464" s="25" t="str">
        <f>IF(REGISTRY!G446="Male",REGISTRY!A446,"")</f>
        <v/>
      </c>
      <c r="B464" s="25" t="str">
        <f>IF(REGISTRY!G446="Male",REGISTRY!M446,"")</f>
        <v/>
      </c>
      <c r="C464" s="25" t="str">
        <f>IF(REGISTRY!G446="Male",REGISTRY!K446,"")</f>
        <v/>
      </c>
      <c r="D464" s="25" t="str">
        <f>IF(REGISTRY!G446="Male",REGISTRY!P446,"")</f>
        <v/>
      </c>
      <c r="E464" s="25" t="str">
        <f>IF(REGISTRY!G446="Male",REGISTRY!L446,"")</f>
        <v/>
      </c>
    </row>
    <row r="465" ht="15.75" customHeight="1">
      <c r="A465" s="25" t="str">
        <f>IF(REGISTRY!G447="Male",REGISTRY!A447,"")</f>
        <v/>
      </c>
      <c r="B465" s="25" t="str">
        <f>IF(REGISTRY!G447="Male",REGISTRY!M447,"")</f>
        <v/>
      </c>
      <c r="C465" s="25" t="str">
        <f>IF(REGISTRY!G447="Male",REGISTRY!K447,"")</f>
        <v/>
      </c>
      <c r="D465" s="25" t="str">
        <f>IF(REGISTRY!G447="Male",REGISTRY!P447,"")</f>
        <v/>
      </c>
      <c r="E465" s="25" t="str">
        <f>IF(REGISTRY!G447="Male",REGISTRY!L447,"")</f>
        <v/>
      </c>
    </row>
    <row r="466" ht="15.75" customHeight="1">
      <c r="A466" s="25" t="str">
        <f>IF(REGISTRY!G448="Male",REGISTRY!A448,"")</f>
        <v/>
      </c>
      <c r="B466" s="25" t="str">
        <f>IF(REGISTRY!G448="Male",REGISTRY!M448,"")</f>
        <v/>
      </c>
      <c r="C466" s="25" t="str">
        <f>IF(REGISTRY!G448="Male",REGISTRY!K448,"")</f>
        <v/>
      </c>
      <c r="D466" s="25" t="str">
        <f>IF(REGISTRY!G448="Male",REGISTRY!P448,"")</f>
        <v/>
      </c>
      <c r="E466" s="25" t="str">
        <f>IF(REGISTRY!G448="Male",REGISTRY!L448,"")</f>
        <v/>
      </c>
    </row>
    <row r="467" ht="15.75" customHeight="1">
      <c r="A467" s="25" t="str">
        <f>IF(REGISTRY!G449="Male",REGISTRY!A449,"")</f>
        <v/>
      </c>
      <c r="B467" s="25" t="str">
        <f>IF(REGISTRY!G449="Male",REGISTRY!M449,"")</f>
        <v/>
      </c>
      <c r="C467" s="25" t="str">
        <f>IF(REGISTRY!G449="Male",REGISTRY!K449,"")</f>
        <v/>
      </c>
      <c r="D467" s="25" t="str">
        <f>IF(REGISTRY!G449="Male",REGISTRY!P449,"")</f>
        <v/>
      </c>
      <c r="E467" s="25" t="str">
        <f>IF(REGISTRY!G449="Male",REGISTRY!L449,"")</f>
        <v/>
      </c>
    </row>
    <row r="468" ht="15.75" customHeight="1">
      <c r="A468" s="25" t="str">
        <f>IF(REGISTRY!G450="Male",REGISTRY!A450,"")</f>
        <v/>
      </c>
      <c r="B468" s="25" t="str">
        <f>IF(REGISTRY!G450="Male",REGISTRY!M450,"")</f>
        <v/>
      </c>
      <c r="C468" s="25" t="str">
        <f>IF(REGISTRY!G450="Male",REGISTRY!K450,"")</f>
        <v/>
      </c>
      <c r="D468" s="25" t="str">
        <f>IF(REGISTRY!G450="Male",REGISTRY!P450,"")</f>
        <v/>
      </c>
      <c r="E468" s="25" t="str">
        <f>IF(REGISTRY!G450="Male",REGISTRY!L450,"")</f>
        <v/>
      </c>
    </row>
    <row r="469" ht="15.75" customHeight="1">
      <c r="A469" s="25" t="str">
        <f>IF(REGISTRY!G451="Male",REGISTRY!A451,"")</f>
        <v/>
      </c>
      <c r="B469" s="25" t="str">
        <f>IF(REGISTRY!G451="Male",REGISTRY!M451,"")</f>
        <v/>
      </c>
      <c r="C469" s="25" t="str">
        <f>IF(REGISTRY!G451="Male",REGISTRY!K451,"")</f>
        <v/>
      </c>
      <c r="D469" s="25" t="str">
        <f>IF(REGISTRY!G451="Male",REGISTRY!P451,"")</f>
        <v/>
      </c>
      <c r="E469" s="25" t="str">
        <f>IF(REGISTRY!G451="Male",REGISTRY!L451,"")</f>
        <v/>
      </c>
    </row>
    <row r="470" ht="15.75" customHeight="1">
      <c r="A470" s="25" t="str">
        <f>IF(REGISTRY!G452="Male",REGISTRY!A452,"")</f>
        <v/>
      </c>
      <c r="B470" s="25" t="str">
        <f>IF(REGISTRY!G452="Male",REGISTRY!M452,"")</f>
        <v/>
      </c>
      <c r="C470" s="25" t="str">
        <f>IF(REGISTRY!G452="Male",REGISTRY!K452,"")</f>
        <v/>
      </c>
      <c r="D470" s="25" t="str">
        <f>IF(REGISTRY!G452="Male",REGISTRY!P452,"")</f>
        <v/>
      </c>
      <c r="E470" s="25" t="str">
        <f>IF(REGISTRY!G452="Male",REGISTRY!L452,"")</f>
        <v/>
      </c>
    </row>
    <row r="471" ht="15.75" customHeight="1">
      <c r="A471" s="25" t="str">
        <f>IF(REGISTRY!G453="Male",REGISTRY!A453,"")</f>
        <v/>
      </c>
      <c r="B471" s="25" t="str">
        <f>IF(REGISTRY!G453="Male",REGISTRY!M453,"")</f>
        <v/>
      </c>
      <c r="C471" s="25" t="str">
        <f>IF(REGISTRY!G453="Male",REGISTRY!K453,"")</f>
        <v/>
      </c>
      <c r="D471" s="25" t="str">
        <f>IF(REGISTRY!G453="Male",REGISTRY!P453,"")</f>
        <v/>
      </c>
      <c r="E471" s="25" t="str">
        <f>IF(REGISTRY!G453="Male",REGISTRY!L453,"")</f>
        <v/>
      </c>
    </row>
    <row r="472" ht="15.75" customHeight="1">
      <c r="A472" s="25" t="str">
        <f>IF(REGISTRY!G454="Male",REGISTRY!A454,"")</f>
        <v/>
      </c>
      <c r="B472" s="25" t="str">
        <f>IF(REGISTRY!G454="Male",REGISTRY!M454,"")</f>
        <v/>
      </c>
      <c r="C472" s="25" t="str">
        <f>IF(REGISTRY!G454="Male",REGISTRY!K454,"")</f>
        <v/>
      </c>
      <c r="D472" s="25" t="str">
        <f>IF(REGISTRY!G454="Male",REGISTRY!P454,"")</f>
        <v/>
      </c>
      <c r="E472" s="25" t="str">
        <f>IF(REGISTRY!G454="Male",REGISTRY!L454,"")</f>
        <v/>
      </c>
    </row>
    <row r="473" ht="15.75" customHeight="1">
      <c r="A473" s="25" t="str">
        <f>IF(REGISTRY!G455="Male",REGISTRY!A455,"")</f>
        <v/>
      </c>
      <c r="B473" s="25" t="str">
        <f>IF(REGISTRY!G455="Male",REGISTRY!M455,"")</f>
        <v/>
      </c>
      <c r="C473" s="25" t="str">
        <f>IF(REGISTRY!G455="Male",REGISTRY!K455,"")</f>
        <v/>
      </c>
      <c r="D473" s="25" t="str">
        <f>IF(REGISTRY!G455="Male",REGISTRY!P455,"")</f>
        <v/>
      </c>
      <c r="E473" s="25" t="str">
        <f>IF(REGISTRY!G455="Male",REGISTRY!L455,"")</f>
        <v/>
      </c>
    </row>
    <row r="474" ht="15.75" customHeight="1">
      <c r="A474" s="25" t="str">
        <f>IF(REGISTRY!G456="Male",REGISTRY!A456,"")</f>
        <v/>
      </c>
      <c r="B474" s="25" t="str">
        <f>IF(REGISTRY!G456="Male",REGISTRY!M456,"")</f>
        <v/>
      </c>
      <c r="C474" s="25" t="str">
        <f>IF(REGISTRY!G456="Male",REGISTRY!K456,"")</f>
        <v/>
      </c>
      <c r="D474" s="25" t="str">
        <f>IF(REGISTRY!G456="Male",REGISTRY!P456,"")</f>
        <v/>
      </c>
      <c r="E474" s="25" t="str">
        <f>IF(REGISTRY!G456="Male",REGISTRY!L456,"")</f>
        <v/>
      </c>
    </row>
    <row r="475" ht="15.75" customHeight="1">
      <c r="A475" s="25" t="str">
        <f>IF(REGISTRY!G457="Male",REGISTRY!A457,"")</f>
        <v/>
      </c>
      <c r="B475" s="25" t="str">
        <f>IF(REGISTRY!G457="Male",REGISTRY!M457,"")</f>
        <v/>
      </c>
      <c r="C475" s="25" t="str">
        <f>IF(REGISTRY!G457="Male",REGISTRY!K457,"")</f>
        <v/>
      </c>
      <c r="D475" s="25" t="str">
        <f>IF(REGISTRY!G457="Male",REGISTRY!P457,"")</f>
        <v/>
      </c>
      <c r="E475" s="25" t="str">
        <f>IF(REGISTRY!G457="Male",REGISTRY!L457,"")</f>
        <v/>
      </c>
    </row>
    <row r="476" ht="15.75" customHeight="1">
      <c r="A476" s="25" t="str">
        <f>IF(REGISTRY!G458="Male",REGISTRY!A458,"")</f>
        <v/>
      </c>
      <c r="B476" s="25" t="str">
        <f>IF(REGISTRY!G458="Male",REGISTRY!M458,"")</f>
        <v/>
      </c>
      <c r="C476" s="25" t="str">
        <f>IF(REGISTRY!G458="Male",REGISTRY!K458,"")</f>
        <v/>
      </c>
      <c r="D476" s="25" t="str">
        <f>IF(REGISTRY!G458="Male",REGISTRY!P458,"")</f>
        <v/>
      </c>
      <c r="E476" s="25" t="str">
        <f>IF(REGISTRY!G458="Male",REGISTRY!L458,"")</f>
        <v/>
      </c>
    </row>
    <row r="477" ht="15.75" customHeight="1">
      <c r="A477" s="25" t="str">
        <f>IF(REGISTRY!G459="Male",REGISTRY!A459,"")</f>
        <v/>
      </c>
      <c r="B477" s="25" t="str">
        <f>IF(REGISTRY!G459="Male",REGISTRY!M459,"")</f>
        <v/>
      </c>
      <c r="C477" s="25" t="str">
        <f>IF(REGISTRY!G459="Male",REGISTRY!K459,"")</f>
        <v/>
      </c>
      <c r="D477" s="25" t="str">
        <f>IF(REGISTRY!G459="Male",REGISTRY!P459,"")</f>
        <v/>
      </c>
      <c r="E477" s="25" t="str">
        <f>IF(REGISTRY!G459="Male",REGISTRY!L459,"")</f>
        <v/>
      </c>
    </row>
    <row r="478" ht="15.75" customHeight="1">
      <c r="A478" s="25" t="str">
        <f>IF(REGISTRY!G460="Male",REGISTRY!A460,"")</f>
        <v/>
      </c>
      <c r="B478" s="25" t="str">
        <f>IF(REGISTRY!G460="Male",REGISTRY!M460,"")</f>
        <v/>
      </c>
      <c r="C478" s="25" t="str">
        <f>IF(REGISTRY!G460="Male",REGISTRY!K460,"")</f>
        <v/>
      </c>
      <c r="D478" s="25" t="str">
        <f>IF(REGISTRY!G460="Male",REGISTRY!P460,"")</f>
        <v/>
      </c>
      <c r="E478" s="25" t="str">
        <f>IF(REGISTRY!G460="Male",REGISTRY!L460,"")</f>
        <v/>
      </c>
    </row>
    <row r="479" ht="15.75" customHeight="1">
      <c r="A479" s="25" t="str">
        <f>IF(REGISTRY!G461="Male",REGISTRY!A461,"")</f>
        <v/>
      </c>
      <c r="B479" s="25" t="str">
        <f>IF(REGISTRY!G461="Male",REGISTRY!M461,"")</f>
        <v/>
      </c>
      <c r="C479" s="25" t="str">
        <f>IF(REGISTRY!G461="Male",REGISTRY!K461,"")</f>
        <v/>
      </c>
      <c r="D479" s="25" t="str">
        <f>IF(REGISTRY!G461="Male",REGISTRY!P461,"")</f>
        <v/>
      </c>
      <c r="E479" s="25" t="str">
        <f>IF(REGISTRY!G461="Male",REGISTRY!L461,"")</f>
        <v/>
      </c>
    </row>
    <row r="480" ht="15.75" customHeight="1">
      <c r="A480" s="25" t="str">
        <f>IF(REGISTRY!G462="Male",REGISTRY!A462,"")</f>
        <v/>
      </c>
      <c r="B480" s="25" t="str">
        <f>IF(REGISTRY!G462="Male",REGISTRY!M462,"")</f>
        <v/>
      </c>
      <c r="C480" s="25" t="str">
        <f>IF(REGISTRY!G462="Male",REGISTRY!K462,"")</f>
        <v/>
      </c>
      <c r="D480" s="25" t="str">
        <f>IF(REGISTRY!G462="Male",REGISTRY!P462,"")</f>
        <v/>
      </c>
      <c r="E480" s="25" t="str">
        <f>IF(REGISTRY!G462="Male",REGISTRY!L462,"")</f>
        <v/>
      </c>
    </row>
    <row r="481" ht="15.75" customHeight="1">
      <c r="A481" s="25" t="str">
        <f>IF(REGISTRY!G463="Male",REGISTRY!A463,"")</f>
        <v/>
      </c>
      <c r="B481" s="25" t="str">
        <f>IF(REGISTRY!G463="Male",REGISTRY!M463,"")</f>
        <v/>
      </c>
      <c r="C481" s="25" t="str">
        <f>IF(REGISTRY!G463="Male",REGISTRY!K463,"")</f>
        <v/>
      </c>
      <c r="D481" s="25" t="str">
        <f>IF(REGISTRY!G463="Male",REGISTRY!P463,"")</f>
        <v/>
      </c>
      <c r="E481" s="25" t="str">
        <f>IF(REGISTRY!G463="Male",REGISTRY!L463,"")</f>
        <v/>
      </c>
    </row>
    <row r="482" ht="15.75" customHeight="1">
      <c r="A482" s="25" t="str">
        <f>IF(REGISTRY!G464="Male",REGISTRY!A464,"")</f>
        <v/>
      </c>
      <c r="B482" s="25" t="str">
        <f>IF(REGISTRY!G464="Male",REGISTRY!M464,"")</f>
        <v/>
      </c>
      <c r="C482" s="25" t="str">
        <f>IF(REGISTRY!G464="Male",REGISTRY!K464,"")</f>
        <v/>
      </c>
      <c r="D482" s="25" t="str">
        <f>IF(REGISTRY!G464="Male",REGISTRY!P464,"")</f>
        <v/>
      </c>
      <c r="E482" s="25" t="str">
        <f>IF(REGISTRY!G464="Male",REGISTRY!L464,"")</f>
        <v/>
      </c>
    </row>
    <row r="483" ht="15.75" customHeight="1">
      <c r="A483" s="25" t="str">
        <f>IF(REGISTRY!G465="Male",REGISTRY!A465,"")</f>
        <v/>
      </c>
      <c r="B483" s="25" t="str">
        <f>IF(REGISTRY!G465="Male",REGISTRY!M465,"")</f>
        <v/>
      </c>
      <c r="C483" s="25" t="str">
        <f>IF(REGISTRY!G465="Male",REGISTRY!K465,"")</f>
        <v/>
      </c>
      <c r="D483" s="25" t="str">
        <f>IF(REGISTRY!G465="Male",REGISTRY!P465,"")</f>
        <v/>
      </c>
      <c r="E483" s="25" t="str">
        <f>IF(REGISTRY!G465="Male",REGISTRY!L465,"")</f>
        <v/>
      </c>
    </row>
    <row r="484" ht="15.75" customHeight="1">
      <c r="A484" s="25" t="str">
        <f>IF(REGISTRY!G466="Male",REGISTRY!A466,"")</f>
        <v/>
      </c>
      <c r="B484" s="25" t="str">
        <f>IF(REGISTRY!G466="Male",REGISTRY!M466,"")</f>
        <v/>
      </c>
      <c r="C484" s="25" t="str">
        <f>IF(REGISTRY!G466="Male",REGISTRY!K466,"")</f>
        <v/>
      </c>
      <c r="D484" s="25" t="str">
        <f>IF(REGISTRY!G466="Male",REGISTRY!P466,"")</f>
        <v/>
      </c>
      <c r="E484" s="25" t="str">
        <f>IF(REGISTRY!G466="Male",REGISTRY!L466,"")</f>
        <v/>
      </c>
    </row>
    <row r="485" ht="15.75" customHeight="1">
      <c r="A485" s="25" t="str">
        <f>IF(REGISTRY!G467="Male",REGISTRY!A467,"")</f>
        <v/>
      </c>
      <c r="B485" s="25" t="str">
        <f>IF(REGISTRY!G467="Male",REGISTRY!M467,"")</f>
        <v/>
      </c>
      <c r="C485" s="25" t="str">
        <f>IF(REGISTRY!G467="Male",REGISTRY!K467,"")</f>
        <v/>
      </c>
      <c r="D485" s="25" t="str">
        <f>IF(REGISTRY!G467="Male",REGISTRY!P467,"")</f>
        <v/>
      </c>
      <c r="E485" s="25" t="str">
        <f>IF(REGISTRY!G467="Male",REGISTRY!L467,"")</f>
        <v/>
      </c>
    </row>
    <row r="486" ht="15.75" customHeight="1">
      <c r="A486" s="25" t="str">
        <f>IF(REGISTRY!G468="Male",REGISTRY!A468,"")</f>
        <v/>
      </c>
      <c r="B486" s="25" t="str">
        <f>IF(REGISTRY!G468="Male",REGISTRY!M468,"")</f>
        <v/>
      </c>
      <c r="C486" s="25" t="str">
        <f>IF(REGISTRY!G468="Male",REGISTRY!K468,"")</f>
        <v/>
      </c>
      <c r="D486" s="25" t="str">
        <f>IF(REGISTRY!G468="Male",REGISTRY!P468,"")</f>
        <v/>
      </c>
      <c r="E486" s="25" t="str">
        <f>IF(REGISTRY!G468="Male",REGISTRY!L468,"")</f>
        <v/>
      </c>
    </row>
    <row r="487" ht="15.75" customHeight="1">
      <c r="A487" s="25" t="str">
        <f>IF(REGISTRY!G469="Male",REGISTRY!A469,"")</f>
        <v/>
      </c>
      <c r="B487" s="25" t="str">
        <f>IF(REGISTRY!G469="Male",REGISTRY!M469,"")</f>
        <v/>
      </c>
      <c r="C487" s="25" t="str">
        <f>IF(REGISTRY!G469="Male",REGISTRY!K469,"")</f>
        <v/>
      </c>
      <c r="D487" s="25" t="str">
        <f>IF(REGISTRY!G469="Male",REGISTRY!P469,"")</f>
        <v/>
      </c>
      <c r="E487" s="25" t="str">
        <f>IF(REGISTRY!G469="Male",REGISTRY!L469,"")</f>
        <v/>
      </c>
    </row>
    <row r="488" ht="15.75" customHeight="1">
      <c r="A488" s="25" t="str">
        <f>IF(REGISTRY!G470="Male",REGISTRY!A470,"")</f>
        <v/>
      </c>
      <c r="B488" s="25" t="str">
        <f>IF(REGISTRY!G470="Male",REGISTRY!M470,"")</f>
        <v/>
      </c>
      <c r="C488" s="25" t="str">
        <f>IF(REGISTRY!G470="Male",REGISTRY!K470,"")</f>
        <v/>
      </c>
      <c r="D488" s="25" t="str">
        <f>IF(REGISTRY!G470="Male",REGISTRY!P470,"")</f>
        <v/>
      </c>
      <c r="E488" s="25" t="str">
        <f>IF(REGISTRY!G470="Male",REGISTRY!L470,"")</f>
        <v/>
      </c>
    </row>
    <row r="489" ht="15.75" customHeight="1">
      <c r="A489" s="25" t="str">
        <f>IF(REGISTRY!G471="Male",REGISTRY!A471,"")</f>
        <v/>
      </c>
      <c r="B489" s="25" t="str">
        <f>IF(REGISTRY!G471="Male",REGISTRY!M471,"")</f>
        <v/>
      </c>
      <c r="C489" s="25" t="str">
        <f>IF(REGISTRY!G471="Male",REGISTRY!K471,"")</f>
        <v/>
      </c>
      <c r="D489" s="25" t="str">
        <f>IF(REGISTRY!G471="Male",REGISTRY!P471,"")</f>
        <v/>
      </c>
      <c r="E489" s="25" t="str">
        <f>IF(REGISTRY!G471="Male",REGISTRY!L471,"")</f>
        <v/>
      </c>
    </row>
    <row r="490" ht="15.75" customHeight="1">
      <c r="A490" s="25" t="str">
        <f>IF(REGISTRY!G472="Male",REGISTRY!A472,"")</f>
        <v/>
      </c>
      <c r="B490" s="25" t="str">
        <f>IF(REGISTRY!G472="Male",REGISTRY!M472,"")</f>
        <v/>
      </c>
      <c r="C490" s="25" t="str">
        <f>IF(REGISTRY!G472="Male",REGISTRY!K472,"")</f>
        <v/>
      </c>
      <c r="D490" s="25" t="str">
        <f>IF(REGISTRY!G472="Male",REGISTRY!P472,"")</f>
        <v/>
      </c>
      <c r="E490" s="25" t="str">
        <f>IF(REGISTRY!G472="Male",REGISTRY!L472,"")</f>
        <v/>
      </c>
    </row>
    <row r="491" ht="15.75" customHeight="1">
      <c r="A491" s="25" t="str">
        <f>IF(REGISTRY!G473="Male",REGISTRY!A473,"")</f>
        <v/>
      </c>
      <c r="B491" s="25" t="str">
        <f>IF(REGISTRY!G473="Male",REGISTRY!M473,"")</f>
        <v/>
      </c>
      <c r="C491" s="25" t="str">
        <f>IF(REGISTRY!G473="Male",REGISTRY!K473,"")</f>
        <v/>
      </c>
      <c r="D491" s="25" t="str">
        <f>IF(REGISTRY!G473="Male",REGISTRY!P473,"")</f>
        <v/>
      </c>
      <c r="E491" s="25" t="str">
        <f>IF(REGISTRY!G473="Male",REGISTRY!L473,"")</f>
        <v/>
      </c>
    </row>
    <row r="492" ht="15.75" customHeight="1">
      <c r="A492" s="25" t="str">
        <f>IF(REGISTRY!G474="Male",REGISTRY!A474,"")</f>
        <v/>
      </c>
      <c r="B492" s="25" t="str">
        <f>IF(REGISTRY!G474="Male",REGISTRY!M474,"")</f>
        <v/>
      </c>
      <c r="C492" s="25" t="str">
        <f>IF(REGISTRY!G474="Male",REGISTRY!K474,"")</f>
        <v/>
      </c>
      <c r="D492" s="25" t="str">
        <f>IF(REGISTRY!G474="Male",REGISTRY!P474,"")</f>
        <v/>
      </c>
      <c r="E492" s="25" t="str">
        <f>IF(REGISTRY!G474="Male",REGISTRY!L474,"")</f>
        <v/>
      </c>
    </row>
    <row r="493" ht="15.75" customHeight="1">
      <c r="A493" s="25" t="str">
        <f>IF(REGISTRY!G475="Male",REGISTRY!A475,"")</f>
        <v/>
      </c>
      <c r="B493" s="25" t="str">
        <f>IF(REGISTRY!G475="Male",REGISTRY!M475,"")</f>
        <v/>
      </c>
      <c r="C493" s="25" t="str">
        <f>IF(REGISTRY!G475="Male",REGISTRY!K475,"")</f>
        <v/>
      </c>
      <c r="D493" s="25" t="str">
        <f>IF(REGISTRY!G475="Male",REGISTRY!P475,"")</f>
        <v/>
      </c>
      <c r="E493" s="25" t="str">
        <f>IF(REGISTRY!G475="Male",REGISTRY!L475,"")</f>
        <v/>
      </c>
    </row>
    <row r="494" ht="15.75" customHeight="1">
      <c r="A494" s="25" t="str">
        <f>IF(REGISTRY!G476="Male",REGISTRY!A476,"")</f>
        <v/>
      </c>
      <c r="B494" s="25" t="str">
        <f>IF(REGISTRY!G476="Male",REGISTRY!M476,"")</f>
        <v/>
      </c>
      <c r="C494" s="25" t="str">
        <f>IF(REGISTRY!G476="Male",REGISTRY!K476,"")</f>
        <v/>
      </c>
      <c r="D494" s="25" t="str">
        <f>IF(REGISTRY!G476="Male",REGISTRY!P476,"")</f>
        <v/>
      </c>
      <c r="E494" s="25" t="str">
        <f>IF(REGISTRY!G476="Male",REGISTRY!L476,"")</f>
        <v/>
      </c>
    </row>
    <row r="495" ht="15.75" customHeight="1">
      <c r="A495" s="25" t="str">
        <f>IF(REGISTRY!G477="Male",REGISTRY!A477,"")</f>
        <v/>
      </c>
      <c r="B495" s="25" t="str">
        <f>IF(REGISTRY!G477="Male",REGISTRY!M477,"")</f>
        <v/>
      </c>
      <c r="C495" s="25" t="str">
        <f>IF(REGISTRY!G477="Male",REGISTRY!K477,"")</f>
        <v/>
      </c>
      <c r="D495" s="25" t="str">
        <f>IF(REGISTRY!G477="Male",REGISTRY!P477,"")</f>
        <v/>
      </c>
      <c r="E495" s="25" t="str">
        <f>IF(REGISTRY!G477="Male",REGISTRY!L477,"")</f>
        <v/>
      </c>
    </row>
    <row r="496" ht="15.75" customHeight="1">
      <c r="A496" s="25" t="str">
        <f>IF(REGISTRY!G478="Male",REGISTRY!A478,"")</f>
        <v/>
      </c>
      <c r="B496" s="25" t="str">
        <f>IF(REGISTRY!G478="Male",REGISTRY!M478,"")</f>
        <v/>
      </c>
      <c r="C496" s="25" t="str">
        <f>IF(REGISTRY!G478="Male",REGISTRY!K478,"")</f>
        <v/>
      </c>
      <c r="D496" s="25" t="str">
        <f>IF(REGISTRY!G478="Male",REGISTRY!P478,"")</f>
        <v/>
      </c>
      <c r="E496" s="25" t="str">
        <f>IF(REGISTRY!G478="Male",REGISTRY!L478,"")</f>
        <v/>
      </c>
    </row>
    <row r="497" ht="15.75" customHeight="1">
      <c r="A497" s="25" t="str">
        <f>IF(REGISTRY!G479="Male",REGISTRY!A479,"")</f>
        <v/>
      </c>
      <c r="B497" s="25" t="str">
        <f>IF(REGISTRY!G479="Male",REGISTRY!M479,"")</f>
        <v/>
      </c>
      <c r="C497" s="25" t="str">
        <f>IF(REGISTRY!G479="Male",REGISTRY!K479,"")</f>
        <v/>
      </c>
      <c r="D497" s="25" t="str">
        <f>IF(REGISTRY!G479="Male",REGISTRY!P479,"")</f>
        <v/>
      </c>
      <c r="E497" s="25" t="str">
        <f>IF(REGISTRY!G479="Male",REGISTRY!L479,"")</f>
        <v/>
      </c>
    </row>
    <row r="498" ht="15.75" customHeight="1">
      <c r="A498" s="25" t="str">
        <f>IF(REGISTRY!G480="Male",REGISTRY!A480,"")</f>
        <v/>
      </c>
      <c r="B498" s="25" t="str">
        <f>IF(REGISTRY!G480="Male",REGISTRY!M480,"")</f>
        <v/>
      </c>
      <c r="C498" s="25" t="str">
        <f>IF(REGISTRY!G480="Male",REGISTRY!K480,"")</f>
        <v/>
      </c>
      <c r="D498" s="25" t="str">
        <f>IF(REGISTRY!G480="Male",REGISTRY!P480,"")</f>
        <v/>
      </c>
      <c r="E498" s="25" t="str">
        <f>IF(REGISTRY!G480="Male",REGISTRY!L480,"")</f>
        <v/>
      </c>
    </row>
    <row r="499" ht="15.75" customHeight="1">
      <c r="A499" s="25" t="str">
        <f>IF(REGISTRY!G481="Male",REGISTRY!A481,"")</f>
        <v/>
      </c>
      <c r="B499" s="25" t="str">
        <f>IF(REGISTRY!G481="Male",REGISTRY!M481,"")</f>
        <v/>
      </c>
      <c r="C499" s="25" t="str">
        <f>IF(REGISTRY!G481="Male",REGISTRY!K481,"")</f>
        <v/>
      </c>
      <c r="D499" s="25" t="str">
        <f>IF(REGISTRY!G481="Male",REGISTRY!P481,"")</f>
        <v/>
      </c>
      <c r="E499" s="25" t="str">
        <f>IF(REGISTRY!G481="Male",REGISTRY!L481,"")</f>
        <v/>
      </c>
    </row>
    <row r="500" ht="15.75" customHeight="1">
      <c r="A500" s="25" t="str">
        <f>IF(REGISTRY!G482="Male",REGISTRY!A482,"")</f>
        <v/>
      </c>
      <c r="B500" s="25" t="str">
        <f>IF(REGISTRY!G482="Male",REGISTRY!M482,"")</f>
        <v/>
      </c>
      <c r="C500" s="25" t="str">
        <f>IF(REGISTRY!G482="Male",REGISTRY!K482,"")</f>
        <v/>
      </c>
      <c r="D500" s="25" t="str">
        <f>IF(REGISTRY!G482="Male",REGISTRY!P482,"")</f>
        <v/>
      </c>
      <c r="E500" s="25" t="str">
        <f>IF(REGISTRY!G482="Male",REGISTRY!L482,"")</f>
        <v/>
      </c>
    </row>
    <row r="501" ht="15.75" customHeight="1">
      <c r="A501" s="25" t="str">
        <f>IF(REGISTRY!G483="Male",REGISTRY!A483,"")</f>
        <v/>
      </c>
      <c r="B501" s="25" t="str">
        <f>IF(REGISTRY!G483="Male",REGISTRY!M483,"")</f>
        <v/>
      </c>
      <c r="C501" s="25" t="str">
        <f>IF(REGISTRY!G483="Male",REGISTRY!K483,"")</f>
        <v/>
      </c>
      <c r="D501" s="25" t="str">
        <f>IF(REGISTRY!G483="Male",REGISTRY!P483,"")</f>
        <v/>
      </c>
      <c r="E501" s="25" t="str">
        <f>IF(REGISTRY!G483="Male",REGISTRY!L483,"")</f>
        <v/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2025-11-14T16:37:41Z</dcterms:created>
  <dc:creator>openpyxl</dc:creator>
</cp:coreProperties>
</file>